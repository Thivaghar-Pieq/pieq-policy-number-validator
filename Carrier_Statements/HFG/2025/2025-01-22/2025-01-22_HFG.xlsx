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-22-25\"/>
    </mc:Choice>
  </mc:AlternateContent>
  <xr:revisionPtr revIDLastSave="0" documentId="13_ncr:1_{74CB2D83-5998-4CC6-8E5A-9C5B06862822}" xr6:coauthVersionLast="47" xr6:coauthVersionMax="47" xr10:uidLastSave="{00000000-0000-0000-0000-000000000000}"/>
  <bookViews>
    <workbookView xWindow="-28920" yWindow="1800" windowWidth="29040" windowHeight="15720" activeTab="2" xr2:uid="{EFBC83BA-137E-E14E-A65F-BB84D547043D}"/>
  </bookViews>
  <sheets>
    <sheet name="HFG 1-22-25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2" l="1"/>
  <c r="C61" i="2"/>
  <c r="C62" i="2"/>
  <c r="C63" i="2"/>
  <c r="C64" i="2"/>
  <c r="C59" i="2"/>
  <c r="C65" i="2"/>
  <c r="C56" i="2"/>
  <c r="C57" i="2"/>
  <c r="C58" i="2"/>
  <c r="C55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2" i="2"/>
</calcChain>
</file>

<file path=xl/sharedStrings.xml><?xml version="1.0" encoding="utf-8"?>
<sst xmlns="http://schemas.openxmlformats.org/spreadsheetml/2006/main" count="1591" uniqueCount="229">
  <si>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</si>
  <si>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</si>
  <si>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</si>
  <si>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</si>
  <si>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</si>
  <si>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</si>
  <si>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</si>
  <si>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</si>
  <si>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</si>
  <si>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</si>
  <si>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</si>
  <si>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</si>
  <si>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</si>
  <si>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</si>
  <si>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</si>
  <si>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</si>
  <si>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</si>
  <si>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</si>
  <si>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</si>
  <si>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</si>
  <si>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</si>
  <si>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</si>
  <si>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</si>
  <si>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</si>
  <si>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</si>
  <si>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</si>
  <si>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</si>
  <si>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</si>
  <si>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</si>
  <si>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</si>
  <si>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</si>
  <si>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</si>
  <si>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</si>
  <si>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</si>
  <si>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</si>
  <si>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</si>
  <si>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</si>
  <si>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</si>
  <si>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</si>
  <si>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</si>
  <si>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</si>
  <si>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</si>
  <si>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JESSE RESA</t>
  </si>
  <si>
    <t>NA</t>
  </si>
  <si>
    <t>BARRY SCHUMANN</t>
  </si>
  <si>
    <t>ACTIVE</t>
  </si>
  <si>
    <t>Humana MA 2019+ Level 15- 175/108 Repl 2024</t>
  </si>
  <si>
    <t>Monthly</t>
  </si>
  <si>
    <t>AV</t>
  </si>
  <si>
    <t>$0.00</t>
  </si>
  <si>
    <t>WHIT STUCKEY</t>
  </si>
  <si>
    <t>STACEY PORTUGAL</t>
  </si>
  <si>
    <t>Humana MA 2019+ Level 15- 175/108</t>
  </si>
  <si>
    <t>$175.00</t>
  </si>
  <si>
    <t>JERRY SHIPKIN</t>
  </si>
  <si>
    <t>ANDREW CHOI</t>
  </si>
  <si>
    <t>NORMAN WADE</t>
  </si>
  <si>
    <t>FRANK LISKOVEC</t>
  </si>
  <si>
    <t>GARY FUIT</t>
  </si>
  <si>
    <t>ANTHONY HUNSBERGER</t>
  </si>
  <si>
    <t>KEITH FELSENTHAL</t>
  </si>
  <si>
    <t>NORA LEPE</t>
  </si>
  <si>
    <t>ESTHER HERRERA-LARSEN</t>
  </si>
  <si>
    <t>STEPHEN MILONE</t>
  </si>
  <si>
    <t>STEPHANIE DRAPAC</t>
  </si>
  <si>
    <t>THOMAS GREELEY</t>
  </si>
  <si>
    <t>RICHARD YALE</t>
  </si>
  <si>
    <t>DEBORAH HELFERS</t>
  </si>
  <si>
    <t>VICTORIA DAUN</t>
  </si>
  <si>
    <t>LENORE VICTOR</t>
  </si>
  <si>
    <t>KATHERINE FOLTZ</t>
  </si>
  <si>
    <t>GREGORY TEIPEL</t>
  </si>
  <si>
    <t>JIM FOLTZ</t>
  </si>
  <si>
    <t>DE CHEUNG</t>
  </si>
  <si>
    <t>CAROL FOLEY</t>
  </si>
  <si>
    <t>SUZANNE SUFFERN</t>
  </si>
  <si>
    <t>FAUSTINO MONTES</t>
  </si>
  <si>
    <t>GARY PORTUGAL</t>
  </si>
  <si>
    <t>MANUELA ESTRADA</t>
  </si>
  <si>
    <t>LAURA ISHAYA</t>
  </si>
  <si>
    <t>JEFFREY HORN</t>
  </si>
  <si>
    <t>EUGENE DRAKE</t>
  </si>
  <si>
    <t>BONIE SOUVANNARATH</t>
  </si>
  <si>
    <t>PATSAMON THANADABOUTH</t>
  </si>
  <si>
    <t>EDMUNDO NORIEGA-GARCIA</t>
  </si>
  <si>
    <t>WILLIAM LAMPARTER</t>
  </si>
  <si>
    <t>MARGARET FINNEGAN</t>
  </si>
  <si>
    <t>ABIGAIL ZULETA DE NORIEGA</t>
  </si>
  <si>
    <t>SYED SALIM</t>
  </si>
  <si>
    <t>SAADIA ABDUL</t>
  </si>
  <si>
    <t>KATHLEEN KARG</t>
  </si>
  <si>
    <t>QUDSIA SALIM</t>
  </si>
  <si>
    <t>ISABELLA SHIPKIN</t>
  </si>
  <si>
    <t>SHEILA UNDERWOOD</t>
  </si>
  <si>
    <t>RONALD MAX</t>
  </si>
  <si>
    <t>CHERYL ROTH</t>
  </si>
  <si>
    <t>CHRISTIAN TAUGNER</t>
  </si>
  <si>
    <t>RONALD GOSSMAN</t>
  </si>
  <si>
    <t>LORRAINE BRYAN</t>
  </si>
  <si>
    <t>MARGARET VANVLIET</t>
  </si>
  <si>
    <t>JOEL LEE</t>
  </si>
  <si>
    <t>AKSHAY SHAH</t>
  </si>
  <si>
    <t>MI</t>
  </si>
  <si>
    <t>UHC PDP Street payable to upline - 2025 Replace</t>
  </si>
  <si>
    <t>11/12 PRORATE</t>
  </si>
  <si>
    <t>UHC PDP Direct 2024 New Initial Prorated</t>
  </si>
  <si>
    <t>GEORGENE DEAN</t>
  </si>
  <si>
    <t>PA</t>
  </si>
  <si>
    <t>MICHELLE MCCORKLE</t>
  </si>
  <si>
    <t>Aetna MAPD NMO to GMO - 4-1-23+  New E-App</t>
  </si>
  <si>
    <t>$50.00</t>
  </si>
  <si>
    <t>MARILYN COX</t>
  </si>
  <si>
    <t>JOHNATHAN RIDEN</t>
  </si>
  <si>
    <t>GA</t>
  </si>
  <si>
    <t>JOAN GAVIN</t>
  </si>
  <si>
    <t>IL</t>
  </si>
  <si>
    <t>HAROLD GAVIN</t>
  </si>
  <si>
    <t>JANICE COHEN</t>
  </si>
  <si>
    <t>MD</t>
  </si>
  <si>
    <t>Aetna MAPD NMO to GMO - 4-1-23+  New Paper</t>
  </si>
  <si>
    <t>ANN REIGEL</t>
  </si>
  <si>
    <t>TX</t>
  </si>
  <si>
    <t>GENOVEVA MANDUJANO</t>
  </si>
  <si>
    <t>DYWANNA CALLOWAY</t>
  </si>
  <si>
    <t>Anthem MA 2023</t>
  </si>
  <si>
    <t>ANDREW SCHAEFFER</t>
  </si>
  <si>
    <t>Active</t>
  </si>
  <si>
    <t>UHC MAPD Street payable to upline- 2025 Replace</t>
  </si>
  <si>
    <t>UHC MA Direct 2024 New Initial Prorated</t>
  </si>
  <si>
    <t>RICHARD FILE</t>
  </si>
  <si>
    <t>DEBORAH POWERS</t>
  </si>
  <si>
    <t>MELISSA FILE</t>
  </si>
  <si>
    <t>THOMAS DONNELLY</t>
  </si>
  <si>
    <t>JOSE TORRES</t>
  </si>
  <si>
    <t>$313.00</t>
  </si>
  <si>
    <t>12/12 PRORATE</t>
  </si>
  <si>
    <t>$72.00</t>
  </si>
  <si>
    <t>MARY FIELDS</t>
  </si>
  <si>
    <t>FL</t>
  </si>
  <si>
    <t>UHC AARP Med Supp MI 2025- Plan  B C D F G</t>
  </si>
  <si>
    <t>ROBERT NICKEL</t>
  </si>
  <si>
    <t>UHC AARP Med Supp FL Area 2 2024- Plan  BC F G</t>
  </si>
  <si>
    <t>CB</t>
  </si>
  <si>
    <t>LOUIS ROBAKIS</t>
  </si>
  <si>
    <t>CHARGEBACK</t>
  </si>
  <si>
    <t>$161.00</t>
  </si>
  <si>
    <t>VIDOSAVA MAISLINGER</t>
  </si>
  <si>
    <t>MAXINE LOVE</t>
  </si>
  <si>
    <t>CHRISTINE BAINE</t>
  </si>
  <si>
    <t>BRUCE MAZAR</t>
  </si>
  <si>
    <t>DEBORAH INSKIPT</t>
  </si>
  <si>
    <t>MICHAEL LOVE</t>
  </si>
  <si>
    <t>LINDA DONALDSON</t>
  </si>
  <si>
    <t>JOAN BOURKE</t>
  </si>
  <si>
    <t>JEFFREY SCHUTTE</t>
  </si>
  <si>
    <t>JOSEPH KOLODZIEJCZYK</t>
  </si>
  <si>
    <t>SHEILA WARTELL</t>
  </si>
  <si>
    <t>BRIAN STROHMAN</t>
  </si>
  <si>
    <t>SHANELLE JACKSON</t>
  </si>
  <si>
    <t>RN</t>
  </si>
  <si>
    <t>JAMES PALMER</t>
  </si>
  <si>
    <t>UHC AARP Med Supp PA Area 3 2025- Plan  N internal repl</t>
  </si>
  <si>
    <t>$1.00</t>
  </si>
  <si>
    <t>$22.52</t>
  </si>
  <si>
    <t>Per DEC 2024 Stmt</t>
  </si>
  <si>
    <t>00000075239K</t>
  </si>
  <si>
    <t>00006618327K</t>
  </si>
  <si>
    <t>00007885681K</t>
  </si>
  <si>
    <t>00009482853K</t>
  </si>
  <si>
    <t>00009933847K</t>
  </si>
  <si>
    <t>00010790856K</t>
  </si>
  <si>
    <t>00013407781K</t>
  </si>
  <si>
    <t>00013779032K</t>
  </si>
  <si>
    <t>00013950977K</t>
  </si>
  <si>
    <t>00018056985K</t>
  </si>
  <si>
    <t>00020132266K</t>
  </si>
  <si>
    <t>00020310714K</t>
  </si>
  <si>
    <t>00022397306K</t>
  </si>
  <si>
    <t>00022402277K</t>
  </si>
  <si>
    <t>00022899364K</t>
  </si>
  <si>
    <t>00022975439K</t>
  </si>
  <si>
    <t>00022976801K</t>
  </si>
  <si>
    <t>00022978038K</t>
  </si>
  <si>
    <t>00022978485K</t>
  </si>
  <si>
    <t>00022980590K</t>
  </si>
  <si>
    <t>00022981136K</t>
  </si>
  <si>
    <t>00022982390K</t>
  </si>
  <si>
    <t>00022983808K</t>
  </si>
  <si>
    <t>00022984115K</t>
  </si>
  <si>
    <t>00022985423K</t>
  </si>
  <si>
    <t>00022988308K</t>
  </si>
  <si>
    <t>00022988358K</t>
  </si>
  <si>
    <t>00022990118K</t>
  </si>
  <si>
    <t>00022992485K</t>
  </si>
  <si>
    <t>00022995381K</t>
  </si>
  <si>
    <t>00022996929K</t>
  </si>
  <si>
    <t>00022996984K</t>
  </si>
  <si>
    <t>00022997393K</t>
  </si>
  <si>
    <t>614W13756</t>
  </si>
  <si>
    <t>910907579OV</t>
  </si>
  <si>
    <t>959938317OV</t>
  </si>
  <si>
    <t>994120659OV</t>
  </si>
  <si>
    <t>A04209304</t>
  </si>
  <si>
    <t>A04209376</t>
  </si>
  <si>
    <t>00005143463KPC</t>
  </si>
  <si>
    <t>00010438260KCB</t>
  </si>
  <si>
    <t>00022417706KPC</t>
  </si>
  <si>
    <t>00022423175KPC</t>
  </si>
  <si>
    <t>00022457988KCB</t>
  </si>
  <si>
    <t>00022478097KPC</t>
  </si>
  <si>
    <t>00022519552KPC</t>
  </si>
  <si>
    <t>00022577638KPC</t>
  </si>
  <si>
    <t>101068686100CB</t>
  </si>
  <si>
    <t>101079484800CB</t>
  </si>
  <si>
    <t>102103193700CB</t>
  </si>
  <si>
    <t>997230291CB</t>
  </si>
  <si>
    <t>997230291OVCB</t>
  </si>
  <si>
    <t>A03777817</t>
  </si>
  <si>
    <t>Aetna MAPD OVR 2025</t>
  </si>
  <si>
    <t>Humana MAPD OVR 2025</t>
  </si>
  <si>
    <t>UHC MAPD Ovr</t>
  </si>
  <si>
    <t>UHC 2025*</t>
  </si>
  <si>
    <t>[%/$=313][prorate=12/12]</t>
  </si>
  <si>
    <t>[%/$=313][prorate=11/12]</t>
  </si>
  <si>
    <t>UHC AARP MS FL Area 2 2024- Plan B C F G</t>
  </si>
  <si>
    <t>UHC AARP MS PA Area 3 2024- Plan BC F G</t>
  </si>
  <si>
    <t>UHC PDP 2025!</t>
  </si>
  <si>
    <t>Main Line Benefits</t>
  </si>
  <si>
    <t>023019616OV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</si>
</sst>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9E22-43F5-8D40-990D-11066C2CC48D}">
  <dimension ref="A1:AL69"/>
  <sheetViews>
    <sheetView topLeftCell="I1" workbookViewId="0">
      <pane ySplit="1" topLeftCell="A2" activePane="bottomLeft" state="frozen"/>
      <selection pane="bottomLeft" activeCell="S57" sqref="S57"/>
    </sheetView>
  </sheetViews>
  <sheetFormatPr defaultColWidth="11" defaultRowHeight="15.75" x14ac:dyDescent="0.25"/>
  <cols>
    <col min="18" max="18" width="47.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45679</v>
      </c>
      <c r="B2" s="1">
        <v>45679</v>
      </c>
      <c r="C2" t="s">
        <v>38</v>
      </c>
      <c r="D2" t="s">
        <v>39</v>
      </c>
      <c r="E2" t="s">
        <v>40</v>
      </c>
      <c r="F2">
        <v>43677</v>
      </c>
      <c r="H2" t="s">
        <v>41</v>
      </c>
      <c r="I2" t="s">
        <v>165</v>
      </c>
      <c r="J2" t="s">
        <v>42</v>
      </c>
      <c r="M2" t="s">
        <v>43</v>
      </c>
      <c r="O2">
        <v>45632</v>
      </c>
      <c r="P2" t="s">
        <v>44</v>
      </c>
      <c r="Q2" t="s">
        <v>45</v>
      </c>
      <c r="R2" t="s">
        <v>46</v>
      </c>
      <c r="S2" s="1">
        <v>45689</v>
      </c>
      <c r="U2" t="s">
        <v>47</v>
      </c>
      <c r="X2" t="s">
        <v>48</v>
      </c>
      <c r="Y2" s="4">
        <v>0</v>
      </c>
      <c r="Z2" s="4">
        <v>108</v>
      </c>
      <c r="AA2">
        <v>1</v>
      </c>
      <c r="AB2" s="2">
        <v>1</v>
      </c>
      <c r="AC2" s="4">
        <v>108</v>
      </c>
      <c r="AD2" s="2">
        <v>0</v>
      </c>
      <c r="AE2" s="4">
        <v>0</v>
      </c>
      <c r="AF2" s="4">
        <v>108</v>
      </c>
      <c r="AK2">
        <v>4979503</v>
      </c>
    </row>
    <row r="3" spans="1:38" x14ac:dyDescent="0.25">
      <c r="A3" s="1">
        <v>45679</v>
      </c>
      <c r="B3" s="1">
        <v>45679</v>
      </c>
      <c r="C3" t="s">
        <v>38</v>
      </c>
      <c r="D3" t="s">
        <v>39</v>
      </c>
      <c r="E3" t="s">
        <v>40</v>
      </c>
      <c r="F3">
        <v>43677</v>
      </c>
      <c r="H3" t="s">
        <v>41</v>
      </c>
      <c r="I3" t="s">
        <v>166</v>
      </c>
      <c r="J3" t="s">
        <v>50</v>
      </c>
      <c r="M3" t="s">
        <v>43</v>
      </c>
      <c r="O3">
        <v>43969</v>
      </c>
      <c r="P3" t="s">
        <v>51</v>
      </c>
      <c r="Q3" t="s">
        <v>45</v>
      </c>
      <c r="R3" t="s">
        <v>52</v>
      </c>
      <c r="S3" s="1">
        <v>45689</v>
      </c>
      <c r="U3" t="s">
        <v>47</v>
      </c>
      <c r="X3" t="s">
        <v>48</v>
      </c>
      <c r="Y3" s="4">
        <v>0</v>
      </c>
      <c r="Z3" s="4">
        <v>175</v>
      </c>
      <c r="AA3">
        <v>1</v>
      </c>
      <c r="AB3" s="2">
        <v>1</v>
      </c>
      <c r="AC3" s="4">
        <v>175</v>
      </c>
      <c r="AD3" s="2">
        <v>0</v>
      </c>
      <c r="AE3" s="4">
        <v>0</v>
      </c>
      <c r="AF3" s="4">
        <v>175</v>
      </c>
      <c r="AK3">
        <v>4979631</v>
      </c>
    </row>
    <row r="4" spans="1:38" x14ac:dyDescent="0.25">
      <c r="A4" s="1">
        <v>45679</v>
      </c>
      <c r="B4" s="1">
        <v>45679</v>
      </c>
      <c r="C4" t="s">
        <v>38</v>
      </c>
      <c r="D4" t="s">
        <v>39</v>
      </c>
      <c r="E4" t="s">
        <v>40</v>
      </c>
      <c r="F4">
        <v>43677</v>
      </c>
      <c r="H4" t="s">
        <v>41</v>
      </c>
      <c r="I4" t="s">
        <v>167</v>
      </c>
      <c r="J4" t="s">
        <v>54</v>
      </c>
      <c r="M4" t="s">
        <v>43</v>
      </c>
      <c r="O4">
        <v>45603</v>
      </c>
      <c r="P4" t="s">
        <v>55</v>
      </c>
      <c r="Q4" t="s">
        <v>45</v>
      </c>
      <c r="R4" t="s">
        <v>52</v>
      </c>
      <c r="S4" s="1">
        <v>45689</v>
      </c>
      <c r="U4" t="s">
        <v>47</v>
      </c>
      <c r="X4" t="s">
        <v>48</v>
      </c>
      <c r="Y4" s="4">
        <v>0</v>
      </c>
      <c r="Z4" s="4">
        <v>175</v>
      </c>
      <c r="AA4">
        <v>1</v>
      </c>
      <c r="AB4" s="2">
        <v>1</v>
      </c>
      <c r="AC4" s="4">
        <v>175</v>
      </c>
      <c r="AD4" s="2">
        <v>0</v>
      </c>
      <c r="AE4" s="4">
        <v>0</v>
      </c>
      <c r="AF4" s="4">
        <v>175</v>
      </c>
      <c r="AK4">
        <v>4979632</v>
      </c>
    </row>
    <row r="5" spans="1:38" x14ac:dyDescent="0.25">
      <c r="A5" s="1">
        <v>45679</v>
      </c>
      <c r="B5" s="1">
        <v>45679</v>
      </c>
      <c r="C5" t="s">
        <v>38</v>
      </c>
      <c r="D5" t="s">
        <v>39</v>
      </c>
      <c r="E5" t="s">
        <v>40</v>
      </c>
      <c r="F5">
        <v>43677</v>
      </c>
      <c r="H5" t="s">
        <v>41</v>
      </c>
      <c r="I5" t="s">
        <v>168</v>
      </c>
      <c r="J5" t="s">
        <v>56</v>
      </c>
      <c r="M5" t="s">
        <v>43</v>
      </c>
      <c r="O5">
        <v>45611</v>
      </c>
      <c r="P5" t="s">
        <v>57</v>
      </c>
      <c r="Q5" t="s">
        <v>45</v>
      </c>
      <c r="R5" t="s">
        <v>46</v>
      </c>
      <c r="S5" s="1">
        <v>45689</v>
      </c>
      <c r="U5" t="s">
        <v>47</v>
      </c>
      <c r="X5" t="s">
        <v>48</v>
      </c>
      <c r="Y5" s="4">
        <v>0</v>
      </c>
      <c r="Z5" s="4">
        <v>108</v>
      </c>
      <c r="AA5">
        <v>1</v>
      </c>
      <c r="AB5" s="2">
        <v>1</v>
      </c>
      <c r="AC5" s="4">
        <v>108</v>
      </c>
      <c r="AD5" s="2">
        <v>0</v>
      </c>
      <c r="AE5" s="4">
        <v>0</v>
      </c>
      <c r="AF5" s="4">
        <v>108</v>
      </c>
      <c r="AK5">
        <v>4979504</v>
      </c>
    </row>
    <row r="6" spans="1:38" x14ac:dyDescent="0.25">
      <c r="A6" s="1">
        <v>45679</v>
      </c>
      <c r="B6" s="1">
        <v>45679</v>
      </c>
      <c r="C6" t="s">
        <v>38</v>
      </c>
      <c r="D6" t="s">
        <v>39</v>
      </c>
      <c r="E6" t="s">
        <v>40</v>
      </c>
      <c r="F6">
        <v>43677</v>
      </c>
      <c r="H6" t="s">
        <v>41</v>
      </c>
      <c r="I6" t="s">
        <v>169</v>
      </c>
      <c r="J6" t="s">
        <v>58</v>
      </c>
      <c r="M6" t="s">
        <v>43</v>
      </c>
      <c r="O6">
        <v>45612</v>
      </c>
      <c r="P6" t="s">
        <v>59</v>
      </c>
      <c r="Q6" t="s">
        <v>45</v>
      </c>
      <c r="R6" t="s">
        <v>52</v>
      </c>
      <c r="S6" s="1">
        <v>45689</v>
      </c>
      <c r="U6" t="s">
        <v>47</v>
      </c>
      <c r="X6" t="s">
        <v>48</v>
      </c>
      <c r="Y6" s="4">
        <v>0</v>
      </c>
      <c r="Z6" s="4">
        <v>175</v>
      </c>
      <c r="AA6">
        <v>1</v>
      </c>
      <c r="AB6" s="2">
        <v>1</v>
      </c>
      <c r="AC6" s="4">
        <v>175</v>
      </c>
      <c r="AD6" s="2">
        <v>0</v>
      </c>
      <c r="AE6" s="4">
        <v>0</v>
      </c>
      <c r="AF6" s="4">
        <v>175</v>
      </c>
      <c r="AK6">
        <v>4979633</v>
      </c>
    </row>
    <row r="7" spans="1:38" x14ac:dyDescent="0.25">
      <c r="A7" s="1">
        <v>45679</v>
      </c>
      <c r="B7" s="1">
        <v>45679</v>
      </c>
      <c r="C7" t="s">
        <v>38</v>
      </c>
      <c r="D7" t="s">
        <v>39</v>
      </c>
      <c r="E7" t="s">
        <v>40</v>
      </c>
      <c r="F7">
        <v>43677</v>
      </c>
      <c r="H7" t="s">
        <v>41</v>
      </c>
      <c r="I7" t="s">
        <v>170</v>
      </c>
      <c r="J7" t="s">
        <v>60</v>
      </c>
      <c r="M7" t="s">
        <v>43</v>
      </c>
      <c r="O7">
        <v>45611</v>
      </c>
      <c r="P7" t="s">
        <v>57</v>
      </c>
      <c r="Q7" t="s">
        <v>45</v>
      </c>
      <c r="R7" t="s">
        <v>52</v>
      </c>
      <c r="S7" s="1">
        <v>45689</v>
      </c>
      <c r="U7" t="s">
        <v>47</v>
      </c>
      <c r="X7" t="s">
        <v>48</v>
      </c>
      <c r="Y7" s="4">
        <v>0</v>
      </c>
      <c r="Z7" s="4">
        <v>175</v>
      </c>
      <c r="AA7">
        <v>1</v>
      </c>
      <c r="AB7" s="2">
        <v>1</v>
      </c>
      <c r="AC7" s="4">
        <v>175</v>
      </c>
      <c r="AD7" s="2">
        <v>0</v>
      </c>
      <c r="AE7" s="4">
        <v>0</v>
      </c>
      <c r="AF7" s="4">
        <v>175</v>
      </c>
      <c r="AK7">
        <v>4979634</v>
      </c>
    </row>
    <row r="8" spans="1:38" x14ac:dyDescent="0.25">
      <c r="A8" s="1">
        <v>45679</v>
      </c>
      <c r="B8" s="1">
        <v>45679</v>
      </c>
      <c r="C8" t="s">
        <v>38</v>
      </c>
      <c r="D8" t="s">
        <v>39</v>
      </c>
      <c r="E8" t="s">
        <v>40</v>
      </c>
      <c r="F8">
        <v>43677</v>
      </c>
      <c r="H8" t="s">
        <v>41</v>
      </c>
      <c r="I8" t="s">
        <v>171</v>
      </c>
      <c r="J8" t="s">
        <v>61</v>
      </c>
      <c r="M8" t="s">
        <v>43</v>
      </c>
      <c r="O8">
        <v>45709</v>
      </c>
      <c r="P8" t="s">
        <v>62</v>
      </c>
      <c r="Q8" t="s">
        <v>45</v>
      </c>
      <c r="R8" t="s">
        <v>52</v>
      </c>
      <c r="S8" s="1">
        <v>45689</v>
      </c>
      <c r="U8" t="s">
        <v>47</v>
      </c>
      <c r="X8" t="s">
        <v>48</v>
      </c>
      <c r="Y8" s="4">
        <v>0</v>
      </c>
      <c r="Z8" s="4">
        <v>175</v>
      </c>
      <c r="AA8">
        <v>1</v>
      </c>
      <c r="AB8" s="2">
        <v>1</v>
      </c>
      <c r="AC8" s="4">
        <v>175</v>
      </c>
      <c r="AD8" s="2">
        <v>0</v>
      </c>
      <c r="AE8" s="4">
        <v>0</v>
      </c>
      <c r="AF8" s="4">
        <v>175</v>
      </c>
      <c r="AK8">
        <v>4979635</v>
      </c>
    </row>
    <row r="9" spans="1:38" x14ac:dyDescent="0.25">
      <c r="A9" s="1">
        <v>45679</v>
      </c>
      <c r="B9" s="1">
        <v>45679</v>
      </c>
      <c r="C9" t="s">
        <v>38</v>
      </c>
      <c r="D9" t="s">
        <v>39</v>
      </c>
      <c r="E9" t="s">
        <v>40</v>
      </c>
      <c r="F9">
        <v>43677</v>
      </c>
      <c r="H9" t="s">
        <v>41</v>
      </c>
      <c r="I9" t="s">
        <v>172</v>
      </c>
      <c r="J9" t="s">
        <v>63</v>
      </c>
      <c r="M9" t="s">
        <v>43</v>
      </c>
      <c r="O9">
        <v>45618</v>
      </c>
      <c r="P9" t="s">
        <v>64</v>
      </c>
      <c r="Q9" t="s">
        <v>45</v>
      </c>
      <c r="R9" t="s">
        <v>52</v>
      </c>
      <c r="S9" s="1">
        <v>45689</v>
      </c>
      <c r="U9" t="s">
        <v>47</v>
      </c>
      <c r="X9" t="s">
        <v>48</v>
      </c>
      <c r="Y9" s="4">
        <v>0</v>
      </c>
      <c r="Z9" s="4">
        <v>175</v>
      </c>
      <c r="AA9">
        <v>1</v>
      </c>
      <c r="AB9" s="2">
        <v>1</v>
      </c>
      <c r="AC9" s="4">
        <v>175</v>
      </c>
      <c r="AD9" s="2">
        <v>0</v>
      </c>
      <c r="AE9" s="4">
        <v>0</v>
      </c>
      <c r="AF9" s="4">
        <v>175</v>
      </c>
      <c r="AK9">
        <v>4979636</v>
      </c>
    </row>
    <row r="10" spans="1:38" x14ac:dyDescent="0.25">
      <c r="A10" s="1">
        <v>45679</v>
      </c>
      <c r="B10" s="1">
        <v>45679</v>
      </c>
      <c r="C10" t="s">
        <v>38</v>
      </c>
      <c r="D10" t="s">
        <v>39</v>
      </c>
      <c r="E10" t="s">
        <v>40</v>
      </c>
      <c r="F10">
        <v>43677</v>
      </c>
      <c r="H10" t="s">
        <v>41</v>
      </c>
      <c r="I10" t="s">
        <v>173</v>
      </c>
      <c r="J10" t="s">
        <v>65</v>
      </c>
      <c r="M10" t="s">
        <v>43</v>
      </c>
      <c r="O10">
        <v>45638</v>
      </c>
      <c r="P10" t="s">
        <v>66</v>
      </c>
      <c r="Q10" t="s">
        <v>45</v>
      </c>
      <c r="R10" t="s">
        <v>52</v>
      </c>
      <c r="S10" s="1">
        <v>45689</v>
      </c>
      <c r="U10" t="s">
        <v>47</v>
      </c>
      <c r="X10" t="s">
        <v>48</v>
      </c>
      <c r="Y10" s="4">
        <v>0</v>
      </c>
      <c r="Z10" s="4">
        <v>175</v>
      </c>
      <c r="AA10">
        <v>1</v>
      </c>
      <c r="AB10" s="2">
        <v>1</v>
      </c>
      <c r="AC10" s="4">
        <v>175</v>
      </c>
      <c r="AD10" s="2">
        <v>0</v>
      </c>
      <c r="AE10" s="4">
        <v>0</v>
      </c>
      <c r="AF10" s="4">
        <v>175</v>
      </c>
      <c r="AK10">
        <v>4979637</v>
      </c>
    </row>
    <row r="11" spans="1:38" x14ac:dyDescent="0.25">
      <c r="A11" s="1">
        <v>45679</v>
      </c>
      <c r="B11" s="1">
        <v>45679</v>
      </c>
      <c r="C11" t="s">
        <v>38</v>
      </c>
      <c r="D11" t="s">
        <v>39</v>
      </c>
      <c r="E11" t="s">
        <v>40</v>
      </c>
      <c r="F11">
        <v>43677</v>
      </c>
      <c r="H11" t="s">
        <v>41</v>
      </c>
      <c r="I11" t="s">
        <v>174</v>
      </c>
      <c r="J11" t="s">
        <v>67</v>
      </c>
      <c r="M11" t="s">
        <v>43</v>
      </c>
      <c r="O11">
        <v>45612</v>
      </c>
      <c r="P11" t="s">
        <v>59</v>
      </c>
      <c r="Q11" t="s">
        <v>45</v>
      </c>
      <c r="R11" t="s">
        <v>46</v>
      </c>
      <c r="S11" s="1">
        <v>45689</v>
      </c>
      <c r="U11" t="s">
        <v>47</v>
      </c>
      <c r="X11" t="s">
        <v>48</v>
      </c>
      <c r="Y11" s="4">
        <v>0</v>
      </c>
      <c r="Z11" s="4">
        <v>108</v>
      </c>
      <c r="AA11">
        <v>1</v>
      </c>
      <c r="AB11" s="2">
        <v>1</v>
      </c>
      <c r="AC11" s="4">
        <v>108</v>
      </c>
      <c r="AD11" s="2">
        <v>0</v>
      </c>
      <c r="AE11" s="4">
        <v>0</v>
      </c>
      <c r="AF11" s="4">
        <v>108</v>
      </c>
      <c r="AK11">
        <v>4979505</v>
      </c>
    </row>
    <row r="12" spans="1:38" x14ac:dyDescent="0.25">
      <c r="A12" s="1">
        <v>45679</v>
      </c>
      <c r="B12" s="1">
        <v>45679</v>
      </c>
      <c r="C12" t="s">
        <v>38</v>
      </c>
      <c r="D12" t="s">
        <v>39</v>
      </c>
      <c r="E12" t="s">
        <v>40</v>
      </c>
      <c r="F12">
        <v>43677</v>
      </c>
      <c r="H12" t="s">
        <v>41</v>
      </c>
      <c r="I12" t="s">
        <v>175</v>
      </c>
      <c r="J12" t="s">
        <v>68</v>
      </c>
      <c r="M12" t="s">
        <v>43</v>
      </c>
      <c r="O12">
        <v>45638</v>
      </c>
      <c r="P12" t="s">
        <v>66</v>
      </c>
      <c r="Q12" t="s">
        <v>45</v>
      </c>
      <c r="R12" t="s">
        <v>46</v>
      </c>
      <c r="S12" s="1">
        <v>45689</v>
      </c>
      <c r="U12" t="s">
        <v>47</v>
      </c>
      <c r="X12" t="s">
        <v>48</v>
      </c>
      <c r="Y12" s="4">
        <v>0</v>
      </c>
      <c r="Z12" s="4">
        <v>108</v>
      </c>
      <c r="AA12">
        <v>1</v>
      </c>
      <c r="AB12" s="2">
        <v>1</v>
      </c>
      <c r="AC12" s="4">
        <v>108</v>
      </c>
      <c r="AD12" s="2">
        <v>0</v>
      </c>
      <c r="AE12" s="4">
        <v>0</v>
      </c>
      <c r="AF12" s="4">
        <v>108</v>
      </c>
      <c r="AK12">
        <v>4979506</v>
      </c>
    </row>
    <row r="13" spans="1:38" x14ac:dyDescent="0.25">
      <c r="A13" s="1">
        <v>45679</v>
      </c>
      <c r="B13" s="1">
        <v>45679</v>
      </c>
      <c r="C13" t="s">
        <v>38</v>
      </c>
      <c r="D13" t="s">
        <v>39</v>
      </c>
      <c r="E13" t="s">
        <v>40</v>
      </c>
      <c r="F13">
        <v>43677</v>
      </c>
      <c r="H13" t="s">
        <v>41</v>
      </c>
      <c r="I13" t="s">
        <v>176</v>
      </c>
      <c r="J13" t="s">
        <v>69</v>
      </c>
      <c r="M13" t="s">
        <v>43</v>
      </c>
      <c r="O13">
        <v>45638</v>
      </c>
      <c r="P13" t="s">
        <v>66</v>
      </c>
      <c r="Q13" t="s">
        <v>45</v>
      </c>
      <c r="R13" t="s">
        <v>46</v>
      </c>
      <c r="S13" s="1">
        <v>45689</v>
      </c>
      <c r="U13" t="s">
        <v>47</v>
      </c>
      <c r="X13" t="s">
        <v>48</v>
      </c>
      <c r="Y13" s="4">
        <v>0</v>
      </c>
      <c r="Z13" s="4">
        <v>108</v>
      </c>
      <c r="AA13">
        <v>1</v>
      </c>
      <c r="AB13" s="2">
        <v>1</v>
      </c>
      <c r="AC13" s="4">
        <v>108</v>
      </c>
      <c r="AD13" s="2">
        <v>0</v>
      </c>
      <c r="AE13" s="4">
        <v>0</v>
      </c>
      <c r="AF13" s="4">
        <v>108</v>
      </c>
      <c r="AK13">
        <v>4979507</v>
      </c>
    </row>
    <row r="14" spans="1:38" x14ac:dyDescent="0.25">
      <c r="A14" s="1">
        <v>45679</v>
      </c>
      <c r="B14" s="1">
        <v>45679</v>
      </c>
      <c r="C14" t="s">
        <v>38</v>
      </c>
      <c r="D14" t="s">
        <v>39</v>
      </c>
      <c r="E14" t="s">
        <v>40</v>
      </c>
      <c r="F14">
        <v>43677</v>
      </c>
      <c r="H14" t="s">
        <v>41</v>
      </c>
      <c r="I14" t="s">
        <v>177</v>
      </c>
      <c r="J14" t="s">
        <v>70</v>
      </c>
      <c r="M14" t="s">
        <v>43</v>
      </c>
      <c r="O14">
        <v>43682</v>
      </c>
      <c r="P14" t="s">
        <v>71</v>
      </c>
      <c r="Q14" t="s">
        <v>45</v>
      </c>
      <c r="R14" t="s">
        <v>52</v>
      </c>
      <c r="S14" s="1">
        <v>45689</v>
      </c>
      <c r="U14" t="s">
        <v>47</v>
      </c>
      <c r="X14" t="s">
        <v>48</v>
      </c>
      <c r="Y14" s="4">
        <v>0</v>
      </c>
      <c r="Z14" s="4">
        <v>175</v>
      </c>
      <c r="AA14">
        <v>1</v>
      </c>
      <c r="AB14" s="2">
        <v>1</v>
      </c>
      <c r="AC14" s="4">
        <v>175</v>
      </c>
      <c r="AD14" s="2">
        <v>0</v>
      </c>
      <c r="AE14" s="4">
        <v>0</v>
      </c>
      <c r="AF14" s="4">
        <v>175</v>
      </c>
      <c r="AK14">
        <v>4979638</v>
      </c>
    </row>
    <row r="15" spans="1:38" x14ac:dyDescent="0.25">
      <c r="A15" s="1">
        <v>45679</v>
      </c>
      <c r="B15" s="1">
        <v>45679</v>
      </c>
      <c r="C15" t="s">
        <v>38</v>
      </c>
      <c r="D15" t="s">
        <v>39</v>
      </c>
      <c r="E15" t="s">
        <v>40</v>
      </c>
      <c r="F15">
        <v>43677</v>
      </c>
      <c r="H15" t="s">
        <v>41</v>
      </c>
      <c r="I15" t="s">
        <v>178</v>
      </c>
      <c r="J15" t="s">
        <v>72</v>
      </c>
      <c r="M15" t="s">
        <v>43</v>
      </c>
      <c r="O15">
        <v>43682</v>
      </c>
      <c r="P15" t="s">
        <v>71</v>
      </c>
      <c r="Q15" t="s">
        <v>45</v>
      </c>
      <c r="R15" t="s">
        <v>52</v>
      </c>
      <c r="S15" s="1">
        <v>45689</v>
      </c>
      <c r="U15" t="s">
        <v>47</v>
      </c>
      <c r="X15" t="s">
        <v>48</v>
      </c>
      <c r="Y15" s="4">
        <v>0</v>
      </c>
      <c r="Z15" s="4">
        <v>175</v>
      </c>
      <c r="AA15">
        <v>1</v>
      </c>
      <c r="AB15" s="2">
        <v>1</v>
      </c>
      <c r="AC15" s="4">
        <v>175</v>
      </c>
      <c r="AD15" s="2">
        <v>0</v>
      </c>
      <c r="AE15" s="4">
        <v>0</v>
      </c>
      <c r="AF15" s="4">
        <v>175</v>
      </c>
      <c r="AK15">
        <v>4979639</v>
      </c>
    </row>
    <row r="16" spans="1:38" x14ac:dyDescent="0.25">
      <c r="A16" s="1">
        <v>45679</v>
      </c>
      <c r="B16" s="1">
        <v>45679</v>
      </c>
      <c r="C16" t="s">
        <v>38</v>
      </c>
      <c r="D16" t="s">
        <v>39</v>
      </c>
      <c r="E16" t="s">
        <v>40</v>
      </c>
      <c r="F16">
        <v>43677</v>
      </c>
      <c r="H16" t="s">
        <v>41</v>
      </c>
      <c r="I16" t="s">
        <v>179</v>
      </c>
      <c r="J16" t="s">
        <v>73</v>
      </c>
      <c r="M16" t="s">
        <v>43</v>
      </c>
      <c r="O16">
        <v>45601</v>
      </c>
      <c r="P16" t="s">
        <v>74</v>
      </c>
      <c r="Q16" t="s">
        <v>45</v>
      </c>
      <c r="R16" t="s">
        <v>46</v>
      </c>
      <c r="S16" s="1">
        <v>45658</v>
      </c>
      <c r="U16" t="s">
        <v>47</v>
      </c>
      <c r="X16" t="s">
        <v>48</v>
      </c>
      <c r="Y16" s="4">
        <v>0</v>
      </c>
      <c r="Z16" s="4">
        <v>108</v>
      </c>
      <c r="AA16">
        <v>1</v>
      </c>
      <c r="AB16" s="2">
        <v>1</v>
      </c>
      <c r="AC16" s="4">
        <v>108</v>
      </c>
      <c r="AD16" s="2">
        <v>0</v>
      </c>
      <c r="AE16" s="4">
        <v>0</v>
      </c>
      <c r="AF16" s="4">
        <v>108</v>
      </c>
      <c r="AK16">
        <v>4979508</v>
      </c>
    </row>
    <row r="17" spans="1:37" x14ac:dyDescent="0.25">
      <c r="A17" s="1">
        <v>45679</v>
      </c>
      <c r="B17" s="1">
        <v>45679</v>
      </c>
      <c r="C17" t="s">
        <v>38</v>
      </c>
      <c r="D17" t="s">
        <v>39</v>
      </c>
      <c r="E17" t="s">
        <v>40</v>
      </c>
      <c r="F17">
        <v>43677</v>
      </c>
      <c r="H17" t="s">
        <v>41</v>
      </c>
      <c r="I17" t="s">
        <v>180</v>
      </c>
      <c r="J17" t="s">
        <v>75</v>
      </c>
      <c r="M17" t="s">
        <v>43</v>
      </c>
      <c r="O17">
        <v>45611</v>
      </c>
      <c r="P17" t="s">
        <v>57</v>
      </c>
      <c r="Q17" t="s">
        <v>45</v>
      </c>
      <c r="R17" t="s">
        <v>52</v>
      </c>
      <c r="S17" s="1">
        <v>45689</v>
      </c>
      <c r="U17" t="s">
        <v>47</v>
      </c>
      <c r="X17" t="s">
        <v>48</v>
      </c>
      <c r="Y17" s="4">
        <v>0</v>
      </c>
      <c r="Z17" s="4">
        <v>175</v>
      </c>
      <c r="AA17">
        <v>1</v>
      </c>
      <c r="AB17" s="2">
        <v>1</v>
      </c>
      <c r="AC17" s="4">
        <v>175</v>
      </c>
      <c r="AD17" s="2">
        <v>0</v>
      </c>
      <c r="AE17" s="4">
        <v>0</v>
      </c>
      <c r="AF17" s="4">
        <v>175</v>
      </c>
      <c r="AK17">
        <v>4979640</v>
      </c>
    </row>
    <row r="18" spans="1:37" x14ac:dyDescent="0.25">
      <c r="A18" s="1">
        <v>45679</v>
      </c>
      <c r="B18" s="1">
        <v>45679</v>
      </c>
      <c r="C18" t="s">
        <v>38</v>
      </c>
      <c r="D18" t="s">
        <v>39</v>
      </c>
      <c r="E18" t="s">
        <v>40</v>
      </c>
      <c r="F18">
        <v>43677</v>
      </c>
      <c r="H18" t="s">
        <v>41</v>
      </c>
      <c r="I18" t="s">
        <v>181</v>
      </c>
      <c r="J18" t="s">
        <v>76</v>
      </c>
      <c r="M18" t="s">
        <v>43</v>
      </c>
      <c r="O18">
        <v>45605</v>
      </c>
      <c r="P18" t="s">
        <v>77</v>
      </c>
      <c r="Q18" t="s">
        <v>45</v>
      </c>
      <c r="R18" t="s">
        <v>52</v>
      </c>
      <c r="S18" s="1">
        <v>45689</v>
      </c>
      <c r="U18" t="s">
        <v>47</v>
      </c>
      <c r="X18" t="s">
        <v>48</v>
      </c>
      <c r="Y18" s="4">
        <v>0</v>
      </c>
      <c r="Z18" s="4">
        <v>175</v>
      </c>
      <c r="AA18">
        <v>1</v>
      </c>
      <c r="AB18" s="2">
        <v>1</v>
      </c>
      <c r="AC18" s="4">
        <v>175</v>
      </c>
      <c r="AD18" s="2">
        <v>0</v>
      </c>
      <c r="AE18" s="4">
        <v>0</v>
      </c>
      <c r="AF18" s="4">
        <v>175</v>
      </c>
      <c r="AK18">
        <v>4979641</v>
      </c>
    </row>
    <row r="19" spans="1:37" x14ac:dyDescent="0.25">
      <c r="A19" s="1">
        <v>45679</v>
      </c>
      <c r="B19" s="1">
        <v>45679</v>
      </c>
      <c r="C19" t="s">
        <v>38</v>
      </c>
      <c r="D19" t="s">
        <v>39</v>
      </c>
      <c r="E19" t="s">
        <v>40</v>
      </c>
      <c r="F19">
        <v>43677</v>
      </c>
      <c r="H19" t="s">
        <v>41</v>
      </c>
      <c r="I19" t="s">
        <v>182</v>
      </c>
      <c r="J19" t="s">
        <v>78</v>
      </c>
      <c r="M19" t="s">
        <v>43</v>
      </c>
      <c r="O19">
        <v>43682</v>
      </c>
      <c r="P19" t="s">
        <v>71</v>
      </c>
      <c r="Q19" t="s">
        <v>45</v>
      </c>
      <c r="R19" t="s">
        <v>52</v>
      </c>
      <c r="S19" s="1">
        <v>45689</v>
      </c>
      <c r="U19" t="s">
        <v>47</v>
      </c>
      <c r="X19" t="s">
        <v>48</v>
      </c>
      <c r="Y19" s="4">
        <v>0</v>
      </c>
      <c r="Z19" s="4">
        <v>175</v>
      </c>
      <c r="AA19">
        <v>1</v>
      </c>
      <c r="AB19" s="2">
        <v>1</v>
      </c>
      <c r="AC19" s="4">
        <v>175</v>
      </c>
      <c r="AD19" s="2">
        <v>0</v>
      </c>
      <c r="AE19" s="4">
        <v>0</v>
      </c>
      <c r="AF19" s="4">
        <v>175</v>
      </c>
      <c r="AK19">
        <v>4979642</v>
      </c>
    </row>
    <row r="20" spans="1:37" x14ac:dyDescent="0.25">
      <c r="A20" s="1">
        <v>45679</v>
      </c>
      <c r="B20" s="1">
        <v>45679</v>
      </c>
      <c r="C20" t="s">
        <v>38</v>
      </c>
      <c r="D20" t="s">
        <v>39</v>
      </c>
      <c r="E20" t="s">
        <v>40</v>
      </c>
      <c r="F20">
        <v>43677</v>
      </c>
      <c r="H20" t="s">
        <v>41</v>
      </c>
      <c r="I20" t="s">
        <v>183</v>
      </c>
      <c r="J20" t="s">
        <v>79</v>
      </c>
      <c r="M20" t="s">
        <v>43</v>
      </c>
      <c r="O20">
        <v>45604</v>
      </c>
      <c r="P20" t="s">
        <v>80</v>
      </c>
      <c r="Q20" t="s">
        <v>45</v>
      </c>
      <c r="R20" t="s">
        <v>52</v>
      </c>
      <c r="S20" s="1">
        <v>45689</v>
      </c>
      <c r="U20" t="s">
        <v>47</v>
      </c>
      <c r="X20" t="s">
        <v>48</v>
      </c>
      <c r="Y20" s="4">
        <v>0</v>
      </c>
      <c r="Z20" s="4">
        <v>175</v>
      </c>
      <c r="AA20">
        <v>1</v>
      </c>
      <c r="AB20" s="2">
        <v>1</v>
      </c>
      <c r="AC20" s="4">
        <v>175</v>
      </c>
      <c r="AD20" s="2">
        <v>0</v>
      </c>
      <c r="AE20" s="4">
        <v>0</v>
      </c>
      <c r="AF20" s="4">
        <v>175</v>
      </c>
      <c r="AK20">
        <v>4979643</v>
      </c>
    </row>
    <row r="21" spans="1:37" x14ac:dyDescent="0.25">
      <c r="A21" s="1">
        <v>45679</v>
      </c>
      <c r="B21" s="1">
        <v>45679</v>
      </c>
      <c r="C21" t="s">
        <v>38</v>
      </c>
      <c r="D21" t="s">
        <v>39</v>
      </c>
      <c r="E21" t="s">
        <v>40</v>
      </c>
      <c r="F21">
        <v>43677</v>
      </c>
      <c r="H21" t="s">
        <v>41</v>
      </c>
      <c r="I21" t="s">
        <v>184</v>
      </c>
      <c r="J21" t="s">
        <v>81</v>
      </c>
      <c r="M21" t="s">
        <v>43</v>
      </c>
      <c r="O21">
        <v>45709</v>
      </c>
      <c r="P21" t="s">
        <v>62</v>
      </c>
      <c r="Q21" t="s">
        <v>45</v>
      </c>
      <c r="R21" t="s">
        <v>52</v>
      </c>
      <c r="S21" s="1">
        <v>45689</v>
      </c>
      <c r="U21" t="s">
        <v>47</v>
      </c>
      <c r="X21" t="s">
        <v>48</v>
      </c>
      <c r="Y21" s="4">
        <v>0</v>
      </c>
      <c r="Z21" s="4">
        <v>175</v>
      </c>
      <c r="AA21">
        <v>1</v>
      </c>
      <c r="AB21" s="2">
        <v>1</v>
      </c>
      <c r="AC21" s="4">
        <v>175</v>
      </c>
      <c r="AD21" s="2">
        <v>0</v>
      </c>
      <c r="AE21" s="4">
        <v>0</v>
      </c>
      <c r="AF21" s="4">
        <v>175</v>
      </c>
      <c r="AK21">
        <v>4979644</v>
      </c>
    </row>
    <row r="22" spans="1:37" x14ac:dyDescent="0.25">
      <c r="A22" s="1">
        <v>45679</v>
      </c>
      <c r="B22" s="1">
        <v>45679</v>
      </c>
      <c r="C22" t="s">
        <v>38</v>
      </c>
      <c r="D22" t="s">
        <v>39</v>
      </c>
      <c r="E22" t="s">
        <v>40</v>
      </c>
      <c r="F22">
        <v>43677</v>
      </c>
      <c r="H22" t="s">
        <v>41</v>
      </c>
      <c r="I22" t="s">
        <v>185</v>
      </c>
      <c r="J22" t="s">
        <v>82</v>
      </c>
      <c r="M22" t="s">
        <v>43</v>
      </c>
      <c r="O22">
        <v>43625</v>
      </c>
      <c r="P22" t="s">
        <v>83</v>
      </c>
      <c r="Q22" t="s">
        <v>45</v>
      </c>
      <c r="R22" t="s">
        <v>52</v>
      </c>
      <c r="S22" s="1">
        <v>45689</v>
      </c>
      <c r="U22" t="s">
        <v>47</v>
      </c>
      <c r="X22" t="s">
        <v>48</v>
      </c>
      <c r="Y22" s="4">
        <v>0</v>
      </c>
      <c r="Z22" s="4">
        <v>175</v>
      </c>
      <c r="AA22">
        <v>1</v>
      </c>
      <c r="AB22" s="2">
        <v>1</v>
      </c>
      <c r="AC22" s="4">
        <v>175</v>
      </c>
      <c r="AD22" s="2">
        <v>0</v>
      </c>
      <c r="AE22" s="4">
        <v>0</v>
      </c>
      <c r="AF22" s="4">
        <v>175</v>
      </c>
      <c r="AK22">
        <v>4979645</v>
      </c>
    </row>
    <row r="23" spans="1:37" x14ac:dyDescent="0.25">
      <c r="A23" s="1">
        <v>45679</v>
      </c>
      <c r="B23" s="1">
        <v>45679</v>
      </c>
      <c r="C23" t="s">
        <v>38</v>
      </c>
      <c r="D23" t="s">
        <v>39</v>
      </c>
      <c r="E23" t="s">
        <v>40</v>
      </c>
      <c r="F23">
        <v>43677</v>
      </c>
      <c r="H23" t="s">
        <v>41</v>
      </c>
      <c r="I23" t="s">
        <v>186</v>
      </c>
      <c r="J23" t="s">
        <v>84</v>
      </c>
      <c r="M23" t="s">
        <v>43</v>
      </c>
      <c r="O23">
        <v>45638</v>
      </c>
      <c r="P23" t="s">
        <v>66</v>
      </c>
      <c r="Q23" t="s">
        <v>45</v>
      </c>
      <c r="R23" t="s">
        <v>52</v>
      </c>
      <c r="S23" s="1">
        <v>45689</v>
      </c>
      <c r="U23" t="s">
        <v>47</v>
      </c>
      <c r="X23" t="s">
        <v>48</v>
      </c>
      <c r="Y23" s="4">
        <v>0</v>
      </c>
      <c r="Z23" s="4">
        <v>175</v>
      </c>
      <c r="AA23">
        <v>1</v>
      </c>
      <c r="AB23" s="2">
        <v>1</v>
      </c>
      <c r="AC23" s="4">
        <v>175</v>
      </c>
      <c r="AD23" s="2">
        <v>0</v>
      </c>
      <c r="AE23" s="4">
        <v>0</v>
      </c>
      <c r="AF23" s="4">
        <v>175</v>
      </c>
      <c r="AK23">
        <v>4979646</v>
      </c>
    </row>
    <row r="24" spans="1:37" x14ac:dyDescent="0.25">
      <c r="A24" s="1">
        <v>45679</v>
      </c>
      <c r="B24" s="1">
        <v>45679</v>
      </c>
      <c r="C24" t="s">
        <v>38</v>
      </c>
      <c r="D24" t="s">
        <v>39</v>
      </c>
      <c r="E24" t="s">
        <v>40</v>
      </c>
      <c r="F24">
        <v>43677</v>
      </c>
      <c r="H24" t="s">
        <v>41</v>
      </c>
      <c r="I24" t="s">
        <v>187</v>
      </c>
      <c r="J24" t="s">
        <v>85</v>
      </c>
      <c r="M24" t="s">
        <v>43</v>
      </c>
      <c r="O24">
        <v>45828</v>
      </c>
      <c r="P24" t="s">
        <v>86</v>
      </c>
      <c r="Q24" t="s">
        <v>45</v>
      </c>
      <c r="R24" t="s">
        <v>52</v>
      </c>
      <c r="S24" s="1">
        <v>45689</v>
      </c>
      <c r="U24" t="s">
        <v>47</v>
      </c>
      <c r="X24" t="s">
        <v>48</v>
      </c>
      <c r="Y24" s="4">
        <v>0</v>
      </c>
      <c r="Z24" s="4">
        <v>175</v>
      </c>
      <c r="AA24">
        <v>1</v>
      </c>
      <c r="AB24" s="2">
        <v>1</v>
      </c>
      <c r="AC24" s="4">
        <v>175</v>
      </c>
      <c r="AD24" s="2">
        <v>0</v>
      </c>
      <c r="AE24" s="4">
        <v>0</v>
      </c>
      <c r="AF24" s="4">
        <v>175</v>
      </c>
      <c r="AK24">
        <v>4979647</v>
      </c>
    </row>
    <row r="25" spans="1:37" x14ac:dyDescent="0.25">
      <c r="A25" s="1">
        <v>45679</v>
      </c>
      <c r="B25" s="1">
        <v>45679</v>
      </c>
      <c r="C25" t="s">
        <v>38</v>
      </c>
      <c r="D25" t="s">
        <v>39</v>
      </c>
      <c r="E25" t="s">
        <v>40</v>
      </c>
      <c r="F25">
        <v>43677</v>
      </c>
      <c r="H25" t="s">
        <v>41</v>
      </c>
      <c r="I25" t="s">
        <v>188</v>
      </c>
      <c r="J25" t="s">
        <v>87</v>
      </c>
      <c r="M25" t="s">
        <v>43</v>
      </c>
      <c r="O25">
        <v>45638</v>
      </c>
      <c r="P25" t="s">
        <v>66</v>
      </c>
      <c r="Q25" t="s">
        <v>45</v>
      </c>
      <c r="R25" t="s">
        <v>52</v>
      </c>
      <c r="S25" s="1">
        <v>45748</v>
      </c>
      <c r="U25" t="s">
        <v>47</v>
      </c>
      <c r="X25" t="s">
        <v>48</v>
      </c>
      <c r="Y25" s="4">
        <v>0</v>
      </c>
      <c r="Z25" s="4">
        <v>175</v>
      </c>
      <c r="AA25">
        <v>1</v>
      </c>
      <c r="AB25" s="2">
        <v>1</v>
      </c>
      <c r="AC25" s="4">
        <v>175</v>
      </c>
      <c r="AD25" s="2">
        <v>0</v>
      </c>
      <c r="AE25" s="4">
        <v>0</v>
      </c>
      <c r="AF25" s="4">
        <v>175</v>
      </c>
      <c r="AK25">
        <v>4979648</v>
      </c>
    </row>
    <row r="26" spans="1:37" x14ac:dyDescent="0.25">
      <c r="A26" s="1">
        <v>45679</v>
      </c>
      <c r="B26" s="1">
        <v>45679</v>
      </c>
      <c r="C26" t="s">
        <v>38</v>
      </c>
      <c r="D26" t="s">
        <v>39</v>
      </c>
      <c r="E26" t="s">
        <v>40</v>
      </c>
      <c r="F26">
        <v>43677</v>
      </c>
      <c r="H26" t="s">
        <v>41</v>
      </c>
      <c r="I26" t="s">
        <v>189</v>
      </c>
      <c r="J26" t="s">
        <v>88</v>
      </c>
      <c r="M26" t="s">
        <v>43</v>
      </c>
      <c r="O26">
        <v>43618</v>
      </c>
      <c r="P26" t="s">
        <v>89</v>
      </c>
      <c r="Q26" t="s">
        <v>45</v>
      </c>
      <c r="R26" t="s">
        <v>52</v>
      </c>
      <c r="S26" s="1">
        <v>45689</v>
      </c>
      <c r="U26" t="s">
        <v>47</v>
      </c>
      <c r="X26" t="s">
        <v>48</v>
      </c>
      <c r="Y26" s="4">
        <v>0</v>
      </c>
      <c r="Z26" s="4">
        <v>175</v>
      </c>
      <c r="AA26">
        <v>1</v>
      </c>
      <c r="AB26" s="2">
        <v>1</v>
      </c>
      <c r="AC26" s="4">
        <v>175</v>
      </c>
      <c r="AD26" s="2">
        <v>0</v>
      </c>
      <c r="AE26" s="4">
        <v>0</v>
      </c>
      <c r="AF26" s="4">
        <v>175</v>
      </c>
      <c r="AK26">
        <v>4979649</v>
      </c>
    </row>
    <row r="27" spans="1:37" x14ac:dyDescent="0.25">
      <c r="A27" s="1">
        <v>45679</v>
      </c>
      <c r="B27" s="1">
        <v>45679</v>
      </c>
      <c r="C27" t="s">
        <v>38</v>
      </c>
      <c r="D27" t="s">
        <v>39</v>
      </c>
      <c r="E27" t="s">
        <v>40</v>
      </c>
      <c r="F27">
        <v>43677</v>
      </c>
      <c r="H27" t="s">
        <v>41</v>
      </c>
      <c r="I27" t="s">
        <v>190</v>
      </c>
      <c r="J27" t="s">
        <v>90</v>
      </c>
      <c r="M27" t="s">
        <v>43</v>
      </c>
      <c r="O27">
        <v>45638</v>
      </c>
      <c r="P27" t="s">
        <v>66</v>
      </c>
      <c r="Q27" t="s">
        <v>45</v>
      </c>
      <c r="R27" t="s">
        <v>52</v>
      </c>
      <c r="S27" s="1">
        <v>45689</v>
      </c>
      <c r="U27" t="s">
        <v>47</v>
      </c>
      <c r="X27" t="s">
        <v>48</v>
      </c>
      <c r="Y27" s="4">
        <v>0</v>
      </c>
      <c r="Z27" s="4">
        <v>175</v>
      </c>
      <c r="AA27">
        <v>1</v>
      </c>
      <c r="AB27" s="2">
        <v>1</v>
      </c>
      <c r="AC27" s="4">
        <v>175</v>
      </c>
      <c r="AD27" s="2">
        <v>0</v>
      </c>
      <c r="AE27" s="4">
        <v>0</v>
      </c>
      <c r="AF27" s="4">
        <v>175</v>
      </c>
      <c r="AK27">
        <v>4979650</v>
      </c>
    </row>
    <row r="28" spans="1:37" x14ac:dyDescent="0.25">
      <c r="A28" s="1">
        <v>45679</v>
      </c>
      <c r="B28" s="1">
        <v>45679</v>
      </c>
      <c r="C28" t="s">
        <v>38</v>
      </c>
      <c r="D28" t="s">
        <v>39</v>
      </c>
      <c r="E28" t="s">
        <v>40</v>
      </c>
      <c r="F28">
        <v>43677</v>
      </c>
      <c r="H28" t="s">
        <v>41</v>
      </c>
      <c r="I28" t="s">
        <v>191</v>
      </c>
      <c r="J28" t="s">
        <v>91</v>
      </c>
      <c r="M28" t="s">
        <v>43</v>
      </c>
      <c r="O28">
        <v>43618</v>
      </c>
      <c r="P28" t="s">
        <v>89</v>
      </c>
      <c r="Q28" t="s">
        <v>45</v>
      </c>
      <c r="R28" t="s">
        <v>52</v>
      </c>
      <c r="S28" s="1">
        <v>45689</v>
      </c>
      <c r="U28" t="s">
        <v>47</v>
      </c>
      <c r="X28" t="s">
        <v>48</v>
      </c>
      <c r="Y28" s="4">
        <v>0</v>
      </c>
      <c r="Z28" s="4">
        <v>175</v>
      </c>
      <c r="AA28">
        <v>1</v>
      </c>
      <c r="AB28" s="2">
        <v>1</v>
      </c>
      <c r="AC28" s="4">
        <v>175</v>
      </c>
      <c r="AD28" s="2">
        <v>0</v>
      </c>
      <c r="AE28" s="4">
        <v>0</v>
      </c>
      <c r="AF28" s="4">
        <v>175</v>
      </c>
      <c r="AK28">
        <v>4979651</v>
      </c>
    </row>
    <row r="29" spans="1:37" x14ac:dyDescent="0.25">
      <c r="A29" s="1">
        <v>45679</v>
      </c>
      <c r="B29" s="1">
        <v>45679</v>
      </c>
      <c r="C29" t="s">
        <v>38</v>
      </c>
      <c r="D29" t="s">
        <v>39</v>
      </c>
      <c r="E29" t="s">
        <v>40</v>
      </c>
      <c r="F29">
        <v>43677</v>
      </c>
      <c r="H29" t="s">
        <v>41</v>
      </c>
      <c r="I29" t="s">
        <v>192</v>
      </c>
      <c r="J29" t="s">
        <v>92</v>
      </c>
      <c r="M29" t="s">
        <v>43</v>
      </c>
      <c r="O29">
        <v>45603</v>
      </c>
      <c r="P29" t="s">
        <v>55</v>
      </c>
      <c r="Q29" t="s">
        <v>45</v>
      </c>
      <c r="R29" t="s">
        <v>52</v>
      </c>
      <c r="S29" s="1">
        <v>45689</v>
      </c>
      <c r="U29" t="s">
        <v>47</v>
      </c>
      <c r="X29" t="s">
        <v>48</v>
      </c>
      <c r="Y29" s="4">
        <v>0</v>
      </c>
      <c r="Z29" s="4">
        <v>175</v>
      </c>
      <c r="AA29">
        <v>1</v>
      </c>
      <c r="AB29" s="2">
        <v>1</v>
      </c>
      <c r="AC29" s="4">
        <v>175</v>
      </c>
      <c r="AD29" s="2">
        <v>0</v>
      </c>
      <c r="AE29" s="4">
        <v>0</v>
      </c>
      <c r="AF29" s="4">
        <v>175</v>
      </c>
      <c r="AK29">
        <v>4979652</v>
      </c>
    </row>
    <row r="30" spans="1:37" x14ac:dyDescent="0.25">
      <c r="A30" s="1">
        <v>45679</v>
      </c>
      <c r="B30" s="1">
        <v>45679</v>
      </c>
      <c r="C30" t="s">
        <v>38</v>
      </c>
      <c r="D30" t="s">
        <v>39</v>
      </c>
      <c r="E30" t="s">
        <v>40</v>
      </c>
      <c r="F30">
        <v>43677</v>
      </c>
      <c r="H30" t="s">
        <v>41</v>
      </c>
      <c r="I30" t="s">
        <v>193</v>
      </c>
      <c r="J30" t="s">
        <v>93</v>
      </c>
      <c r="M30" t="s">
        <v>43</v>
      </c>
      <c r="O30">
        <v>45717</v>
      </c>
      <c r="P30" t="s">
        <v>94</v>
      </c>
      <c r="Q30" t="s">
        <v>45</v>
      </c>
      <c r="R30" t="s">
        <v>52</v>
      </c>
      <c r="S30" s="1">
        <v>45689</v>
      </c>
      <c r="U30" t="s">
        <v>47</v>
      </c>
      <c r="X30" t="s">
        <v>48</v>
      </c>
      <c r="Y30" s="4">
        <v>0</v>
      </c>
      <c r="Z30" s="4">
        <v>175</v>
      </c>
      <c r="AA30">
        <v>1</v>
      </c>
      <c r="AB30" s="2">
        <v>1</v>
      </c>
      <c r="AC30" s="4">
        <v>175</v>
      </c>
      <c r="AD30" s="2">
        <v>0</v>
      </c>
      <c r="AE30" s="4">
        <v>0</v>
      </c>
      <c r="AF30" s="4">
        <v>175</v>
      </c>
      <c r="AK30">
        <v>4979653</v>
      </c>
    </row>
    <row r="31" spans="1:37" x14ac:dyDescent="0.25">
      <c r="A31" s="1">
        <v>45679</v>
      </c>
      <c r="B31" s="1">
        <v>45679</v>
      </c>
      <c r="C31" t="s">
        <v>38</v>
      </c>
      <c r="D31" t="s">
        <v>39</v>
      </c>
      <c r="E31" t="s">
        <v>40</v>
      </c>
      <c r="F31">
        <v>43677</v>
      </c>
      <c r="H31" t="s">
        <v>41</v>
      </c>
      <c r="I31" t="s">
        <v>194</v>
      </c>
      <c r="J31" t="s">
        <v>95</v>
      </c>
      <c r="M31" t="s">
        <v>43</v>
      </c>
      <c r="O31">
        <v>43637</v>
      </c>
      <c r="P31" t="s">
        <v>96</v>
      </c>
      <c r="Q31" t="s">
        <v>45</v>
      </c>
      <c r="R31" t="s">
        <v>52</v>
      </c>
      <c r="S31" s="1">
        <v>45658</v>
      </c>
      <c r="U31" t="s">
        <v>47</v>
      </c>
      <c r="X31" t="s">
        <v>48</v>
      </c>
      <c r="Y31" s="4">
        <v>0</v>
      </c>
      <c r="Z31" s="4">
        <v>175</v>
      </c>
      <c r="AA31">
        <v>1</v>
      </c>
      <c r="AB31" s="2">
        <v>1</v>
      </c>
      <c r="AC31" s="4">
        <v>175</v>
      </c>
      <c r="AD31" s="2">
        <v>0</v>
      </c>
      <c r="AE31" s="4">
        <v>0</v>
      </c>
      <c r="AF31" s="4">
        <v>175</v>
      </c>
      <c r="AK31">
        <v>4979625</v>
      </c>
    </row>
    <row r="32" spans="1:37" x14ac:dyDescent="0.25">
      <c r="A32" s="1">
        <v>45679</v>
      </c>
      <c r="B32" s="1">
        <v>45679</v>
      </c>
      <c r="C32" t="s">
        <v>38</v>
      </c>
      <c r="D32" t="s">
        <v>39</v>
      </c>
      <c r="E32" t="s">
        <v>40</v>
      </c>
      <c r="F32">
        <v>43677</v>
      </c>
      <c r="H32" t="s">
        <v>41</v>
      </c>
      <c r="I32" t="s">
        <v>195</v>
      </c>
      <c r="J32" t="s">
        <v>97</v>
      </c>
      <c r="M32" t="s">
        <v>43</v>
      </c>
      <c r="O32">
        <v>45612</v>
      </c>
      <c r="P32" t="s">
        <v>59</v>
      </c>
      <c r="Q32" t="s">
        <v>45</v>
      </c>
      <c r="R32" t="s">
        <v>52</v>
      </c>
      <c r="S32" s="1">
        <v>45689</v>
      </c>
      <c r="U32" t="s">
        <v>47</v>
      </c>
      <c r="X32" t="s">
        <v>48</v>
      </c>
      <c r="Y32" s="4">
        <v>0</v>
      </c>
      <c r="Z32" s="4">
        <v>175</v>
      </c>
      <c r="AA32">
        <v>1</v>
      </c>
      <c r="AB32" s="2">
        <v>1</v>
      </c>
      <c r="AC32" s="4">
        <v>175</v>
      </c>
      <c r="AD32" s="2">
        <v>0</v>
      </c>
      <c r="AE32" s="4">
        <v>0</v>
      </c>
      <c r="AF32" s="4">
        <v>175</v>
      </c>
      <c r="AK32">
        <v>4979654</v>
      </c>
    </row>
    <row r="33" spans="1:38" x14ac:dyDescent="0.25">
      <c r="A33" s="1">
        <v>45679</v>
      </c>
      <c r="B33" s="1">
        <v>45679</v>
      </c>
      <c r="C33" t="s">
        <v>38</v>
      </c>
      <c r="D33" t="s">
        <v>39</v>
      </c>
      <c r="E33" t="s">
        <v>40</v>
      </c>
      <c r="F33">
        <v>43677</v>
      </c>
      <c r="H33" t="s">
        <v>41</v>
      </c>
      <c r="I33" t="s">
        <v>196</v>
      </c>
      <c r="J33" t="s">
        <v>98</v>
      </c>
      <c r="M33" t="s">
        <v>43</v>
      </c>
      <c r="O33">
        <v>45612</v>
      </c>
      <c r="P33" t="s">
        <v>59</v>
      </c>
      <c r="Q33" t="s">
        <v>45</v>
      </c>
      <c r="R33" t="s">
        <v>52</v>
      </c>
      <c r="S33" s="1">
        <v>45689</v>
      </c>
      <c r="U33" t="s">
        <v>47</v>
      </c>
      <c r="X33" t="s">
        <v>48</v>
      </c>
      <c r="Y33" s="4">
        <v>0</v>
      </c>
      <c r="Z33" s="4">
        <v>175</v>
      </c>
      <c r="AA33">
        <v>1</v>
      </c>
      <c r="AB33" s="2">
        <v>1</v>
      </c>
      <c r="AC33" s="4">
        <v>175</v>
      </c>
      <c r="AD33" s="2">
        <v>0</v>
      </c>
      <c r="AE33" s="4">
        <v>0</v>
      </c>
      <c r="AF33" s="4">
        <v>175</v>
      </c>
      <c r="AK33">
        <v>4979655</v>
      </c>
    </row>
    <row r="34" spans="1:38" x14ac:dyDescent="0.25">
      <c r="A34" s="1">
        <v>45679</v>
      </c>
      <c r="B34" s="1">
        <v>45679</v>
      </c>
      <c r="C34" t="s">
        <v>38</v>
      </c>
      <c r="D34" t="s">
        <v>39</v>
      </c>
      <c r="E34" t="s">
        <v>40</v>
      </c>
      <c r="F34">
        <v>43677</v>
      </c>
      <c r="H34" t="s">
        <v>41</v>
      </c>
      <c r="I34" t="s">
        <v>197</v>
      </c>
      <c r="J34" t="s">
        <v>99</v>
      </c>
      <c r="M34" t="s">
        <v>43</v>
      </c>
      <c r="O34">
        <v>43713</v>
      </c>
      <c r="P34" t="s">
        <v>100</v>
      </c>
      <c r="Q34" t="s">
        <v>45</v>
      </c>
      <c r="R34" t="s">
        <v>52</v>
      </c>
      <c r="S34" s="1">
        <v>45689</v>
      </c>
      <c r="U34" t="s">
        <v>47</v>
      </c>
      <c r="X34" t="s">
        <v>48</v>
      </c>
      <c r="Y34" s="4">
        <v>0</v>
      </c>
      <c r="Z34" s="4">
        <v>175</v>
      </c>
      <c r="AA34">
        <v>1</v>
      </c>
      <c r="AB34" s="2">
        <v>1</v>
      </c>
      <c r="AC34" s="4">
        <v>175</v>
      </c>
      <c r="AD34" s="2">
        <v>0</v>
      </c>
      <c r="AE34" s="4">
        <v>0</v>
      </c>
      <c r="AF34" s="4">
        <v>175</v>
      </c>
      <c r="AK34">
        <v>4979626</v>
      </c>
    </row>
    <row r="35" spans="1:38" x14ac:dyDescent="0.25">
      <c r="A35" s="1">
        <v>45679</v>
      </c>
      <c r="B35" s="1">
        <v>45679</v>
      </c>
      <c r="C35" t="s">
        <v>38</v>
      </c>
      <c r="D35" t="s">
        <v>39</v>
      </c>
      <c r="E35" t="s">
        <v>40</v>
      </c>
      <c r="F35">
        <v>43677</v>
      </c>
      <c r="H35" t="s">
        <v>41</v>
      </c>
      <c r="I35">
        <v>23019616</v>
      </c>
      <c r="J35" t="s">
        <v>101</v>
      </c>
      <c r="M35" t="s">
        <v>102</v>
      </c>
      <c r="O35">
        <v>43637</v>
      </c>
      <c r="P35" t="s">
        <v>96</v>
      </c>
      <c r="Q35" t="s">
        <v>45</v>
      </c>
      <c r="R35" t="s">
        <v>103</v>
      </c>
      <c r="S35" s="1">
        <v>45689</v>
      </c>
      <c r="U35" t="s">
        <v>47</v>
      </c>
      <c r="X35" t="s">
        <v>48</v>
      </c>
      <c r="Y35" s="4">
        <v>0</v>
      </c>
      <c r="Z35" s="4">
        <v>50.42</v>
      </c>
      <c r="AA35">
        <v>1</v>
      </c>
      <c r="AB35" s="2">
        <v>1</v>
      </c>
      <c r="AC35" s="4">
        <v>50.42</v>
      </c>
      <c r="AD35" s="2">
        <v>0</v>
      </c>
      <c r="AE35" s="4">
        <v>0</v>
      </c>
      <c r="AF35" s="4">
        <v>50.42</v>
      </c>
      <c r="AK35">
        <v>4979844</v>
      </c>
      <c r="AL35" t="s">
        <v>104</v>
      </c>
    </row>
    <row r="36" spans="1:38" x14ac:dyDescent="0.25">
      <c r="A36" s="1">
        <v>45679</v>
      </c>
      <c r="B36" s="1">
        <v>45679</v>
      </c>
      <c r="C36" t="s">
        <v>38</v>
      </c>
      <c r="D36" t="s">
        <v>39</v>
      </c>
      <c r="E36" t="s">
        <v>40</v>
      </c>
      <c r="F36">
        <v>43677</v>
      </c>
      <c r="H36" t="s">
        <v>41</v>
      </c>
      <c r="I36" t="s">
        <v>228</v>
      </c>
      <c r="J36" t="s">
        <v>101</v>
      </c>
      <c r="M36" t="s">
        <v>102</v>
      </c>
      <c r="O36">
        <v>43637</v>
      </c>
      <c r="P36" t="s">
        <v>96</v>
      </c>
      <c r="Q36" t="s">
        <v>45</v>
      </c>
      <c r="R36" t="s">
        <v>105</v>
      </c>
      <c r="S36" s="1">
        <v>45689</v>
      </c>
      <c r="U36" t="s">
        <v>47</v>
      </c>
      <c r="X36" t="s">
        <v>48</v>
      </c>
      <c r="Y36" s="4">
        <v>0</v>
      </c>
      <c r="Z36" s="4">
        <v>0</v>
      </c>
      <c r="AA36">
        <v>1</v>
      </c>
      <c r="AB36" s="2">
        <v>0</v>
      </c>
      <c r="AC36" s="4">
        <v>0</v>
      </c>
      <c r="AD36" s="2">
        <v>0</v>
      </c>
      <c r="AE36" s="4">
        <v>0</v>
      </c>
      <c r="AF36" s="4">
        <v>0</v>
      </c>
      <c r="AK36">
        <v>4979845</v>
      </c>
      <c r="AL36" t="s">
        <v>104</v>
      </c>
    </row>
    <row r="37" spans="1:38" x14ac:dyDescent="0.25">
      <c r="A37" s="1">
        <v>45679</v>
      </c>
      <c r="B37" s="1">
        <v>45679</v>
      </c>
      <c r="C37" t="s">
        <v>38</v>
      </c>
      <c r="D37" t="s">
        <v>39</v>
      </c>
      <c r="E37" t="s">
        <v>40</v>
      </c>
      <c r="F37">
        <v>43677</v>
      </c>
      <c r="H37" t="s">
        <v>41</v>
      </c>
      <c r="I37">
        <v>101099543500</v>
      </c>
      <c r="J37" t="s">
        <v>106</v>
      </c>
      <c r="M37" t="s">
        <v>107</v>
      </c>
      <c r="O37">
        <v>43691</v>
      </c>
      <c r="P37" t="s">
        <v>108</v>
      </c>
      <c r="Q37" t="s">
        <v>45</v>
      </c>
      <c r="R37" t="s">
        <v>109</v>
      </c>
      <c r="S37" s="1">
        <v>45658</v>
      </c>
      <c r="U37" t="s">
        <v>47</v>
      </c>
      <c r="X37" t="s">
        <v>48</v>
      </c>
      <c r="Y37" s="4">
        <v>0</v>
      </c>
      <c r="Z37" s="4">
        <v>50</v>
      </c>
      <c r="AA37">
        <v>1</v>
      </c>
      <c r="AB37" s="2">
        <v>1</v>
      </c>
      <c r="AC37" s="4">
        <v>50</v>
      </c>
      <c r="AD37" s="2">
        <v>0</v>
      </c>
      <c r="AE37" s="4">
        <v>0</v>
      </c>
      <c r="AF37" s="4">
        <v>50</v>
      </c>
      <c r="AK37">
        <v>4978560</v>
      </c>
    </row>
    <row r="38" spans="1:38" x14ac:dyDescent="0.25">
      <c r="A38" s="1">
        <v>45679</v>
      </c>
      <c r="B38" s="1">
        <v>45679</v>
      </c>
      <c r="C38" t="s">
        <v>38</v>
      </c>
      <c r="D38" t="s">
        <v>39</v>
      </c>
      <c r="E38" t="s">
        <v>40</v>
      </c>
      <c r="F38">
        <v>43677</v>
      </c>
      <c r="H38" t="s">
        <v>41</v>
      </c>
      <c r="I38">
        <v>101197965500</v>
      </c>
      <c r="J38" t="s">
        <v>111</v>
      </c>
      <c r="M38" t="s">
        <v>102</v>
      </c>
      <c r="O38">
        <v>45605</v>
      </c>
      <c r="P38" t="s">
        <v>77</v>
      </c>
      <c r="Q38" t="s">
        <v>45</v>
      </c>
      <c r="R38" t="s">
        <v>109</v>
      </c>
      <c r="S38" s="1">
        <v>45658</v>
      </c>
      <c r="U38" t="s">
        <v>47</v>
      </c>
      <c r="X38" t="s">
        <v>48</v>
      </c>
      <c r="Y38" s="4">
        <v>0</v>
      </c>
      <c r="Z38" s="4">
        <v>50</v>
      </c>
      <c r="AA38">
        <v>1</v>
      </c>
      <c r="AB38" s="2">
        <v>1</v>
      </c>
      <c r="AC38" s="4">
        <v>50</v>
      </c>
      <c r="AD38" s="2">
        <v>0</v>
      </c>
      <c r="AE38" s="4">
        <v>0</v>
      </c>
      <c r="AF38" s="4">
        <v>50</v>
      </c>
      <c r="AK38">
        <v>4978567</v>
      </c>
    </row>
    <row r="39" spans="1:38" x14ac:dyDescent="0.25">
      <c r="A39" s="1">
        <v>45679</v>
      </c>
      <c r="B39" s="1">
        <v>45679</v>
      </c>
      <c r="C39" t="s">
        <v>38</v>
      </c>
      <c r="D39" t="s">
        <v>39</v>
      </c>
      <c r="E39" t="s">
        <v>40</v>
      </c>
      <c r="F39">
        <v>43677</v>
      </c>
      <c r="H39" t="s">
        <v>41</v>
      </c>
      <c r="I39">
        <v>101565063500</v>
      </c>
      <c r="J39" t="s">
        <v>112</v>
      </c>
      <c r="M39" t="s">
        <v>113</v>
      </c>
      <c r="O39">
        <v>45638</v>
      </c>
      <c r="P39" t="s">
        <v>66</v>
      </c>
      <c r="Q39" t="s">
        <v>45</v>
      </c>
      <c r="R39" t="s">
        <v>109</v>
      </c>
      <c r="S39" s="1">
        <v>45658</v>
      </c>
      <c r="U39" t="s">
        <v>47</v>
      </c>
      <c r="X39" t="s">
        <v>48</v>
      </c>
      <c r="Y39" s="4">
        <v>0</v>
      </c>
      <c r="Z39" s="4">
        <v>50</v>
      </c>
      <c r="AA39">
        <v>1</v>
      </c>
      <c r="AB39" s="2">
        <v>1</v>
      </c>
      <c r="AC39" s="4">
        <v>50</v>
      </c>
      <c r="AD39" s="2">
        <v>0</v>
      </c>
      <c r="AE39" s="4">
        <v>0</v>
      </c>
      <c r="AF39" s="4">
        <v>50</v>
      </c>
      <c r="AK39">
        <v>4978580</v>
      </c>
    </row>
    <row r="40" spans="1:38" x14ac:dyDescent="0.25">
      <c r="A40" s="1">
        <v>45679</v>
      </c>
      <c r="B40" s="1">
        <v>45679</v>
      </c>
      <c r="C40" t="s">
        <v>38</v>
      </c>
      <c r="D40" t="s">
        <v>39</v>
      </c>
      <c r="E40" t="s">
        <v>40</v>
      </c>
      <c r="F40">
        <v>43677</v>
      </c>
      <c r="H40" t="s">
        <v>41</v>
      </c>
      <c r="I40">
        <v>102131714400</v>
      </c>
      <c r="J40" t="s">
        <v>114</v>
      </c>
      <c r="M40" t="s">
        <v>115</v>
      </c>
      <c r="O40">
        <v>45612</v>
      </c>
      <c r="P40" t="s">
        <v>59</v>
      </c>
      <c r="Q40" t="s">
        <v>45</v>
      </c>
      <c r="R40" t="s">
        <v>109</v>
      </c>
      <c r="S40" s="1">
        <v>45658</v>
      </c>
      <c r="U40" t="s">
        <v>47</v>
      </c>
      <c r="X40" t="s">
        <v>48</v>
      </c>
      <c r="Y40" s="4">
        <v>0</v>
      </c>
      <c r="Z40" s="4">
        <v>50</v>
      </c>
      <c r="AA40">
        <v>1</v>
      </c>
      <c r="AB40" s="2">
        <v>1</v>
      </c>
      <c r="AC40" s="4">
        <v>50</v>
      </c>
      <c r="AD40" s="2">
        <v>0</v>
      </c>
      <c r="AE40" s="4">
        <v>0</v>
      </c>
      <c r="AF40" s="4">
        <v>50</v>
      </c>
      <c r="AK40">
        <v>4978615</v>
      </c>
    </row>
    <row r="41" spans="1:38" x14ac:dyDescent="0.25">
      <c r="A41" s="1">
        <v>45679</v>
      </c>
      <c r="B41" s="1">
        <v>45679</v>
      </c>
      <c r="C41" t="s">
        <v>38</v>
      </c>
      <c r="D41" t="s">
        <v>39</v>
      </c>
      <c r="E41" t="s">
        <v>40</v>
      </c>
      <c r="F41">
        <v>43677</v>
      </c>
      <c r="H41" t="s">
        <v>41</v>
      </c>
      <c r="I41">
        <v>102131717200</v>
      </c>
      <c r="J41" t="s">
        <v>116</v>
      </c>
      <c r="M41" t="s">
        <v>115</v>
      </c>
      <c r="O41">
        <v>45612</v>
      </c>
      <c r="P41" t="s">
        <v>59</v>
      </c>
      <c r="Q41" t="s">
        <v>45</v>
      </c>
      <c r="R41" t="s">
        <v>109</v>
      </c>
      <c r="S41" s="1">
        <v>45658</v>
      </c>
      <c r="U41" t="s">
        <v>47</v>
      </c>
      <c r="X41" t="s">
        <v>48</v>
      </c>
      <c r="Y41" s="4">
        <v>0</v>
      </c>
      <c r="Z41" s="4">
        <v>50</v>
      </c>
      <c r="AA41">
        <v>1</v>
      </c>
      <c r="AB41" s="2">
        <v>1</v>
      </c>
      <c r="AC41" s="4">
        <v>50</v>
      </c>
      <c r="AD41" s="2">
        <v>0</v>
      </c>
      <c r="AE41" s="4">
        <v>0</v>
      </c>
      <c r="AF41" s="4">
        <v>50</v>
      </c>
      <c r="AK41">
        <v>4978616</v>
      </c>
    </row>
    <row r="42" spans="1:38" x14ac:dyDescent="0.25">
      <c r="A42" s="1">
        <v>45679</v>
      </c>
      <c r="B42" s="1">
        <v>45679</v>
      </c>
      <c r="C42" t="s">
        <v>38</v>
      </c>
      <c r="D42" t="s">
        <v>39</v>
      </c>
      <c r="E42" t="s">
        <v>40</v>
      </c>
      <c r="F42">
        <v>43677</v>
      </c>
      <c r="H42" t="s">
        <v>41</v>
      </c>
      <c r="I42">
        <v>102132809400</v>
      </c>
      <c r="J42" t="s">
        <v>117</v>
      </c>
      <c r="M42" t="s">
        <v>118</v>
      </c>
      <c r="O42">
        <v>45717</v>
      </c>
      <c r="P42" t="s">
        <v>94</v>
      </c>
      <c r="Q42" t="s">
        <v>45</v>
      </c>
      <c r="R42" t="s">
        <v>119</v>
      </c>
      <c r="S42" s="1">
        <v>45658</v>
      </c>
      <c r="U42" t="s">
        <v>47</v>
      </c>
      <c r="X42" t="s">
        <v>48</v>
      </c>
      <c r="Y42" s="4">
        <v>0</v>
      </c>
      <c r="Z42" s="4">
        <v>40</v>
      </c>
      <c r="AA42">
        <v>1</v>
      </c>
      <c r="AB42" s="2">
        <v>1</v>
      </c>
      <c r="AC42" s="4">
        <v>40</v>
      </c>
      <c r="AD42" s="2">
        <v>0</v>
      </c>
      <c r="AE42" s="4">
        <v>0</v>
      </c>
      <c r="AF42" s="4">
        <v>40</v>
      </c>
      <c r="AK42">
        <v>4978624</v>
      </c>
    </row>
    <row r="43" spans="1:38" x14ac:dyDescent="0.25">
      <c r="A43" s="1">
        <v>45679</v>
      </c>
      <c r="B43" s="1">
        <v>45679</v>
      </c>
      <c r="C43" t="s">
        <v>38</v>
      </c>
      <c r="D43" t="s">
        <v>39</v>
      </c>
      <c r="E43" t="s">
        <v>40</v>
      </c>
      <c r="F43">
        <v>43677</v>
      </c>
      <c r="H43" t="s">
        <v>41</v>
      </c>
      <c r="I43">
        <v>102133066800</v>
      </c>
      <c r="J43" t="s">
        <v>120</v>
      </c>
      <c r="M43" t="s">
        <v>121</v>
      </c>
      <c r="O43">
        <v>45638</v>
      </c>
      <c r="P43" t="s">
        <v>66</v>
      </c>
      <c r="Q43" t="s">
        <v>45</v>
      </c>
      <c r="R43" t="s">
        <v>109</v>
      </c>
      <c r="S43" s="1">
        <v>45658</v>
      </c>
      <c r="U43" t="s">
        <v>47</v>
      </c>
      <c r="X43" t="s">
        <v>48</v>
      </c>
      <c r="Y43" s="4">
        <v>0</v>
      </c>
      <c r="Z43" s="4">
        <v>50</v>
      </c>
      <c r="AA43">
        <v>1</v>
      </c>
      <c r="AB43" s="2">
        <v>1</v>
      </c>
      <c r="AC43" s="4">
        <v>50</v>
      </c>
      <c r="AD43" s="2">
        <v>0</v>
      </c>
      <c r="AE43" s="4">
        <v>0</v>
      </c>
      <c r="AF43" s="4">
        <v>50</v>
      </c>
      <c r="AK43">
        <v>4978625</v>
      </c>
    </row>
    <row r="44" spans="1:38" x14ac:dyDescent="0.25">
      <c r="A44" s="1">
        <v>45679</v>
      </c>
      <c r="B44" s="1">
        <v>45679</v>
      </c>
      <c r="C44" t="s">
        <v>38</v>
      </c>
      <c r="D44" t="s">
        <v>39</v>
      </c>
      <c r="E44" t="s">
        <v>40</v>
      </c>
      <c r="F44">
        <v>43677</v>
      </c>
      <c r="H44" t="s">
        <v>41</v>
      </c>
      <c r="I44">
        <v>102134110300</v>
      </c>
      <c r="J44" t="s">
        <v>122</v>
      </c>
      <c r="M44" t="s">
        <v>115</v>
      </c>
      <c r="O44">
        <v>45709</v>
      </c>
      <c r="P44" t="s">
        <v>62</v>
      </c>
      <c r="Q44" t="s">
        <v>45</v>
      </c>
      <c r="R44" t="s">
        <v>109</v>
      </c>
      <c r="S44" s="1">
        <v>45658</v>
      </c>
      <c r="U44" t="s">
        <v>47</v>
      </c>
      <c r="X44" t="s">
        <v>48</v>
      </c>
      <c r="Y44" s="4">
        <v>0</v>
      </c>
      <c r="Z44" s="4">
        <v>50</v>
      </c>
      <c r="AA44">
        <v>1</v>
      </c>
      <c r="AB44" s="2">
        <v>1</v>
      </c>
      <c r="AC44" s="4">
        <v>50</v>
      </c>
      <c r="AD44" s="2">
        <v>0</v>
      </c>
      <c r="AE44" s="4">
        <v>0</v>
      </c>
      <c r="AF44" s="4">
        <v>50</v>
      </c>
      <c r="AK44">
        <v>4978631</v>
      </c>
    </row>
    <row r="45" spans="1:38" x14ac:dyDescent="0.25">
      <c r="A45" s="1">
        <v>45679</v>
      </c>
      <c r="B45" s="1">
        <v>45679</v>
      </c>
      <c r="C45" t="s">
        <v>38</v>
      </c>
      <c r="D45" t="s">
        <v>39</v>
      </c>
      <c r="E45" t="s">
        <v>40</v>
      </c>
      <c r="F45">
        <v>43677</v>
      </c>
      <c r="H45" t="s">
        <v>41</v>
      </c>
      <c r="I45" t="s">
        <v>198</v>
      </c>
      <c r="J45" t="s">
        <v>123</v>
      </c>
      <c r="O45">
        <v>45605</v>
      </c>
      <c r="P45" t="s">
        <v>77</v>
      </c>
      <c r="Q45" t="s">
        <v>45</v>
      </c>
      <c r="R45" t="s">
        <v>124</v>
      </c>
      <c r="S45" s="1">
        <v>45566</v>
      </c>
      <c r="U45" t="s">
        <v>47</v>
      </c>
      <c r="X45" t="s">
        <v>48</v>
      </c>
      <c r="Y45" s="4">
        <v>0</v>
      </c>
      <c r="Z45" s="4">
        <v>175</v>
      </c>
      <c r="AA45">
        <v>1</v>
      </c>
      <c r="AB45" s="2">
        <v>1</v>
      </c>
      <c r="AC45" s="4">
        <v>175</v>
      </c>
      <c r="AD45" s="2">
        <v>0</v>
      </c>
      <c r="AE45" s="4">
        <v>0</v>
      </c>
      <c r="AF45" s="4">
        <v>175</v>
      </c>
      <c r="AK45">
        <v>4978693</v>
      </c>
    </row>
    <row r="46" spans="1:38" x14ac:dyDescent="0.25">
      <c r="A46" s="1">
        <v>45679</v>
      </c>
      <c r="B46" s="1">
        <v>45679</v>
      </c>
      <c r="C46" t="s">
        <v>38</v>
      </c>
      <c r="D46" t="s">
        <v>39</v>
      </c>
      <c r="E46" t="s">
        <v>40</v>
      </c>
      <c r="F46">
        <v>43677</v>
      </c>
      <c r="H46" t="s">
        <v>41</v>
      </c>
      <c r="I46">
        <v>910907579</v>
      </c>
      <c r="J46" t="s">
        <v>125</v>
      </c>
      <c r="M46" t="s">
        <v>115</v>
      </c>
      <c r="O46">
        <v>45632</v>
      </c>
      <c r="P46" t="s">
        <v>44</v>
      </c>
      <c r="Q46" t="s">
        <v>126</v>
      </c>
      <c r="R46" t="s">
        <v>127</v>
      </c>
      <c r="S46" s="1">
        <v>45689</v>
      </c>
      <c r="U46" t="s">
        <v>47</v>
      </c>
      <c r="X46" t="s">
        <v>48</v>
      </c>
      <c r="Y46" s="4">
        <v>0</v>
      </c>
      <c r="Z46" s="4">
        <v>286.92</v>
      </c>
      <c r="AA46">
        <v>1</v>
      </c>
      <c r="AB46" s="2">
        <v>1</v>
      </c>
      <c r="AC46" s="4">
        <v>286.92</v>
      </c>
      <c r="AD46" s="2">
        <v>0</v>
      </c>
      <c r="AE46" s="4">
        <v>0</v>
      </c>
      <c r="AF46" s="4">
        <v>286.92</v>
      </c>
      <c r="AK46">
        <v>4979924</v>
      </c>
      <c r="AL46" t="s">
        <v>104</v>
      </c>
    </row>
    <row r="47" spans="1:38" x14ac:dyDescent="0.25">
      <c r="A47" s="1">
        <v>45679</v>
      </c>
      <c r="B47" s="1">
        <v>45679</v>
      </c>
      <c r="C47" t="s">
        <v>38</v>
      </c>
      <c r="D47" t="s">
        <v>39</v>
      </c>
      <c r="E47" t="s">
        <v>40</v>
      </c>
      <c r="F47">
        <v>43677</v>
      </c>
      <c r="H47" t="s">
        <v>41</v>
      </c>
      <c r="I47" t="s">
        <v>199</v>
      </c>
      <c r="J47" t="s">
        <v>125</v>
      </c>
      <c r="M47" t="s">
        <v>115</v>
      </c>
      <c r="O47">
        <v>45632</v>
      </c>
      <c r="P47" t="s">
        <v>44</v>
      </c>
      <c r="Q47" t="s">
        <v>126</v>
      </c>
      <c r="R47" t="s">
        <v>128</v>
      </c>
      <c r="S47" s="1">
        <v>45689</v>
      </c>
      <c r="U47" t="s">
        <v>47</v>
      </c>
      <c r="X47" t="s">
        <v>48</v>
      </c>
      <c r="Y47" s="4">
        <v>0</v>
      </c>
      <c r="Z47" s="4">
        <v>66</v>
      </c>
      <c r="AA47">
        <v>1</v>
      </c>
      <c r="AB47" s="2">
        <v>1</v>
      </c>
      <c r="AC47" s="4">
        <v>66</v>
      </c>
      <c r="AD47" s="2">
        <v>0</v>
      </c>
      <c r="AE47" s="4">
        <v>0</v>
      </c>
      <c r="AF47" s="4">
        <v>66</v>
      </c>
      <c r="AK47">
        <v>4979925</v>
      </c>
      <c r="AL47" t="s">
        <v>104</v>
      </c>
    </row>
    <row r="48" spans="1:38" x14ac:dyDescent="0.25">
      <c r="A48" s="1">
        <v>45679</v>
      </c>
      <c r="B48" s="1">
        <v>45679</v>
      </c>
      <c r="C48" t="s">
        <v>38</v>
      </c>
      <c r="D48" t="s">
        <v>39</v>
      </c>
      <c r="E48" t="s">
        <v>40</v>
      </c>
      <c r="F48">
        <v>43677</v>
      </c>
      <c r="H48" t="s">
        <v>41</v>
      </c>
      <c r="I48">
        <v>937619948</v>
      </c>
      <c r="J48" t="s">
        <v>129</v>
      </c>
      <c r="M48" t="s">
        <v>107</v>
      </c>
      <c r="O48">
        <v>45614</v>
      </c>
      <c r="P48" t="s">
        <v>130</v>
      </c>
      <c r="Q48" t="s">
        <v>45</v>
      </c>
      <c r="R48" t="s">
        <v>128</v>
      </c>
      <c r="S48" s="1">
        <v>45689</v>
      </c>
      <c r="U48" t="s">
        <v>47</v>
      </c>
      <c r="X48" t="s">
        <v>48</v>
      </c>
      <c r="Y48" s="4">
        <v>0</v>
      </c>
      <c r="Z48" s="4">
        <v>66</v>
      </c>
      <c r="AA48">
        <v>1</v>
      </c>
      <c r="AB48" s="2">
        <v>1</v>
      </c>
      <c r="AC48" s="4">
        <v>66</v>
      </c>
      <c r="AD48" s="2">
        <v>0</v>
      </c>
      <c r="AE48" s="4">
        <v>0</v>
      </c>
      <c r="AF48" s="4">
        <v>66</v>
      </c>
      <c r="AK48">
        <v>4979862</v>
      </c>
      <c r="AL48" t="s">
        <v>104</v>
      </c>
    </row>
    <row r="49" spans="1:38" x14ac:dyDescent="0.25">
      <c r="A49" s="1">
        <v>45679</v>
      </c>
      <c r="B49" s="1">
        <v>45679</v>
      </c>
      <c r="C49" t="s">
        <v>38</v>
      </c>
      <c r="D49" t="s">
        <v>39</v>
      </c>
      <c r="E49" t="s">
        <v>40</v>
      </c>
      <c r="F49">
        <v>43677</v>
      </c>
      <c r="H49" t="s">
        <v>41</v>
      </c>
      <c r="I49">
        <v>959880194</v>
      </c>
      <c r="J49" t="s">
        <v>131</v>
      </c>
      <c r="M49" t="s">
        <v>107</v>
      </c>
      <c r="O49">
        <v>45614</v>
      </c>
      <c r="P49" t="s">
        <v>130</v>
      </c>
      <c r="Q49" t="s">
        <v>45</v>
      </c>
      <c r="R49" t="s">
        <v>128</v>
      </c>
      <c r="S49" s="1">
        <v>45689</v>
      </c>
      <c r="U49" t="s">
        <v>47</v>
      </c>
      <c r="X49" t="s">
        <v>48</v>
      </c>
      <c r="Y49" s="4">
        <v>0</v>
      </c>
      <c r="Z49" s="4">
        <v>66</v>
      </c>
      <c r="AA49">
        <v>1</v>
      </c>
      <c r="AB49" s="2">
        <v>1</v>
      </c>
      <c r="AC49" s="4">
        <v>66</v>
      </c>
      <c r="AD49" s="2">
        <v>0</v>
      </c>
      <c r="AE49" s="4">
        <v>0</v>
      </c>
      <c r="AF49" s="4">
        <v>66</v>
      </c>
      <c r="AK49">
        <v>4979863</v>
      </c>
      <c r="AL49" t="s">
        <v>104</v>
      </c>
    </row>
    <row r="50" spans="1:38" x14ac:dyDescent="0.25">
      <c r="A50" s="1">
        <v>45679</v>
      </c>
      <c r="B50" s="1">
        <v>45679</v>
      </c>
      <c r="C50" t="s">
        <v>38</v>
      </c>
      <c r="D50" t="s">
        <v>39</v>
      </c>
      <c r="E50" t="s">
        <v>40</v>
      </c>
      <c r="F50">
        <v>43677</v>
      </c>
      <c r="H50" t="s">
        <v>41</v>
      </c>
      <c r="I50">
        <v>959938317</v>
      </c>
      <c r="J50" t="s">
        <v>132</v>
      </c>
      <c r="M50" t="s">
        <v>115</v>
      </c>
      <c r="O50">
        <v>43589</v>
      </c>
      <c r="P50" t="s">
        <v>133</v>
      </c>
      <c r="Q50" t="s">
        <v>126</v>
      </c>
      <c r="R50" t="s">
        <v>127</v>
      </c>
      <c r="S50" s="1">
        <v>45658</v>
      </c>
      <c r="U50" t="s">
        <v>47</v>
      </c>
      <c r="X50" t="s">
        <v>48</v>
      </c>
      <c r="Y50" s="4">
        <v>0</v>
      </c>
      <c r="Z50" s="4">
        <v>313</v>
      </c>
      <c r="AA50">
        <v>1</v>
      </c>
      <c r="AB50" s="2">
        <v>1</v>
      </c>
      <c r="AC50" s="4">
        <v>313</v>
      </c>
      <c r="AD50" s="2">
        <v>0</v>
      </c>
      <c r="AE50" s="4">
        <v>0</v>
      </c>
      <c r="AF50" s="4">
        <v>313</v>
      </c>
      <c r="AK50">
        <v>4979932</v>
      </c>
      <c r="AL50" t="s">
        <v>135</v>
      </c>
    </row>
    <row r="51" spans="1:38" x14ac:dyDescent="0.25">
      <c r="A51" s="1">
        <v>45679</v>
      </c>
      <c r="B51" s="1">
        <v>45679</v>
      </c>
      <c r="C51" t="s">
        <v>38</v>
      </c>
      <c r="D51" t="s">
        <v>39</v>
      </c>
      <c r="E51" t="s">
        <v>40</v>
      </c>
      <c r="F51">
        <v>43677</v>
      </c>
      <c r="H51" t="s">
        <v>41</v>
      </c>
      <c r="I51" t="s">
        <v>200</v>
      </c>
      <c r="J51" t="s">
        <v>132</v>
      </c>
      <c r="M51" t="s">
        <v>115</v>
      </c>
      <c r="O51">
        <v>43589</v>
      </c>
      <c r="P51" t="s">
        <v>133</v>
      </c>
      <c r="Q51" t="s">
        <v>126</v>
      </c>
      <c r="R51" t="s">
        <v>128</v>
      </c>
      <c r="S51" s="1">
        <v>45658</v>
      </c>
      <c r="U51" t="s">
        <v>47</v>
      </c>
      <c r="X51" t="s">
        <v>48</v>
      </c>
      <c r="Y51" s="4">
        <v>0</v>
      </c>
      <c r="Z51" s="4">
        <v>72</v>
      </c>
      <c r="AA51">
        <v>1</v>
      </c>
      <c r="AB51" s="2">
        <v>1</v>
      </c>
      <c r="AC51" s="4">
        <v>72</v>
      </c>
      <c r="AD51" s="2">
        <v>0</v>
      </c>
      <c r="AE51" s="4">
        <v>0</v>
      </c>
      <c r="AF51" s="4">
        <v>72</v>
      </c>
      <c r="AK51">
        <v>4979933</v>
      </c>
      <c r="AL51" t="s">
        <v>135</v>
      </c>
    </row>
    <row r="52" spans="1:38" x14ac:dyDescent="0.25">
      <c r="A52" s="1">
        <v>45679</v>
      </c>
      <c r="B52" s="1">
        <v>45679</v>
      </c>
      <c r="C52" t="s">
        <v>38</v>
      </c>
      <c r="D52" t="s">
        <v>39</v>
      </c>
      <c r="E52" t="s">
        <v>40</v>
      </c>
      <c r="F52">
        <v>43677</v>
      </c>
      <c r="H52" t="s">
        <v>41</v>
      </c>
      <c r="I52">
        <v>994120659</v>
      </c>
      <c r="J52" t="s">
        <v>137</v>
      </c>
      <c r="M52" t="s">
        <v>138</v>
      </c>
      <c r="O52">
        <v>45605</v>
      </c>
      <c r="P52" t="s">
        <v>77</v>
      </c>
      <c r="Q52" t="s">
        <v>126</v>
      </c>
      <c r="R52" t="s">
        <v>127</v>
      </c>
      <c r="S52" s="1">
        <v>45689</v>
      </c>
      <c r="U52" t="s">
        <v>47</v>
      </c>
      <c r="X52" t="s">
        <v>48</v>
      </c>
      <c r="Y52" s="4">
        <v>0</v>
      </c>
      <c r="Z52" s="4">
        <v>286.92</v>
      </c>
      <c r="AA52">
        <v>1</v>
      </c>
      <c r="AB52" s="2">
        <v>1</v>
      </c>
      <c r="AC52" s="4">
        <v>286.92</v>
      </c>
      <c r="AD52" s="2">
        <v>0</v>
      </c>
      <c r="AE52" s="4">
        <v>0</v>
      </c>
      <c r="AF52" s="4">
        <v>286.92</v>
      </c>
      <c r="AK52">
        <v>4979930</v>
      </c>
      <c r="AL52" t="s">
        <v>104</v>
      </c>
    </row>
    <row r="53" spans="1:38" x14ac:dyDescent="0.25">
      <c r="A53" s="1">
        <v>45679</v>
      </c>
      <c r="B53" s="1">
        <v>45679</v>
      </c>
      <c r="C53" t="s">
        <v>38</v>
      </c>
      <c r="D53" t="s">
        <v>39</v>
      </c>
      <c r="E53" t="s">
        <v>40</v>
      </c>
      <c r="F53">
        <v>43677</v>
      </c>
      <c r="H53" t="s">
        <v>41</v>
      </c>
      <c r="I53" t="s">
        <v>201</v>
      </c>
      <c r="J53" t="s">
        <v>137</v>
      </c>
      <c r="M53" t="s">
        <v>138</v>
      </c>
      <c r="O53">
        <v>45605</v>
      </c>
      <c r="P53" t="s">
        <v>77</v>
      </c>
      <c r="Q53" t="s">
        <v>126</v>
      </c>
      <c r="R53" t="s">
        <v>128</v>
      </c>
      <c r="S53" s="1">
        <v>45689</v>
      </c>
      <c r="U53" t="s">
        <v>47</v>
      </c>
      <c r="X53" t="s">
        <v>48</v>
      </c>
      <c r="Y53" s="4">
        <v>0</v>
      </c>
      <c r="Z53" s="4">
        <v>66</v>
      </c>
      <c r="AA53">
        <v>1</v>
      </c>
      <c r="AB53" s="2">
        <v>1</v>
      </c>
      <c r="AC53" s="4">
        <v>66</v>
      </c>
      <c r="AD53" s="2">
        <v>0</v>
      </c>
      <c r="AE53" s="4">
        <v>0</v>
      </c>
      <c r="AF53" s="4">
        <v>66</v>
      </c>
      <c r="AK53">
        <v>4979931</v>
      </c>
      <c r="AL53" t="s">
        <v>104</v>
      </c>
    </row>
    <row r="54" spans="1:38" x14ac:dyDescent="0.25">
      <c r="A54" s="1">
        <v>45679</v>
      </c>
      <c r="B54" s="1">
        <v>45679</v>
      </c>
      <c r="C54" t="s">
        <v>38</v>
      </c>
      <c r="D54" t="s">
        <v>39</v>
      </c>
      <c r="E54" t="s">
        <v>40</v>
      </c>
      <c r="F54">
        <v>43677</v>
      </c>
      <c r="H54" t="s">
        <v>41</v>
      </c>
      <c r="I54" t="s">
        <v>202</v>
      </c>
      <c r="J54" t="s">
        <v>101</v>
      </c>
      <c r="M54" t="s">
        <v>102</v>
      </c>
      <c r="O54">
        <v>43637</v>
      </c>
      <c r="P54" t="s">
        <v>96</v>
      </c>
      <c r="Q54" t="s">
        <v>45</v>
      </c>
      <c r="R54" t="s">
        <v>139</v>
      </c>
      <c r="S54" s="1">
        <v>45689</v>
      </c>
      <c r="U54" t="s">
        <v>47</v>
      </c>
      <c r="X54" t="s">
        <v>48</v>
      </c>
      <c r="Y54" s="4">
        <v>0</v>
      </c>
      <c r="Z54" s="4">
        <v>40.98</v>
      </c>
      <c r="AA54">
        <v>9</v>
      </c>
      <c r="AB54" s="2">
        <v>1</v>
      </c>
      <c r="AC54" s="4">
        <v>368.82</v>
      </c>
      <c r="AD54" s="2">
        <v>0</v>
      </c>
      <c r="AE54" s="4">
        <v>0</v>
      </c>
      <c r="AF54" s="4">
        <v>368.82</v>
      </c>
      <c r="AK54">
        <v>4979707</v>
      </c>
    </row>
    <row r="55" spans="1:38" x14ac:dyDescent="0.25">
      <c r="A55" s="1">
        <v>45679</v>
      </c>
      <c r="B55" s="1">
        <v>45679</v>
      </c>
      <c r="C55" t="s">
        <v>38</v>
      </c>
      <c r="D55" t="s">
        <v>39</v>
      </c>
      <c r="E55" t="s">
        <v>40</v>
      </c>
      <c r="F55">
        <v>43677</v>
      </c>
      <c r="H55" t="s">
        <v>41</v>
      </c>
      <c r="I55" t="s">
        <v>203</v>
      </c>
      <c r="J55" t="s">
        <v>140</v>
      </c>
      <c r="M55" t="s">
        <v>138</v>
      </c>
      <c r="O55">
        <v>43969</v>
      </c>
      <c r="P55" t="s">
        <v>51</v>
      </c>
      <c r="Q55" t="s">
        <v>45</v>
      </c>
      <c r="R55" t="s">
        <v>141</v>
      </c>
      <c r="S55" s="1">
        <v>45689</v>
      </c>
      <c r="U55" t="s">
        <v>47</v>
      </c>
      <c r="X55" t="s">
        <v>48</v>
      </c>
      <c r="Y55" s="4">
        <v>0</v>
      </c>
      <c r="Z55" s="4">
        <v>46.83</v>
      </c>
      <c r="AA55">
        <v>9</v>
      </c>
      <c r="AB55" s="2">
        <v>1</v>
      </c>
      <c r="AC55" s="4">
        <v>421.47</v>
      </c>
      <c r="AD55" s="2">
        <v>0</v>
      </c>
      <c r="AE55" s="4">
        <v>0</v>
      </c>
      <c r="AF55" s="4">
        <v>421.47</v>
      </c>
      <c r="AK55">
        <v>4979708</v>
      </c>
    </row>
    <row r="56" spans="1:38" x14ac:dyDescent="0.25">
      <c r="A56" s="1">
        <v>45679</v>
      </c>
      <c r="B56" s="1">
        <v>45679</v>
      </c>
      <c r="C56" t="s">
        <v>142</v>
      </c>
      <c r="D56" t="s">
        <v>39</v>
      </c>
      <c r="E56" t="s">
        <v>40</v>
      </c>
      <c r="F56">
        <v>43677</v>
      </c>
      <c r="H56" t="s">
        <v>41</v>
      </c>
      <c r="I56" t="s">
        <v>204</v>
      </c>
      <c r="J56" t="s">
        <v>143</v>
      </c>
      <c r="M56" t="s">
        <v>43</v>
      </c>
      <c r="O56">
        <v>45611</v>
      </c>
      <c r="P56" t="s">
        <v>57</v>
      </c>
      <c r="Q56" t="s">
        <v>144</v>
      </c>
      <c r="R56" t="s">
        <v>52</v>
      </c>
      <c r="S56" s="1">
        <v>45658</v>
      </c>
      <c r="U56" t="s">
        <v>47</v>
      </c>
      <c r="X56" t="s">
        <v>48</v>
      </c>
      <c r="AF56" t="s">
        <v>53</v>
      </c>
      <c r="AG56" t="s">
        <v>49</v>
      </c>
      <c r="AJ56" t="s">
        <v>145</v>
      </c>
    </row>
    <row r="57" spans="1:38" x14ac:dyDescent="0.25">
      <c r="A57" s="1">
        <v>45679</v>
      </c>
      <c r="B57" s="1">
        <v>45679</v>
      </c>
      <c r="C57" t="s">
        <v>142</v>
      </c>
      <c r="D57" t="s">
        <v>39</v>
      </c>
      <c r="E57" t="s">
        <v>40</v>
      </c>
      <c r="F57">
        <v>43677</v>
      </c>
      <c r="H57" t="s">
        <v>41</v>
      </c>
      <c r="I57" t="s">
        <v>205</v>
      </c>
      <c r="J57" t="s">
        <v>146</v>
      </c>
      <c r="M57" t="s">
        <v>43</v>
      </c>
      <c r="O57">
        <v>45638</v>
      </c>
      <c r="P57" t="s">
        <v>66</v>
      </c>
      <c r="Q57" t="s">
        <v>144</v>
      </c>
      <c r="R57" t="s">
        <v>52</v>
      </c>
      <c r="S57" s="1">
        <v>45658</v>
      </c>
      <c r="U57" t="s">
        <v>47</v>
      </c>
      <c r="X57" t="s">
        <v>48</v>
      </c>
      <c r="AF57" t="s">
        <v>53</v>
      </c>
      <c r="AG57" t="s">
        <v>49</v>
      </c>
      <c r="AJ57" t="s">
        <v>53</v>
      </c>
    </row>
    <row r="58" spans="1:38" x14ac:dyDescent="0.25">
      <c r="A58" s="1">
        <v>45679</v>
      </c>
      <c r="B58" s="1">
        <v>45679</v>
      </c>
      <c r="C58" t="s">
        <v>142</v>
      </c>
      <c r="D58" t="s">
        <v>39</v>
      </c>
      <c r="E58" t="s">
        <v>40</v>
      </c>
      <c r="F58">
        <v>43677</v>
      </c>
      <c r="H58" t="s">
        <v>41</v>
      </c>
      <c r="I58" t="s">
        <v>206</v>
      </c>
      <c r="J58" t="s">
        <v>147</v>
      </c>
      <c r="M58" t="s">
        <v>43</v>
      </c>
      <c r="O58">
        <v>45603</v>
      </c>
      <c r="P58" t="s">
        <v>55</v>
      </c>
      <c r="Q58" t="s">
        <v>144</v>
      </c>
      <c r="R58" t="s">
        <v>52</v>
      </c>
      <c r="S58" s="1">
        <v>45658</v>
      </c>
      <c r="U58" t="s">
        <v>47</v>
      </c>
      <c r="X58" t="s">
        <v>48</v>
      </c>
      <c r="AF58" t="s">
        <v>53</v>
      </c>
      <c r="AG58" t="s">
        <v>49</v>
      </c>
      <c r="AJ58" t="s">
        <v>145</v>
      </c>
    </row>
    <row r="59" spans="1:38" x14ac:dyDescent="0.25">
      <c r="A59" s="1">
        <v>45679</v>
      </c>
      <c r="B59" s="1">
        <v>45679</v>
      </c>
      <c r="C59" t="s">
        <v>142</v>
      </c>
      <c r="D59" t="s">
        <v>39</v>
      </c>
      <c r="E59" t="s">
        <v>40</v>
      </c>
      <c r="F59">
        <v>43677</v>
      </c>
      <c r="H59" t="s">
        <v>41</v>
      </c>
      <c r="I59" t="s">
        <v>207</v>
      </c>
      <c r="J59" t="s">
        <v>148</v>
      </c>
      <c r="M59" t="s">
        <v>43</v>
      </c>
      <c r="O59">
        <v>45603</v>
      </c>
      <c r="P59" t="s">
        <v>55</v>
      </c>
      <c r="Q59" t="s">
        <v>144</v>
      </c>
      <c r="R59" t="s">
        <v>52</v>
      </c>
      <c r="S59" s="1">
        <v>45658</v>
      </c>
      <c r="U59" t="s">
        <v>47</v>
      </c>
      <c r="X59" t="s">
        <v>48</v>
      </c>
      <c r="AF59" t="s">
        <v>53</v>
      </c>
      <c r="AG59" t="s">
        <v>49</v>
      </c>
      <c r="AJ59" t="s">
        <v>145</v>
      </c>
    </row>
    <row r="60" spans="1:38" x14ac:dyDescent="0.25">
      <c r="A60" s="1">
        <v>45679</v>
      </c>
      <c r="B60" s="1">
        <v>45679</v>
      </c>
      <c r="C60" t="s">
        <v>142</v>
      </c>
      <c r="D60" t="s">
        <v>39</v>
      </c>
      <c r="E60" t="s">
        <v>40</v>
      </c>
      <c r="F60">
        <v>43677</v>
      </c>
      <c r="H60" t="s">
        <v>41</v>
      </c>
      <c r="I60" t="s">
        <v>208</v>
      </c>
      <c r="J60" t="s">
        <v>149</v>
      </c>
      <c r="M60" t="s">
        <v>43</v>
      </c>
      <c r="O60">
        <v>43679</v>
      </c>
      <c r="P60" t="s">
        <v>150</v>
      </c>
      <c r="Q60" t="s">
        <v>144</v>
      </c>
      <c r="R60" t="s">
        <v>52</v>
      </c>
      <c r="S60" s="1">
        <v>45658</v>
      </c>
      <c r="U60" t="s">
        <v>47</v>
      </c>
      <c r="X60" t="s">
        <v>48</v>
      </c>
      <c r="AF60" t="s">
        <v>53</v>
      </c>
      <c r="AG60" t="s">
        <v>49</v>
      </c>
      <c r="AJ60" t="s">
        <v>53</v>
      </c>
    </row>
    <row r="61" spans="1:38" x14ac:dyDescent="0.25">
      <c r="A61" s="1">
        <v>45679</v>
      </c>
      <c r="B61" s="1">
        <v>45679</v>
      </c>
      <c r="C61" t="s">
        <v>142</v>
      </c>
      <c r="D61" t="s">
        <v>39</v>
      </c>
      <c r="E61" t="s">
        <v>40</v>
      </c>
      <c r="F61">
        <v>43677</v>
      </c>
      <c r="H61" t="s">
        <v>41</v>
      </c>
      <c r="I61" t="s">
        <v>209</v>
      </c>
      <c r="J61" t="s">
        <v>151</v>
      </c>
      <c r="M61" t="s">
        <v>43</v>
      </c>
      <c r="O61">
        <v>45603</v>
      </c>
      <c r="P61" t="s">
        <v>55</v>
      </c>
      <c r="Q61" t="s">
        <v>144</v>
      </c>
      <c r="R61" t="s">
        <v>52</v>
      </c>
      <c r="S61" s="1">
        <v>45658</v>
      </c>
      <c r="U61" t="s">
        <v>47</v>
      </c>
      <c r="X61" t="s">
        <v>48</v>
      </c>
      <c r="AF61" t="s">
        <v>53</v>
      </c>
      <c r="AG61" t="s">
        <v>49</v>
      </c>
      <c r="AJ61" t="s">
        <v>145</v>
      </c>
    </row>
    <row r="62" spans="1:38" x14ac:dyDescent="0.25">
      <c r="A62" s="1">
        <v>45679</v>
      </c>
      <c r="B62" s="1">
        <v>45679</v>
      </c>
      <c r="C62" t="s">
        <v>142</v>
      </c>
      <c r="D62" t="s">
        <v>39</v>
      </c>
      <c r="E62" t="s">
        <v>40</v>
      </c>
      <c r="F62">
        <v>43677</v>
      </c>
      <c r="H62" t="s">
        <v>41</v>
      </c>
      <c r="I62" t="s">
        <v>210</v>
      </c>
      <c r="J62" t="s">
        <v>152</v>
      </c>
      <c r="M62" t="s">
        <v>43</v>
      </c>
      <c r="O62">
        <v>43679</v>
      </c>
      <c r="P62" t="s">
        <v>150</v>
      </c>
      <c r="Q62" t="s">
        <v>144</v>
      </c>
      <c r="R62" t="s">
        <v>52</v>
      </c>
      <c r="S62" s="1">
        <v>45658</v>
      </c>
      <c r="U62" t="s">
        <v>47</v>
      </c>
      <c r="X62" t="s">
        <v>48</v>
      </c>
      <c r="AF62" t="s">
        <v>53</v>
      </c>
      <c r="AG62" t="s">
        <v>49</v>
      </c>
      <c r="AJ62" t="s">
        <v>145</v>
      </c>
    </row>
    <row r="63" spans="1:38" x14ac:dyDescent="0.25">
      <c r="A63" s="1">
        <v>45679</v>
      </c>
      <c r="B63" s="1">
        <v>45679</v>
      </c>
      <c r="C63" t="s">
        <v>142</v>
      </c>
      <c r="D63" t="s">
        <v>39</v>
      </c>
      <c r="E63" t="s">
        <v>40</v>
      </c>
      <c r="F63">
        <v>43677</v>
      </c>
      <c r="H63" t="s">
        <v>41</v>
      </c>
      <c r="I63" t="s">
        <v>211</v>
      </c>
      <c r="J63" t="s">
        <v>153</v>
      </c>
      <c r="M63" t="s">
        <v>43</v>
      </c>
      <c r="O63">
        <v>45605</v>
      </c>
      <c r="P63" t="s">
        <v>77</v>
      </c>
      <c r="Q63" t="s">
        <v>144</v>
      </c>
      <c r="R63" t="s">
        <v>52</v>
      </c>
      <c r="S63" s="1">
        <v>45658</v>
      </c>
      <c r="U63" t="s">
        <v>47</v>
      </c>
      <c r="X63" t="s">
        <v>48</v>
      </c>
      <c r="AF63" t="s">
        <v>53</v>
      </c>
      <c r="AG63" t="s">
        <v>49</v>
      </c>
      <c r="AJ63" t="s">
        <v>145</v>
      </c>
    </row>
    <row r="64" spans="1:38" x14ac:dyDescent="0.25">
      <c r="A64" s="1">
        <v>45679</v>
      </c>
      <c r="B64" s="1">
        <v>45679</v>
      </c>
      <c r="C64" t="s">
        <v>142</v>
      </c>
      <c r="D64" t="s">
        <v>39</v>
      </c>
      <c r="E64" t="s">
        <v>40</v>
      </c>
      <c r="F64">
        <v>43677</v>
      </c>
      <c r="H64" t="s">
        <v>41</v>
      </c>
      <c r="I64" t="s">
        <v>212</v>
      </c>
      <c r="J64" t="s">
        <v>154</v>
      </c>
      <c r="M64" t="s">
        <v>107</v>
      </c>
      <c r="O64">
        <v>43679</v>
      </c>
      <c r="P64" t="s">
        <v>150</v>
      </c>
      <c r="Q64" t="s">
        <v>144</v>
      </c>
      <c r="R64" t="s">
        <v>109</v>
      </c>
      <c r="S64" s="1">
        <v>45658</v>
      </c>
      <c r="U64" t="s">
        <v>47</v>
      </c>
      <c r="X64" t="s">
        <v>48</v>
      </c>
      <c r="AF64" t="s">
        <v>110</v>
      </c>
      <c r="AG64" t="s">
        <v>49</v>
      </c>
      <c r="AJ64" t="s">
        <v>110</v>
      </c>
    </row>
    <row r="65" spans="1:38" x14ac:dyDescent="0.25">
      <c r="A65" s="1">
        <v>45679</v>
      </c>
      <c r="B65" s="1">
        <v>45679</v>
      </c>
      <c r="C65" t="s">
        <v>142</v>
      </c>
      <c r="D65" t="s">
        <v>39</v>
      </c>
      <c r="E65" t="s">
        <v>40</v>
      </c>
      <c r="F65">
        <v>43677</v>
      </c>
      <c r="H65" t="s">
        <v>41</v>
      </c>
      <c r="I65" t="s">
        <v>213</v>
      </c>
      <c r="J65" t="s">
        <v>155</v>
      </c>
      <c r="M65" t="s">
        <v>107</v>
      </c>
      <c r="O65">
        <v>43679</v>
      </c>
      <c r="P65" t="s">
        <v>150</v>
      </c>
      <c r="Q65" t="s">
        <v>144</v>
      </c>
      <c r="R65" t="s">
        <v>109</v>
      </c>
      <c r="S65" s="1">
        <v>45658</v>
      </c>
      <c r="U65" t="s">
        <v>47</v>
      </c>
      <c r="X65" t="s">
        <v>48</v>
      </c>
      <c r="AF65" t="s">
        <v>110</v>
      </c>
      <c r="AG65" t="s">
        <v>49</v>
      </c>
      <c r="AJ65" t="s">
        <v>110</v>
      </c>
    </row>
    <row r="66" spans="1:38" x14ac:dyDescent="0.25">
      <c r="A66" s="1">
        <v>45679</v>
      </c>
      <c r="B66" s="1">
        <v>45679</v>
      </c>
      <c r="C66" t="s">
        <v>142</v>
      </c>
      <c r="D66" t="s">
        <v>39</v>
      </c>
      <c r="E66" t="s">
        <v>40</v>
      </c>
      <c r="F66">
        <v>43677</v>
      </c>
      <c r="H66" t="s">
        <v>41</v>
      </c>
      <c r="I66" t="s">
        <v>214</v>
      </c>
      <c r="J66" t="s">
        <v>156</v>
      </c>
      <c r="M66" t="s">
        <v>115</v>
      </c>
      <c r="O66">
        <v>43714</v>
      </c>
      <c r="P66" t="s">
        <v>157</v>
      </c>
      <c r="Q66" t="s">
        <v>144</v>
      </c>
      <c r="R66" t="s">
        <v>109</v>
      </c>
      <c r="S66" s="1">
        <v>45658</v>
      </c>
      <c r="U66" t="s">
        <v>47</v>
      </c>
      <c r="X66" t="s">
        <v>48</v>
      </c>
      <c r="AF66" t="s">
        <v>110</v>
      </c>
      <c r="AG66" t="s">
        <v>49</v>
      </c>
      <c r="AJ66" t="s">
        <v>110</v>
      </c>
    </row>
    <row r="67" spans="1:38" x14ac:dyDescent="0.25">
      <c r="A67" s="1">
        <v>45679</v>
      </c>
      <c r="B67" s="1">
        <v>45679</v>
      </c>
      <c r="C67" t="s">
        <v>142</v>
      </c>
      <c r="D67" t="s">
        <v>39</v>
      </c>
      <c r="E67" t="s">
        <v>40</v>
      </c>
      <c r="F67">
        <v>43677</v>
      </c>
      <c r="H67" t="s">
        <v>41</v>
      </c>
      <c r="I67" t="s">
        <v>215</v>
      </c>
      <c r="J67" t="s">
        <v>158</v>
      </c>
      <c r="M67" t="s">
        <v>115</v>
      </c>
      <c r="O67">
        <v>45605</v>
      </c>
      <c r="P67" t="s">
        <v>77</v>
      </c>
      <c r="Q67" t="s">
        <v>144</v>
      </c>
      <c r="R67" t="s">
        <v>127</v>
      </c>
      <c r="S67" s="1">
        <v>45658</v>
      </c>
      <c r="U67" t="s">
        <v>47</v>
      </c>
      <c r="X67" t="s">
        <v>48</v>
      </c>
      <c r="AF67" t="s">
        <v>134</v>
      </c>
      <c r="AG67" t="s">
        <v>49</v>
      </c>
      <c r="AJ67" t="s">
        <v>134</v>
      </c>
    </row>
    <row r="68" spans="1:38" x14ac:dyDescent="0.25">
      <c r="A68" s="1">
        <v>45679</v>
      </c>
      <c r="B68" s="1">
        <v>45679</v>
      </c>
      <c r="C68" t="s">
        <v>142</v>
      </c>
      <c r="D68" t="s">
        <v>39</v>
      </c>
      <c r="E68" t="s">
        <v>40</v>
      </c>
      <c r="F68">
        <v>43677</v>
      </c>
      <c r="H68" t="s">
        <v>41</v>
      </c>
      <c r="I68" t="s">
        <v>216</v>
      </c>
      <c r="J68" t="s">
        <v>158</v>
      </c>
      <c r="M68" t="s">
        <v>115</v>
      </c>
      <c r="O68">
        <v>45605</v>
      </c>
      <c r="P68" t="s">
        <v>77</v>
      </c>
      <c r="Q68" t="s">
        <v>144</v>
      </c>
      <c r="R68" t="s">
        <v>128</v>
      </c>
      <c r="S68" s="1">
        <v>45658</v>
      </c>
      <c r="U68" t="s">
        <v>47</v>
      </c>
      <c r="X68" t="s">
        <v>48</v>
      </c>
      <c r="AF68" t="s">
        <v>136</v>
      </c>
      <c r="AG68" t="s">
        <v>49</v>
      </c>
      <c r="AJ68" t="s">
        <v>136</v>
      </c>
    </row>
    <row r="69" spans="1:38" x14ac:dyDescent="0.25">
      <c r="A69" s="1">
        <v>45678</v>
      </c>
      <c r="B69" s="1">
        <v>45672</v>
      </c>
      <c r="C69" t="s">
        <v>159</v>
      </c>
      <c r="D69" t="s">
        <v>39</v>
      </c>
      <c r="E69" t="s">
        <v>40</v>
      </c>
      <c r="F69">
        <v>43677</v>
      </c>
      <c r="H69" t="s">
        <v>41</v>
      </c>
      <c r="I69" t="s">
        <v>217</v>
      </c>
      <c r="J69" t="s">
        <v>160</v>
      </c>
      <c r="M69" t="s">
        <v>107</v>
      </c>
      <c r="O69">
        <v>45601</v>
      </c>
      <c r="P69" t="s">
        <v>74</v>
      </c>
      <c r="Q69" t="s">
        <v>45</v>
      </c>
      <c r="R69" t="s">
        <v>161</v>
      </c>
      <c r="S69" s="1">
        <v>45597</v>
      </c>
      <c r="T69" s="1">
        <v>45703</v>
      </c>
      <c r="U69" t="s">
        <v>47</v>
      </c>
      <c r="V69">
        <v>1</v>
      </c>
      <c r="W69" s="1">
        <v>45673</v>
      </c>
      <c r="X69" t="s">
        <v>48</v>
      </c>
      <c r="Y69" t="s">
        <v>162</v>
      </c>
      <c r="Z69" t="s">
        <v>162</v>
      </c>
      <c r="AB69" s="2">
        <v>1</v>
      </c>
      <c r="AC69" t="s">
        <v>163</v>
      </c>
      <c r="AG69" t="s">
        <v>49</v>
      </c>
      <c r="AH69" t="s">
        <v>163</v>
      </c>
      <c r="AI69" t="s">
        <v>49</v>
      </c>
      <c r="AK69">
        <v>4895608</v>
      </c>
      <c r="AL69" t="s">
        <v>164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1F7B-4CE0-8145-ADF0-E9EB7B419EAD}">
  <dimension ref="A1:R65"/>
  <sheetViews>
    <sheetView workbookViewId="0">
      <selection sqref="A1:XFD1"/>
    </sheetView>
  </sheetViews>
  <sheetFormatPr defaultColWidth="11" defaultRowHeight="15.75" x14ac:dyDescent="0.25"/>
  <cols>
    <col min="1" max="1" width="16.875" bestFit="1" customWidth="1"/>
    <col min="2" max="2" width="15.625" style="3" bestFit="1" customWidth="1"/>
    <col min="3" max="3" width="15.625" style="3" customWidth="1"/>
    <col min="4" max="4" width="25.5" bestFit="1" customWidth="1"/>
    <col min="5" max="5" width="5.5" bestFit="1" customWidth="1"/>
    <col min="6" max="6" width="24.5" bestFit="1" customWidth="1"/>
    <col min="7" max="7" width="24.5" customWidth="1"/>
    <col min="8" max="8" width="12.875" bestFit="1" customWidth="1"/>
    <col min="9" max="9" width="47.5" bestFit="1" customWidth="1"/>
    <col min="10" max="10" width="9.625" bestFit="1" customWidth="1"/>
    <col min="11" max="11" width="13" bestFit="1" customWidth="1"/>
    <col min="12" max="12" width="8.625" bestFit="1" customWidth="1"/>
    <col min="13" max="14" width="15.375" bestFit="1" customWidth="1"/>
    <col min="15" max="15" width="16.375" bestFit="1" customWidth="1"/>
    <col min="16" max="16" width="16.5" bestFit="1" customWidth="1"/>
  </cols>
  <sheetData>
    <row r="1" spans="1:17" x14ac:dyDescent="0.25">
      <c r="A1" t="s">
        <v>7</v>
      </c>
      <c r="B1" s="3" t="s">
        <v>8</v>
      </c>
      <c r="D1" t="s">
        <v>9</v>
      </c>
      <c r="E1" t="s">
        <v>12</v>
      </c>
      <c r="F1" t="s">
        <v>15</v>
      </c>
      <c r="H1" t="s">
        <v>16</v>
      </c>
      <c r="I1" t="s">
        <v>17</v>
      </c>
      <c r="J1" t="s">
        <v>18</v>
      </c>
      <c r="K1" t="s">
        <v>20</v>
      </c>
      <c r="L1" t="s">
        <v>23</v>
      </c>
      <c r="M1" t="s">
        <v>26</v>
      </c>
      <c r="N1" t="s">
        <v>27</v>
      </c>
      <c r="O1" t="s">
        <v>28</v>
      </c>
      <c r="P1" t="s">
        <v>37</v>
      </c>
    </row>
    <row r="2" spans="1:17" x14ac:dyDescent="0.25">
      <c r="A2" t="s">
        <v>41</v>
      </c>
      <c r="B2" s="3" t="s">
        <v>167</v>
      </c>
      <c r="C2" s="3" t="str">
        <f>CONCATENATE(B2,9)</f>
        <v>00007885681K9</v>
      </c>
      <c r="D2" t="s">
        <v>54</v>
      </c>
      <c r="E2" t="s">
        <v>43</v>
      </c>
      <c r="F2" t="s">
        <v>227</v>
      </c>
      <c r="G2">
        <v>20411454</v>
      </c>
      <c r="H2" t="s">
        <v>45</v>
      </c>
      <c r="I2" t="s">
        <v>52</v>
      </c>
      <c r="J2" s="1">
        <v>45689</v>
      </c>
      <c r="K2" t="s">
        <v>47</v>
      </c>
      <c r="L2" t="s">
        <v>48</v>
      </c>
      <c r="M2">
        <v>1</v>
      </c>
      <c r="N2" s="2">
        <v>1</v>
      </c>
      <c r="O2">
        <v>175</v>
      </c>
      <c r="Q2" t="s">
        <v>219</v>
      </c>
    </row>
    <row r="3" spans="1:17" x14ac:dyDescent="0.25">
      <c r="A3" t="s">
        <v>41</v>
      </c>
      <c r="B3" s="3">
        <v>102131714400</v>
      </c>
      <c r="C3" s="3" t="str">
        <f t="shared" ref="C3:C54" si="0">CONCATENATE(B3,9)</f>
        <v>1021317144009</v>
      </c>
      <c r="D3" t="s">
        <v>114</v>
      </c>
      <c r="E3" t="s">
        <v>115</v>
      </c>
      <c r="F3" t="s">
        <v>227</v>
      </c>
      <c r="G3">
        <v>20411454</v>
      </c>
      <c r="H3" t="s">
        <v>45</v>
      </c>
      <c r="I3" t="s">
        <v>109</v>
      </c>
      <c r="J3" s="1">
        <v>45658</v>
      </c>
      <c r="K3" t="s">
        <v>47</v>
      </c>
      <c r="L3" t="s">
        <v>48</v>
      </c>
      <c r="M3">
        <v>1</v>
      </c>
      <c r="N3" s="2">
        <v>1</v>
      </c>
      <c r="O3">
        <v>50</v>
      </c>
      <c r="Q3" t="s">
        <v>218</v>
      </c>
    </row>
    <row r="4" spans="1:17" x14ac:dyDescent="0.25">
      <c r="A4" t="s">
        <v>41</v>
      </c>
      <c r="B4" s="3">
        <v>102131717200</v>
      </c>
      <c r="C4" s="3" t="str">
        <f t="shared" si="0"/>
        <v>1021317172009</v>
      </c>
      <c r="D4" t="s">
        <v>116</v>
      </c>
      <c r="E4" t="s">
        <v>115</v>
      </c>
      <c r="F4" t="s">
        <v>227</v>
      </c>
      <c r="G4">
        <v>20411454</v>
      </c>
      <c r="H4" t="s">
        <v>45</v>
      </c>
      <c r="I4" t="s">
        <v>109</v>
      </c>
      <c r="J4" s="1">
        <v>45658</v>
      </c>
      <c r="K4" t="s">
        <v>47</v>
      </c>
      <c r="L4" t="s">
        <v>48</v>
      </c>
      <c r="M4">
        <v>1</v>
      </c>
      <c r="N4" s="2">
        <v>1</v>
      </c>
      <c r="O4">
        <v>50</v>
      </c>
      <c r="Q4" t="s">
        <v>218</v>
      </c>
    </row>
    <row r="5" spans="1:17" x14ac:dyDescent="0.25">
      <c r="A5" t="s">
        <v>41</v>
      </c>
      <c r="B5" s="3" t="s">
        <v>214</v>
      </c>
      <c r="C5" s="3" t="str">
        <f t="shared" si="0"/>
        <v>102103193700CB9</v>
      </c>
      <c r="D5" t="s">
        <v>156</v>
      </c>
      <c r="E5" t="s">
        <v>115</v>
      </c>
      <c r="F5" t="s">
        <v>227</v>
      </c>
      <c r="G5">
        <v>20411454</v>
      </c>
      <c r="H5" t="s">
        <v>144</v>
      </c>
      <c r="I5" t="s">
        <v>109</v>
      </c>
      <c r="J5" s="1">
        <v>45658</v>
      </c>
      <c r="K5" t="s">
        <v>47</v>
      </c>
      <c r="L5" t="s">
        <v>48</v>
      </c>
      <c r="O5">
        <v>-50</v>
      </c>
      <c r="Q5" t="s">
        <v>218</v>
      </c>
    </row>
    <row r="6" spans="1:17" x14ac:dyDescent="0.25">
      <c r="A6" t="s">
        <v>41</v>
      </c>
      <c r="B6" s="3" t="s">
        <v>212</v>
      </c>
      <c r="C6" s="3" t="str">
        <f t="shared" si="0"/>
        <v>101068686100CB9</v>
      </c>
      <c r="D6" t="s">
        <v>154</v>
      </c>
      <c r="E6" t="s">
        <v>107</v>
      </c>
      <c r="F6" t="s">
        <v>227</v>
      </c>
      <c r="G6">
        <v>20411454</v>
      </c>
      <c r="H6" t="s">
        <v>144</v>
      </c>
      <c r="I6" t="s">
        <v>109</v>
      </c>
      <c r="J6" s="1">
        <v>45658</v>
      </c>
      <c r="K6" t="s">
        <v>47</v>
      </c>
      <c r="L6" t="s">
        <v>48</v>
      </c>
      <c r="O6">
        <v>-50</v>
      </c>
      <c r="Q6" t="s">
        <v>218</v>
      </c>
    </row>
    <row r="7" spans="1:17" x14ac:dyDescent="0.25">
      <c r="A7" t="s">
        <v>41</v>
      </c>
      <c r="B7" s="3" t="s">
        <v>213</v>
      </c>
      <c r="C7" s="3" t="str">
        <f t="shared" si="0"/>
        <v>101079484800CB9</v>
      </c>
      <c r="D7" t="s">
        <v>155</v>
      </c>
      <c r="E7" t="s">
        <v>107</v>
      </c>
      <c r="F7" t="s">
        <v>227</v>
      </c>
      <c r="G7">
        <v>20411454</v>
      </c>
      <c r="H7" t="s">
        <v>144</v>
      </c>
      <c r="I7" t="s">
        <v>109</v>
      </c>
      <c r="J7" s="1">
        <v>45658</v>
      </c>
      <c r="K7" t="s">
        <v>47</v>
      </c>
      <c r="L7" t="s">
        <v>48</v>
      </c>
      <c r="O7">
        <v>-50</v>
      </c>
      <c r="Q7" t="s">
        <v>218</v>
      </c>
    </row>
    <row r="8" spans="1:17" x14ac:dyDescent="0.25">
      <c r="A8" t="s">
        <v>41</v>
      </c>
      <c r="B8" s="3">
        <v>102134110300</v>
      </c>
      <c r="C8" s="3" t="str">
        <f t="shared" si="0"/>
        <v>1021341103009</v>
      </c>
      <c r="D8" t="s">
        <v>122</v>
      </c>
      <c r="E8" t="s">
        <v>115</v>
      </c>
      <c r="F8" t="s">
        <v>227</v>
      </c>
      <c r="G8">
        <v>20411454</v>
      </c>
      <c r="H8" t="s">
        <v>45</v>
      </c>
      <c r="I8" t="s">
        <v>109</v>
      </c>
      <c r="J8" s="1">
        <v>45658</v>
      </c>
      <c r="K8" t="s">
        <v>47</v>
      </c>
      <c r="L8" t="s">
        <v>48</v>
      </c>
      <c r="M8">
        <v>1</v>
      </c>
      <c r="N8" s="2">
        <v>1</v>
      </c>
      <c r="O8">
        <v>50</v>
      </c>
      <c r="Q8" t="s">
        <v>218</v>
      </c>
    </row>
    <row r="9" spans="1:17" x14ac:dyDescent="0.25">
      <c r="A9" t="s">
        <v>41</v>
      </c>
      <c r="B9" s="3">
        <v>101197965500</v>
      </c>
      <c r="C9" s="3" t="str">
        <f t="shared" si="0"/>
        <v>1011979655009</v>
      </c>
      <c r="D9" t="s">
        <v>111</v>
      </c>
      <c r="E9" t="s">
        <v>102</v>
      </c>
      <c r="F9" t="s">
        <v>227</v>
      </c>
      <c r="G9">
        <v>20411454</v>
      </c>
      <c r="H9" t="s">
        <v>45</v>
      </c>
      <c r="I9" t="s">
        <v>109</v>
      </c>
      <c r="J9" s="1">
        <v>45658</v>
      </c>
      <c r="K9" t="s">
        <v>47</v>
      </c>
      <c r="L9" t="s">
        <v>48</v>
      </c>
      <c r="M9">
        <v>1</v>
      </c>
      <c r="N9" s="2">
        <v>1</v>
      </c>
      <c r="O9">
        <v>50</v>
      </c>
      <c r="Q9" t="s">
        <v>218</v>
      </c>
    </row>
    <row r="10" spans="1:17" x14ac:dyDescent="0.25">
      <c r="A10" t="s">
        <v>41</v>
      </c>
      <c r="B10" s="3">
        <v>101099543500</v>
      </c>
      <c r="C10" s="3" t="str">
        <f t="shared" si="0"/>
        <v>1010995435009</v>
      </c>
      <c r="D10" t="s">
        <v>106</v>
      </c>
      <c r="E10" t="s">
        <v>107</v>
      </c>
      <c r="F10" t="s">
        <v>227</v>
      </c>
      <c r="G10">
        <v>20411454</v>
      </c>
      <c r="H10" t="s">
        <v>45</v>
      </c>
      <c r="I10" t="s">
        <v>109</v>
      </c>
      <c r="J10" s="1">
        <v>45658</v>
      </c>
      <c r="K10" t="s">
        <v>47</v>
      </c>
      <c r="L10" t="s">
        <v>48</v>
      </c>
      <c r="M10">
        <v>1</v>
      </c>
      <c r="N10" s="2">
        <v>1</v>
      </c>
      <c r="O10">
        <v>50</v>
      </c>
      <c r="Q10" t="s">
        <v>218</v>
      </c>
    </row>
    <row r="11" spans="1:17" x14ac:dyDescent="0.25">
      <c r="A11" t="s">
        <v>41</v>
      </c>
      <c r="B11" s="3">
        <v>101565063500</v>
      </c>
      <c r="C11" s="3" t="str">
        <f t="shared" si="0"/>
        <v>1015650635009</v>
      </c>
      <c r="D11" t="s">
        <v>112</v>
      </c>
      <c r="E11" t="s">
        <v>113</v>
      </c>
      <c r="F11" t="s">
        <v>227</v>
      </c>
      <c r="G11">
        <v>20411454</v>
      </c>
      <c r="H11" t="s">
        <v>45</v>
      </c>
      <c r="I11" t="s">
        <v>109</v>
      </c>
      <c r="J11" s="1">
        <v>45658</v>
      </c>
      <c r="K11" t="s">
        <v>47</v>
      </c>
      <c r="L11" t="s">
        <v>48</v>
      </c>
      <c r="M11">
        <v>1</v>
      </c>
      <c r="N11" s="2">
        <v>1</v>
      </c>
      <c r="O11">
        <v>50</v>
      </c>
      <c r="Q11" t="s">
        <v>218</v>
      </c>
    </row>
    <row r="12" spans="1:17" x14ac:dyDescent="0.25">
      <c r="A12" t="s">
        <v>41</v>
      </c>
      <c r="B12" s="3">
        <v>102133066800</v>
      </c>
      <c r="C12" s="3" t="str">
        <f t="shared" si="0"/>
        <v>1021330668009</v>
      </c>
      <c r="D12" t="s">
        <v>120</v>
      </c>
      <c r="E12" t="s">
        <v>121</v>
      </c>
      <c r="F12" t="s">
        <v>227</v>
      </c>
      <c r="G12">
        <v>20411454</v>
      </c>
      <c r="H12" t="s">
        <v>45</v>
      </c>
      <c r="I12" t="s">
        <v>109</v>
      </c>
      <c r="J12" s="1">
        <v>45658</v>
      </c>
      <c r="K12" t="s">
        <v>47</v>
      </c>
      <c r="L12" t="s">
        <v>48</v>
      </c>
      <c r="M12">
        <v>1</v>
      </c>
      <c r="N12" s="2">
        <v>1</v>
      </c>
      <c r="O12">
        <v>50</v>
      </c>
      <c r="Q12" t="s">
        <v>218</v>
      </c>
    </row>
    <row r="13" spans="1:17" x14ac:dyDescent="0.25">
      <c r="A13" t="s">
        <v>41</v>
      </c>
      <c r="B13" s="3">
        <v>102132809400</v>
      </c>
      <c r="C13" s="3" t="str">
        <f t="shared" si="0"/>
        <v>1021328094009</v>
      </c>
      <c r="D13" t="s">
        <v>117</v>
      </c>
      <c r="E13" t="s">
        <v>118</v>
      </c>
      <c r="F13" t="s">
        <v>227</v>
      </c>
      <c r="G13">
        <v>20411454</v>
      </c>
      <c r="H13" t="s">
        <v>45</v>
      </c>
      <c r="I13" t="s">
        <v>119</v>
      </c>
      <c r="J13" s="1">
        <v>45658</v>
      </c>
      <c r="K13" t="s">
        <v>47</v>
      </c>
      <c r="L13" t="s">
        <v>48</v>
      </c>
      <c r="M13">
        <v>1</v>
      </c>
      <c r="N13" s="2">
        <v>1</v>
      </c>
      <c r="O13">
        <v>40</v>
      </c>
      <c r="Q13" t="s">
        <v>218</v>
      </c>
    </row>
    <row r="14" spans="1:17" x14ac:dyDescent="0.25">
      <c r="A14" t="s">
        <v>41</v>
      </c>
      <c r="B14" s="3" t="s">
        <v>192</v>
      </c>
      <c r="C14" s="3" t="str">
        <f t="shared" si="0"/>
        <v>00022990118K9</v>
      </c>
      <c r="D14" t="s">
        <v>92</v>
      </c>
      <c r="E14" t="s">
        <v>43</v>
      </c>
      <c r="F14" t="s">
        <v>227</v>
      </c>
      <c r="G14">
        <v>20411454</v>
      </c>
      <c r="H14" t="s">
        <v>45</v>
      </c>
      <c r="I14" t="s">
        <v>52</v>
      </c>
      <c r="J14" s="1">
        <v>45689</v>
      </c>
      <c r="K14" t="s">
        <v>47</v>
      </c>
      <c r="L14" t="s">
        <v>48</v>
      </c>
      <c r="M14">
        <v>1</v>
      </c>
      <c r="N14" s="2">
        <v>1</v>
      </c>
      <c r="O14">
        <v>175</v>
      </c>
      <c r="Q14" t="s">
        <v>219</v>
      </c>
    </row>
    <row r="15" spans="1:17" x14ac:dyDescent="0.25">
      <c r="A15" t="s">
        <v>41</v>
      </c>
      <c r="B15" s="3" t="s">
        <v>206</v>
      </c>
      <c r="C15" s="3" t="str">
        <f t="shared" si="0"/>
        <v>00022417706KPC9</v>
      </c>
      <c r="D15" t="s">
        <v>147</v>
      </c>
      <c r="E15" t="s">
        <v>43</v>
      </c>
      <c r="F15" t="s">
        <v>227</v>
      </c>
      <c r="G15">
        <v>20411454</v>
      </c>
      <c r="H15" t="s">
        <v>144</v>
      </c>
      <c r="I15" t="s">
        <v>52</v>
      </c>
      <c r="J15" s="1">
        <v>45658</v>
      </c>
      <c r="K15" t="s">
        <v>47</v>
      </c>
      <c r="L15" t="s">
        <v>48</v>
      </c>
      <c r="O15">
        <v>-161</v>
      </c>
      <c r="Q15" t="s">
        <v>219</v>
      </c>
    </row>
    <row r="16" spans="1:17" x14ac:dyDescent="0.25">
      <c r="A16" t="s">
        <v>41</v>
      </c>
      <c r="B16" s="3" t="s">
        <v>207</v>
      </c>
      <c r="C16" s="3" t="str">
        <f t="shared" si="0"/>
        <v>00022423175KPC9</v>
      </c>
      <c r="D16" t="s">
        <v>148</v>
      </c>
      <c r="E16" t="s">
        <v>43</v>
      </c>
      <c r="F16" t="s">
        <v>227</v>
      </c>
      <c r="G16">
        <v>20411454</v>
      </c>
      <c r="H16" t="s">
        <v>144</v>
      </c>
      <c r="I16" t="s">
        <v>52</v>
      </c>
      <c r="J16" s="1">
        <v>45658</v>
      </c>
      <c r="K16" t="s">
        <v>47</v>
      </c>
      <c r="L16" t="s">
        <v>48</v>
      </c>
      <c r="O16">
        <v>-161</v>
      </c>
      <c r="Q16" t="s">
        <v>219</v>
      </c>
    </row>
    <row r="17" spans="1:17" x14ac:dyDescent="0.25">
      <c r="A17" t="s">
        <v>41</v>
      </c>
      <c r="B17" s="3" t="s">
        <v>209</v>
      </c>
      <c r="C17" s="3" t="str">
        <f t="shared" si="0"/>
        <v>00022478097KPC9</v>
      </c>
      <c r="D17" t="s">
        <v>151</v>
      </c>
      <c r="E17" t="s">
        <v>43</v>
      </c>
      <c r="F17" t="s">
        <v>227</v>
      </c>
      <c r="G17">
        <v>20411454</v>
      </c>
      <c r="H17" t="s">
        <v>144</v>
      </c>
      <c r="I17" t="s">
        <v>52</v>
      </c>
      <c r="J17" s="1">
        <v>45658</v>
      </c>
      <c r="K17" t="s">
        <v>47</v>
      </c>
      <c r="L17" t="s">
        <v>48</v>
      </c>
      <c r="O17">
        <v>-161</v>
      </c>
      <c r="Q17" t="s">
        <v>219</v>
      </c>
    </row>
    <row r="18" spans="1:17" x14ac:dyDescent="0.25">
      <c r="A18" t="s">
        <v>41</v>
      </c>
      <c r="B18" s="3" t="s">
        <v>169</v>
      </c>
      <c r="C18" s="3" t="str">
        <f t="shared" si="0"/>
        <v>00009933847K9</v>
      </c>
      <c r="D18" t="s">
        <v>58</v>
      </c>
      <c r="E18" t="s">
        <v>43</v>
      </c>
      <c r="F18" t="s">
        <v>227</v>
      </c>
      <c r="G18">
        <v>20411454</v>
      </c>
      <c r="H18" t="s">
        <v>45</v>
      </c>
      <c r="I18" t="s">
        <v>52</v>
      </c>
      <c r="J18" s="1">
        <v>45689</v>
      </c>
      <c r="K18" t="s">
        <v>47</v>
      </c>
      <c r="L18" t="s">
        <v>48</v>
      </c>
      <c r="M18">
        <v>1</v>
      </c>
      <c r="N18" s="2">
        <v>1</v>
      </c>
      <c r="O18">
        <v>175</v>
      </c>
      <c r="Q18" t="s">
        <v>219</v>
      </c>
    </row>
    <row r="19" spans="1:17" x14ac:dyDescent="0.25">
      <c r="A19" t="s">
        <v>41</v>
      </c>
      <c r="B19" s="3" t="s">
        <v>195</v>
      </c>
      <c r="C19" s="3" t="str">
        <f t="shared" si="0"/>
        <v>00022996929K9</v>
      </c>
      <c r="D19" t="s">
        <v>97</v>
      </c>
      <c r="E19" t="s">
        <v>43</v>
      </c>
      <c r="F19" t="s">
        <v>227</v>
      </c>
      <c r="G19">
        <v>20411454</v>
      </c>
      <c r="H19" t="s">
        <v>45</v>
      </c>
      <c r="I19" t="s">
        <v>52</v>
      </c>
      <c r="J19" s="1">
        <v>45689</v>
      </c>
      <c r="K19" t="s">
        <v>47</v>
      </c>
      <c r="L19" t="s">
        <v>48</v>
      </c>
      <c r="M19">
        <v>1</v>
      </c>
      <c r="N19" s="2">
        <v>1</v>
      </c>
      <c r="O19">
        <v>175</v>
      </c>
      <c r="Q19" t="s">
        <v>219</v>
      </c>
    </row>
    <row r="20" spans="1:17" x14ac:dyDescent="0.25">
      <c r="A20" t="s">
        <v>41</v>
      </c>
      <c r="B20" s="3" t="s">
        <v>196</v>
      </c>
      <c r="C20" s="3" t="str">
        <f t="shared" si="0"/>
        <v>00022996984K9</v>
      </c>
      <c r="D20" t="s">
        <v>98</v>
      </c>
      <c r="E20" t="s">
        <v>43</v>
      </c>
      <c r="F20" t="s">
        <v>227</v>
      </c>
      <c r="G20">
        <v>20411454</v>
      </c>
      <c r="H20" t="s">
        <v>45</v>
      </c>
      <c r="I20" t="s">
        <v>52</v>
      </c>
      <c r="J20" s="1">
        <v>45689</v>
      </c>
      <c r="K20" t="s">
        <v>47</v>
      </c>
      <c r="L20" t="s">
        <v>48</v>
      </c>
      <c r="M20">
        <v>1</v>
      </c>
      <c r="N20" s="2">
        <v>1</v>
      </c>
      <c r="O20">
        <v>175</v>
      </c>
      <c r="Q20" t="s">
        <v>219</v>
      </c>
    </row>
    <row r="21" spans="1:17" x14ac:dyDescent="0.25">
      <c r="A21" t="s">
        <v>41</v>
      </c>
      <c r="B21" s="3" t="s">
        <v>174</v>
      </c>
      <c r="C21" s="3" t="str">
        <f t="shared" si="0"/>
        <v>00018056985K9</v>
      </c>
      <c r="D21" t="s">
        <v>67</v>
      </c>
      <c r="E21" t="s">
        <v>43</v>
      </c>
      <c r="F21" t="s">
        <v>227</v>
      </c>
      <c r="G21">
        <v>20411454</v>
      </c>
      <c r="H21" t="s">
        <v>45</v>
      </c>
      <c r="I21" t="s">
        <v>46</v>
      </c>
      <c r="J21" s="1">
        <v>45689</v>
      </c>
      <c r="K21" t="s">
        <v>47</v>
      </c>
      <c r="L21" t="s">
        <v>48</v>
      </c>
      <c r="M21">
        <v>1</v>
      </c>
      <c r="N21" s="2">
        <v>1</v>
      </c>
      <c r="O21">
        <v>108</v>
      </c>
      <c r="Q21" t="s">
        <v>219</v>
      </c>
    </row>
    <row r="22" spans="1:17" x14ac:dyDescent="0.25">
      <c r="A22" t="s">
        <v>41</v>
      </c>
      <c r="B22" s="3" t="s">
        <v>165</v>
      </c>
      <c r="C22" s="3" t="str">
        <f t="shared" si="0"/>
        <v>00000075239K9</v>
      </c>
      <c r="D22" t="s">
        <v>42</v>
      </c>
      <c r="E22" t="s">
        <v>43</v>
      </c>
      <c r="F22" t="s">
        <v>227</v>
      </c>
      <c r="G22">
        <v>20411454</v>
      </c>
      <c r="H22" t="s">
        <v>45</v>
      </c>
      <c r="I22" t="s">
        <v>46</v>
      </c>
      <c r="J22" s="1">
        <v>45689</v>
      </c>
      <c r="K22" t="s">
        <v>47</v>
      </c>
      <c r="L22" t="s">
        <v>48</v>
      </c>
      <c r="M22">
        <v>1</v>
      </c>
      <c r="N22" s="2">
        <v>1</v>
      </c>
      <c r="O22">
        <v>108</v>
      </c>
      <c r="Q22" t="s">
        <v>219</v>
      </c>
    </row>
    <row r="23" spans="1:17" x14ac:dyDescent="0.25">
      <c r="A23" t="s">
        <v>41</v>
      </c>
      <c r="B23" s="3" t="s">
        <v>179</v>
      </c>
      <c r="C23" s="3" t="str">
        <f t="shared" si="0"/>
        <v>00022899364K9</v>
      </c>
      <c r="D23" t="s">
        <v>73</v>
      </c>
      <c r="E23" t="s">
        <v>43</v>
      </c>
      <c r="F23" t="s">
        <v>227</v>
      </c>
      <c r="G23">
        <v>20411454</v>
      </c>
      <c r="H23" t="s">
        <v>45</v>
      </c>
      <c r="I23" t="s">
        <v>46</v>
      </c>
      <c r="J23" s="1">
        <v>45658</v>
      </c>
      <c r="K23" t="s">
        <v>47</v>
      </c>
      <c r="L23" t="s">
        <v>48</v>
      </c>
      <c r="M23">
        <v>1</v>
      </c>
      <c r="N23" s="2">
        <v>1</v>
      </c>
      <c r="O23">
        <v>108</v>
      </c>
      <c r="Q23" t="s">
        <v>219</v>
      </c>
    </row>
    <row r="24" spans="1:17" x14ac:dyDescent="0.25">
      <c r="A24" t="s">
        <v>41</v>
      </c>
      <c r="B24" s="3" t="s">
        <v>194</v>
      </c>
      <c r="C24" s="3" t="str">
        <f t="shared" si="0"/>
        <v>00022995381K9</v>
      </c>
      <c r="D24" t="s">
        <v>95</v>
      </c>
      <c r="E24" t="s">
        <v>43</v>
      </c>
      <c r="F24" t="s">
        <v>227</v>
      </c>
      <c r="G24">
        <v>20411454</v>
      </c>
      <c r="H24" t="s">
        <v>45</v>
      </c>
      <c r="I24" t="s">
        <v>52</v>
      </c>
      <c r="J24" s="1">
        <v>45658</v>
      </c>
      <c r="K24" t="s">
        <v>47</v>
      </c>
      <c r="L24" t="s">
        <v>48</v>
      </c>
      <c r="M24">
        <v>1</v>
      </c>
      <c r="N24" s="2">
        <v>1</v>
      </c>
      <c r="O24">
        <v>175</v>
      </c>
      <c r="Q24" t="s">
        <v>219</v>
      </c>
    </row>
    <row r="25" spans="1:17" x14ac:dyDescent="0.25">
      <c r="A25" t="s">
        <v>41</v>
      </c>
      <c r="B25" s="3" t="s">
        <v>208</v>
      </c>
      <c r="C25" s="3" t="str">
        <f t="shared" si="0"/>
        <v>00022457988KCB9</v>
      </c>
      <c r="D25" t="s">
        <v>149</v>
      </c>
      <c r="E25" t="s">
        <v>43</v>
      </c>
      <c r="F25" t="s">
        <v>227</v>
      </c>
      <c r="G25">
        <v>20411454</v>
      </c>
      <c r="H25" t="s">
        <v>144</v>
      </c>
      <c r="I25" t="s">
        <v>52</v>
      </c>
      <c r="J25" s="1">
        <v>45658</v>
      </c>
      <c r="K25" t="s">
        <v>47</v>
      </c>
      <c r="L25" t="s">
        <v>48</v>
      </c>
      <c r="O25">
        <v>-175</v>
      </c>
      <c r="Q25" t="s">
        <v>219</v>
      </c>
    </row>
    <row r="26" spans="1:17" x14ac:dyDescent="0.25">
      <c r="A26" t="s">
        <v>41</v>
      </c>
      <c r="B26" s="3" t="s">
        <v>210</v>
      </c>
      <c r="C26" s="3" t="str">
        <f t="shared" si="0"/>
        <v>00022519552KPC9</v>
      </c>
      <c r="D26" t="s">
        <v>152</v>
      </c>
      <c r="E26" t="s">
        <v>43</v>
      </c>
      <c r="F26" t="s">
        <v>227</v>
      </c>
      <c r="G26">
        <v>20411454</v>
      </c>
      <c r="H26" t="s">
        <v>144</v>
      </c>
      <c r="I26" t="s">
        <v>52</v>
      </c>
      <c r="J26" s="1">
        <v>45658</v>
      </c>
      <c r="K26" t="s">
        <v>47</v>
      </c>
      <c r="L26" t="s">
        <v>48</v>
      </c>
      <c r="O26">
        <v>-161</v>
      </c>
      <c r="Q26" t="s">
        <v>219</v>
      </c>
    </row>
    <row r="27" spans="1:17" x14ac:dyDescent="0.25">
      <c r="A27" t="s">
        <v>41</v>
      </c>
      <c r="B27" s="3" t="s">
        <v>171</v>
      </c>
      <c r="C27" s="3" t="str">
        <f t="shared" si="0"/>
        <v>00013407781K9</v>
      </c>
      <c r="D27" t="s">
        <v>61</v>
      </c>
      <c r="E27" t="s">
        <v>43</v>
      </c>
      <c r="F27" t="s">
        <v>227</v>
      </c>
      <c r="G27">
        <v>20411454</v>
      </c>
      <c r="H27" t="s">
        <v>45</v>
      </c>
      <c r="I27" t="s">
        <v>52</v>
      </c>
      <c r="J27" s="1">
        <v>45689</v>
      </c>
      <c r="K27" t="s">
        <v>47</v>
      </c>
      <c r="L27" t="s">
        <v>48</v>
      </c>
      <c r="M27">
        <v>1</v>
      </c>
      <c r="N27" s="2">
        <v>1</v>
      </c>
      <c r="O27">
        <v>175</v>
      </c>
      <c r="Q27" t="s">
        <v>219</v>
      </c>
    </row>
    <row r="28" spans="1:17" x14ac:dyDescent="0.25">
      <c r="A28" t="s">
        <v>41</v>
      </c>
      <c r="B28" s="3" t="s">
        <v>184</v>
      </c>
      <c r="C28" s="3" t="str">
        <f t="shared" si="0"/>
        <v>00022980590K9</v>
      </c>
      <c r="D28" t="s">
        <v>81</v>
      </c>
      <c r="E28" t="s">
        <v>43</v>
      </c>
      <c r="F28" t="s">
        <v>227</v>
      </c>
      <c r="G28">
        <v>20411454</v>
      </c>
      <c r="H28" t="s">
        <v>45</v>
      </c>
      <c r="I28" t="s">
        <v>52</v>
      </c>
      <c r="J28" s="1">
        <v>45689</v>
      </c>
      <c r="K28" t="s">
        <v>47</v>
      </c>
      <c r="L28" t="s">
        <v>48</v>
      </c>
      <c r="M28">
        <v>1</v>
      </c>
      <c r="N28" s="2">
        <v>1</v>
      </c>
      <c r="O28">
        <v>175</v>
      </c>
      <c r="Q28" t="s">
        <v>219</v>
      </c>
    </row>
    <row r="29" spans="1:17" x14ac:dyDescent="0.25">
      <c r="A29" t="s">
        <v>41</v>
      </c>
      <c r="B29" s="3" t="s">
        <v>170</v>
      </c>
      <c r="C29" s="3" t="str">
        <f t="shared" si="0"/>
        <v>00010790856K9</v>
      </c>
      <c r="D29" t="s">
        <v>60</v>
      </c>
      <c r="E29" t="s">
        <v>43</v>
      </c>
      <c r="F29" t="s">
        <v>227</v>
      </c>
      <c r="G29">
        <v>20411454</v>
      </c>
      <c r="H29" t="s">
        <v>45</v>
      </c>
      <c r="I29" t="s">
        <v>52</v>
      </c>
      <c r="J29" s="1">
        <v>45689</v>
      </c>
      <c r="K29" t="s">
        <v>47</v>
      </c>
      <c r="L29" t="s">
        <v>48</v>
      </c>
      <c r="M29">
        <v>1</v>
      </c>
      <c r="N29" s="2">
        <v>1</v>
      </c>
      <c r="O29">
        <v>175</v>
      </c>
      <c r="Q29" t="s">
        <v>219</v>
      </c>
    </row>
    <row r="30" spans="1:17" x14ac:dyDescent="0.25">
      <c r="A30" t="s">
        <v>41</v>
      </c>
      <c r="B30" s="3" t="s">
        <v>180</v>
      </c>
      <c r="C30" s="3" t="str">
        <f t="shared" si="0"/>
        <v>00022975439K9</v>
      </c>
      <c r="D30" t="s">
        <v>75</v>
      </c>
      <c r="E30" t="s">
        <v>43</v>
      </c>
      <c r="F30" t="s">
        <v>227</v>
      </c>
      <c r="G30">
        <v>20411454</v>
      </c>
      <c r="H30" t="s">
        <v>45</v>
      </c>
      <c r="I30" t="s">
        <v>52</v>
      </c>
      <c r="J30" s="1">
        <v>45689</v>
      </c>
      <c r="K30" t="s">
        <v>47</v>
      </c>
      <c r="L30" t="s">
        <v>48</v>
      </c>
      <c r="M30">
        <v>1</v>
      </c>
      <c r="N30" s="2">
        <v>1</v>
      </c>
      <c r="O30">
        <v>175</v>
      </c>
      <c r="Q30" t="s">
        <v>219</v>
      </c>
    </row>
    <row r="31" spans="1:17" x14ac:dyDescent="0.25">
      <c r="A31" t="s">
        <v>41</v>
      </c>
      <c r="B31" s="3" t="s">
        <v>204</v>
      </c>
      <c r="C31" s="3" t="str">
        <f t="shared" si="0"/>
        <v>00005143463KPC9</v>
      </c>
      <c r="D31" t="s">
        <v>143</v>
      </c>
      <c r="E31" t="s">
        <v>43</v>
      </c>
      <c r="F31" t="s">
        <v>227</v>
      </c>
      <c r="G31">
        <v>20411454</v>
      </c>
      <c r="H31" t="s">
        <v>144</v>
      </c>
      <c r="I31" t="s">
        <v>52</v>
      </c>
      <c r="J31" s="1">
        <v>45658</v>
      </c>
      <c r="K31" t="s">
        <v>47</v>
      </c>
      <c r="L31" t="s">
        <v>48</v>
      </c>
      <c r="O31">
        <v>-161</v>
      </c>
      <c r="Q31" t="s">
        <v>219</v>
      </c>
    </row>
    <row r="32" spans="1:17" x14ac:dyDescent="0.25">
      <c r="A32" t="s">
        <v>41</v>
      </c>
      <c r="B32" s="3" t="s">
        <v>168</v>
      </c>
      <c r="C32" s="3" t="str">
        <f t="shared" si="0"/>
        <v>00009482853K9</v>
      </c>
      <c r="D32" t="s">
        <v>56</v>
      </c>
      <c r="E32" t="s">
        <v>43</v>
      </c>
      <c r="F32" t="s">
        <v>227</v>
      </c>
      <c r="G32">
        <v>20411454</v>
      </c>
      <c r="H32" t="s">
        <v>45</v>
      </c>
      <c r="I32" t="s">
        <v>46</v>
      </c>
      <c r="J32" s="1">
        <v>45689</v>
      </c>
      <c r="K32" t="s">
        <v>47</v>
      </c>
      <c r="L32" t="s">
        <v>48</v>
      </c>
      <c r="M32">
        <v>1</v>
      </c>
      <c r="N32" s="2">
        <v>1</v>
      </c>
      <c r="O32">
        <v>108</v>
      </c>
      <c r="Q32" t="s">
        <v>219</v>
      </c>
    </row>
    <row r="33" spans="1:17" x14ac:dyDescent="0.25">
      <c r="A33" t="s">
        <v>41</v>
      </c>
      <c r="B33" s="3" t="s">
        <v>198</v>
      </c>
      <c r="C33" s="3" t="str">
        <f t="shared" si="0"/>
        <v>614W137569</v>
      </c>
      <c r="D33" t="s">
        <v>123</v>
      </c>
      <c r="F33" t="s">
        <v>227</v>
      </c>
      <c r="G33">
        <v>20411454</v>
      </c>
      <c r="H33" t="s">
        <v>45</v>
      </c>
      <c r="I33" t="s">
        <v>124</v>
      </c>
      <c r="J33" s="1">
        <v>45566</v>
      </c>
      <c r="K33" t="s">
        <v>47</v>
      </c>
      <c r="L33" t="s">
        <v>48</v>
      </c>
      <c r="M33">
        <v>1</v>
      </c>
      <c r="N33" s="2">
        <v>1</v>
      </c>
      <c r="O33">
        <v>175</v>
      </c>
      <c r="Q33" t="s">
        <v>219</v>
      </c>
    </row>
    <row r="34" spans="1:17" x14ac:dyDescent="0.25">
      <c r="A34" t="s">
        <v>41</v>
      </c>
      <c r="B34" s="3" t="s">
        <v>181</v>
      </c>
      <c r="C34" s="3" t="str">
        <f>CONCATENATE(B34,9)</f>
        <v>00022976801K9</v>
      </c>
      <c r="D34" t="s">
        <v>76</v>
      </c>
      <c r="E34" t="s">
        <v>43</v>
      </c>
      <c r="F34" t="s">
        <v>227</v>
      </c>
      <c r="G34">
        <v>20411454</v>
      </c>
      <c r="H34" t="s">
        <v>45</v>
      </c>
      <c r="I34" t="s">
        <v>52</v>
      </c>
      <c r="J34" s="1">
        <v>45689</v>
      </c>
      <c r="K34" t="s">
        <v>47</v>
      </c>
      <c r="L34" t="s">
        <v>48</v>
      </c>
      <c r="M34">
        <v>1</v>
      </c>
      <c r="N34" s="2">
        <v>1</v>
      </c>
      <c r="O34">
        <v>175</v>
      </c>
      <c r="Q34" t="s">
        <v>219</v>
      </c>
    </row>
    <row r="35" spans="1:17" x14ac:dyDescent="0.25">
      <c r="A35" t="s">
        <v>41</v>
      </c>
      <c r="B35" s="3" t="s">
        <v>211</v>
      </c>
      <c r="C35" s="3" t="str">
        <f t="shared" si="0"/>
        <v>00022577638KPC9</v>
      </c>
      <c r="D35" t="s">
        <v>153</v>
      </c>
      <c r="E35" t="s">
        <v>43</v>
      </c>
      <c r="F35" t="s">
        <v>227</v>
      </c>
      <c r="G35">
        <v>20411454</v>
      </c>
      <c r="H35" t="s">
        <v>144</v>
      </c>
      <c r="I35" t="s">
        <v>52</v>
      </c>
      <c r="J35" s="1">
        <v>45658</v>
      </c>
      <c r="K35" t="s">
        <v>47</v>
      </c>
      <c r="L35" t="s">
        <v>48</v>
      </c>
      <c r="O35">
        <v>-161</v>
      </c>
      <c r="Q35" t="s">
        <v>219</v>
      </c>
    </row>
    <row r="36" spans="1:17" x14ac:dyDescent="0.25">
      <c r="A36" t="s">
        <v>41</v>
      </c>
      <c r="B36" s="3" t="s">
        <v>177</v>
      </c>
      <c r="C36" s="3" t="str">
        <f t="shared" si="0"/>
        <v>00022397306K9</v>
      </c>
      <c r="D36" t="s">
        <v>70</v>
      </c>
      <c r="E36" t="s">
        <v>43</v>
      </c>
      <c r="F36" t="s">
        <v>227</v>
      </c>
      <c r="G36">
        <v>20411454</v>
      </c>
      <c r="H36" t="s">
        <v>45</v>
      </c>
      <c r="I36" t="s">
        <v>52</v>
      </c>
      <c r="J36" s="1">
        <v>45689</v>
      </c>
      <c r="K36" t="s">
        <v>47</v>
      </c>
      <c r="L36" t="s">
        <v>48</v>
      </c>
      <c r="M36">
        <v>1</v>
      </c>
      <c r="N36" s="2">
        <v>1</v>
      </c>
      <c r="O36">
        <v>175</v>
      </c>
      <c r="Q36" t="s">
        <v>219</v>
      </c>
    </row>
    <row r="37" spans="1:17" x14ac:dyDescent="0.25">
      <c r="A37" t="s">
        <v>41</v>
      </c>
      <c r="B37" s="3" t="s">
        <v>178</v>
      </c>
      <c r="C37" s="3" t="str">
        <f t="shared" si="0"/>
        <v>00022402277K9</v>
      </c>
      <c r="D37" t="s">
        <v>72</v>
      </c>
      <c r="E37" t="s">
        <v>43</v>
      </c>
      <c r="F37" t="s">
        <v>227</v>
      </c>
      <c r="G37">
        <v>20411454</v>
      </c>
      <c r="H37" t="s">
        <v>45</v>
      </c>
      <c r="I37" t="s">
        <v>52</v>
      </c>
      <c r="J37" s="1">
        <v>45689</v>
      </c>
      <c r="K37" t="s">
        <v>47</v>
      </c>
      <c r="L37" t="s">
        <v>48</v>
      </c>
      <c r="M37">
        <v>1</v>
      </c>
      <c r="N37" s="2">
        <v>1</v>
      </c>
      <c r="O37">
        <v>175</v>
      </c>
      <c r="Q37" t="s">
        <v>219</v>
      </c>
    </row>
    <row r="38" spans="1:17" x14ac:dyDescent="0.25">
      <c r="A38" t="s">
        <v>41</v>
      </c>
      <c r="B38" s="3" t="s">
        <v>182</v>
      </c>
      <c r="C38" s="3" t="str">
        <f t="shared" si="0"/>
        <v>00022978038K9</v>
      </c>
      <c r="D38" t="s">
        <v>78</v>
      </c>
      <c r="E38" t="s">
        <v>43</v>
      </c>
      <c r="F38" t="s">
        <v>227</v>
      </c>
      <c r="G38">
        <v>20411454</v>
      </c>
      <c r="H38" t="s">
        <v>45</v>
      </c>
      <c r="I38" t="s">
        <v>52</v>
      </c>
      <c r="J38" s="1">
        <v>45689</v>
      </c>
      <c r="K38" t="s">
        <v>47</v>
      </c>
      <c r="L38" t="s">
        <v>48</v>
      </c>
      <c r="M38">
        <v>1</v>
      </c>
      <c r="N38" s="2">
        <v>1</v>
      </c>
      <c r="O38">
        <v>175</v>
      </c>
      <c r="Q38" t="s">
        <v>219</v>
      </c>
    </row>
    <row r="39" spans="1:17" x14ac:dyDescent="0.25">
      <c r="A39" t="s">
        <v>41</v>
      </c>
      <c r="B39" s="3" t="s">
        <v>183</v>
      </c>
      <c r="C39" s="3" t="str">
        <f t="shared" si="0"/>
        <v>00022978485K9</v>
      </c>
      <c r="D39" t="s">
        <v>79</v>
      </c>
      <c r="E39" t="s">
        <v>43</v>
      </c>
      <c r="F39" t="s">
        <v>227</v>
      </c>
      <c r="G39">
        <v>20411454</v>
      </c>
      <c r="H39" t="s">
        <v>45</v>
      </c>
      <c r="I39" t="s">
        <v>52</v>
      </c>
      <c r="J39" s="1">
        <v>45689</v>
      </c>
      <c r="K39" t="s">
        <v>47</v>
      </c>
      <c r="L39" t="s">
        <v>48</v>
      </c>
      <c r="M39">
        <v>1</v>
      </c>
      <c r="N39" s="2">
        <v>1</v>
      </c>
      <c r="O39">
        <v>175</v>
      </c>
      <c r="Q39" t="s">
        <v>219</v>
      </c>
    </row>
    <row r="40" spans="1:17" x14ac:dyDescent="0.25">
      <c r="A40" t="s">
        <v>41</v>
      </c>
      <c r="B40" s="3" t="s">
        <v>197</v>
      </c>
      <c r="C40" s="3" t="str">
        <f t="shared" si="0"/>
        <v>00022997393K9</v>
      </c>
      <c r="D40" t="s">
        <v>99</v>
      </c>
      <c r="E40" t="s">
        <v>43</v>
      </c>
      <c r="F40" t="s">
        <v>227</v>
      </c>
      <c r="G40">
        <v>20411454</v>
      </c>
      <c r="H40" t="s">
        <v>45</v>
      </c>
      <c r="I40" t="s">
        <v>52</v>
      </c>
      <c r="J40" s="1">
        <v>45689</v>
      </c>
      <c r="K40" t="s">
        <v>47</v>
      </c>
      <c r="L40" t="s">
        <v>48</v>
      </c>
      <c r="M40">
        <v>1</v>
      </c>
      <c r="N40" s="2">
        <v>1</v>
      </c>
      <c r="O40">
        <v>175</v>
      </c>
      <c r="Q40" t="s">
        <v>219</v>
      </c>
    </row>
    <row r="41" spans="1:17" x14ac:dyDescent="0.25">
      <c r="A41" t="s">
        <v>41</v>
      </c>
      <c r="B41" s="3" t="s">
        <v>187</v>
      </c>
      <c r="C41" s="3" t="str">
        <f t="shared" si="0"/>
        <v>00022983808K9</v>
      </c>
      <c r="D41" t="s">
        <v>85</v>
      </c>
      <c r="E41" t="s">
        <v>43</v>
      </c>
      <c r="F41" t="s">
        <v>227</v>
      </c>
      <c r="G41">
        <v>20411454</v>
      </c>
      <c r="H41" t="s">
        <v>45</v>
      </c>
      <c r="I41" t="s">
        <v>52</v>
      </c>
      <c r="J41" s="1">
        <v>45689</v>
      </c>
      <c r="K41" t="s">
        <v>47</v>
      </c>
      <c r="L41" t="s">
        <v>48</v>
      </c>
      <c r="M41">
        <v>1</v>
      </c>
      <c r="N41" s="2">
        <v>1</v>
      </c>
      <c r="O41">
        <v>175</v>
      </c>
      <c r="Q41" t="s">
        <v>219</v>
      </c>
    </row>
    <row r="42" spans="1:17" x14ac:dyDescent="0.25">
      <c r="A42" t="s">
        <v>41</v>
      </c>
      <c r="B42" s="3" t="s">
        <v>185</v>
      </c>
      <c r="C42" s="3" t="str">
        <f t="shared" si="0"/>
        <v>00022981136K9</v>
      </c>
      <c r="D42" t="s">
        <v>82</v>
      </c>
      <c r="E42" t="s">
        <v>43</v>
      </c>
      <c r="F42" t="s">
        <v>227</v>
      </c>
      <c r="G42">
        <v>20411454</v>
      </c>
      <c r="H42" t="s">
        <v>45</v>
      </c>
      <c r="I42" t="s">
        <v>52</v>
      </c>
      <c r="J42" s="1">
        <v>45689</v>
      </c>
      <c r="K42" t="s">
        <v>47</v>
      </c>
      <c r="L42" t="s">
        <v>48</v>
      </c>
      <c r="M42">
        <v>1</v>
      </c>
      <c r="N42" s="2">
        <v>1</v>
      </c>
      <c r="O42">
        <v>175</v>
      </c>
      <c r="Q42" t="s">
        <v>219</v>
      </c>
    </row>
    <row r="43" spans="1:17" x14ac:dyDescent="0.25">
      <c r="A43" t="s">
        <v>41</v>
      </c>
      <c r="B43" s="3" t="s">
        <v>173</v>
      </c>
      <c r="C43" s="3" t="str">
        <f t="shared" si="0"/>
        <v>00013950977K9</v>
      </c>
      <c r="D43" t="s">
        <v>65</v>
      </c>
      <c r="E43" t="s">
        <v>43</v>
      </c>
      <c r="F43" t="s">
        <v>227</v>
      </c>
      <c r="G43">
        <v>20411454</v>
      </c>
      <c r="H43" t="s">
        <v>45</v>
      </c>
      <c r="I43" t="s">
        <v>52</v>
      </c>
      <c r="J43" s="1">
        <v>45689</v>
      </c>
      <c r="K43" t="s">
        <v>47</v>
      </c>
      <c r="L43" t="s">
        <v>48</v>
      </c>
      <c r="M43">
        <v>1</v>
      </c>
      <c r="N43" s="2">
        <v>1</v>
      </c>
      <c r="O43">
        <v>175</v>
      </c>
      <c r="Q43" t="s">
        <v>219</v>
      </c>
    </row>
    <row r="44" spans="1:17" x14ac:dyDescent="0.25">
      <c r="A44" t="s">
        <v>41</v>
      </c>
      <c r="B44" s="3" t="s">
        <v>186</v>
      </c>
      <c r="C44" s="3" t="str">
        <f t="shared" si="0"/>
        <v>00022982390K9</v>
      </c>
      <c r="D44" t="s">
        <v>84</v>
      </c>
      <c r="E44" t="s">
        <v>43</v>
      </c>
      <c r="F44" t="s">
        <v>227</v>
      </c>
      <c r="G44">
        <v>20411454</v>
      </c>
      <c r="H44" t="s">
        <v>45</v>
      </c>
      <c r="I44" t="s">
        <v>52</v>
      </c>
      <c r="J44" s="1">
        <v>45689</v>
      </c>
      <c r="K44" t="s">
        <v>47</v>
      </c>
      <c r="L44" t="s">
        <v>48</v>
      </c>
      <c r="M44">
        <v>1</v>
      </c>
      <c r="N44" s="2">
        <v>1</v>
      </c>
      <c r="O44">
        <v>175</v>
      </c>
      <c r="Q44" t="s">
        <v>219</v>
      </c>
    </row>
    <row r="45" spans="1:17" x14ac:dyDescent="0.25">
      <c r="A45" t="s">
        <v>41</v>
      </c>
      <c r="B45" s="3" t="s">
        <v>188</v>
      </c>
      <c r="C45" s="3" t="str">
        <f t="shared" si="0"/>
        <v>00022984115K9</v>
      </c>
      <c r="D45" t="s">
        <v>87</v>
      </c>
      <c r="E45" t="s">
        <v>43</v>
      </c>
      <c r="F45" t="s">
        <v>227</v>
      </c>
      <c r="G45">
        <v>20411454</v>
      </c>
      <c r="H45" t="s">
        <v>45</v>
      </c>
      <c r="I45" t="s">
        <v>52</v>
      </c>
      <c r="J45" s="1">
        <v>45748</v>
      </c>
      <c r="K45" t="s">
        <v>47</v>
      </c>
      <c r="L45" t="s">
        <v>48</v>
      </c>
      <c r="M45">
        <v>1</v>
      </c>
      <c r="N45" s="2">
        <v>1</v>
      </c>
      <c r="O45">
        <v>175</v>
      </c>
      <c r="Q45" t="s">
        <v>219</v>
      </c>
    </row>
    <row r="46" spans="1:17" x14ac:dyDescent="0.25">
      <c r="A46" t="s">
        <v>41</v>
      </c>
      <c r="B46" s="3" t="s">
        <v>190</v>
      </c>
      <c r="C46" s="3" t="str">
        <f t="shared" si="0"/>
        <v>00022988308K9</v>
      </c>
      <c r="D46" t="s">
        <v>90</v>
      </c>
      <c r="E46" t="s">
        <v>43</v>
      </c>
      <c r="F46" t="s">
        <v>227</v>
      </c>
      <c r="G46">
        <v>20411454</v>
      </c>
      <c r="H46" t="s">
        <v>45</v>
      </c>
      <c r="I46" t="s">
        <v>52</v>
      </c>
      <c r="J46" s="1">
        <v>45689</v>
      </c>
      <c r="K46" t="s">
        <v>47</v>
      </c>
      <c r="L46" t="s">
        <v>48</v>
      </c>
      <c r="M46">
        <v>1</v>
      </c>
      <c r="N46" s="2">
        <v>1</v>
      </c>
      <c r="O46">
        <v>175</v>
      </c>
      <c r="Q46" t="s">
        <v>219</v>
      </c>
    </row>
    <row r="47" spans="1:17" x14ac:dyDescent="0.25">
      <c r="A47" t="s">
        <v>41</v>
      </c>
      <c r="B47" s="3" t="s">
        <v>205</v>
      </c>
      <c r="C47" s="3" t="str">
        <f t="shared" si="0"/>
        <v>00010438260KCB9</v>
      </c>
      <c r="D47" t="s">
        <v>146</v>
      </c>
      <c r="E47" t="s">
        <v>43</v>
      </c>
      <c r="F47" t="s">
        <v>227</v>
      </c>
      <c r="G47">
        <v>20411454</v>
      </c>
      <c r="H47" t="s">
        <v>144</v>
      </c>
      <c r="I47" t="s">
        <v>52</v>
      </c>
      <c r="J47" s="1">
        <v>45658</v>
      </c>
      <c r="K47" t="s">
        <v>47</v>
      </c>
      <c r="L47" t="s">
        <v>48</v>
      </c>
      <c r="O47">
        <v>-175</v>
      </c>
      <c r="Q47" t="s">
        <v>219</v>
      </c>
    </row>
    <row r="48" spans="1:17" x14ac:dyDescent="0.25">
      <c r="A48" t="s">
        <v>41</v>
      </c>
      <c r="B48" s="3" t="s">
        <v>175</v>
      </c>
      <c r="C48" s="3" t="str">
        <f t="shared" si="0"/>
        <v>00020132266K9</v>
      </c>
      <c r="D48" t="s">
        <v>68</v>
      </c>
      <c r="E48" t="s">
        <v>43</v>
      </c>
      <c r="F48" t="s">
        <v>227</v>
      </c>
      <c r="G48">
        <v>20411454</v>
      </c>
      <c r="H48" t="s">
        <v>45</v>
      </c>
      <c r="I48" t="s">
        <v>46</v>
      </c>
      <c r="J48" s="1">
        <v>45689</v>
      </c>
      <c r="K48" t="s">
        <v>47</v>
      </c>
      <c r="L48" t="s">
        <v>48</v>
      </c>
      <c r="M48">
        <v>1</v>
      </c>
      <c r="N48" s="2">
        <v>1</v>
      </c>
      <c r="O48">
        <v>108</v>
      </c>
      <c r="Q48" t="s">
        <v>219</v>
      </c>
    </row>
    <row r="49" spans="1:18" x14ac:dyDescent="0.25">
      <c r="A49" t="s">
        <v>41</v>
      </c>
      <c r="B49" s="3" t="s">
        <v>176</v>
      </c>
      <c r="C49" s="3" t="str">
        <f t="shared" si="0"/>
        <v>00020310714K9</v>
      </c>
      <c r="D49" t="s">
        <v>69</v>
      </c>
      <c r="E49" t="s">
        <v>43</v>
      </c>
      <c r="F49" t="s">
        <v>227</v>
      </c>
      <c r="G49">
        <v>20411454</v>
      </c>
      <c r="H49" t="s">
        <v>45</v>
      </c>
      <c r="I49" t="s">
        <v>46</v>
      </c>
      <c r="J49" s="1">
        <v>45689</v>
      </c>
      <c r="K49" t="s">
        <v>47</v>
      </c>
      <c r="L49" t="s">
        <v>48</v>
      </c>
      <c r="M49">
        <v>1</v>
      </c>
      <c r="N49" s="2">
        <v>1</v>
      </c>
      <c r="O49">
        <v>108</v>
      </c>
      <c r="Q49" t="s">
        <v>219</v>
      </c>
    </row>
    <row r="50" spans="1:18" x14ac:dyDescent="0.25">
      <c r="A50" t="s">
        <v>41</v>
      </c>
      <c r="B50" s="3" t="s">
        <v>193</v>
      </c>
      <c r="C50" s="3" t="str">
        <f t="shared" si="0"/>
        <v>00022992485K9</v>
      </c>
      <c r="D50" t="s">
        <v>93</v>
      </c>
      <c r="E50" t="s">
        <v>43</v>
      </c>
      <c r="F50" t="s">
        <v>227</v>
      </c>
      <c r="G50">
        <v>20411454</v>
      </c>
      <c r="H50" t="s">
        <v>45</v>
      </c>
      <c r="I50" t="s">
        <v>52</v>
      </c>
      <c r="J50" s="1">
        <v>45689</v>
      </c>
      <c r="K50" t="s">
        <v>47</v>
      </c>
      <c r="L50" t="s">
        <v>48</v>
      </c>
      <c r="M50">
        <v>1</v>
      </c>
      <c r="N50" s="2">
        <v>1</v>
      </c>
      <c r="O50">
        <v>175</v>
      </c>
      <c r="Q50" t="s">
        <v>219</v>
      </c>
    </row>
    <row r="51" spans="1:18" x14ac:dyDescent="0.25">
      <c r="A51" t="s">
        <v>41</v>
      </c>
      <c r="B51" s="3" t="s">
        <v>189</v>
      </c>
      <c r="C51" s="3" t="str">
        <f t="shared" si="0"/>
        <v>00022985423K9</v>
      </c>
      <c r="D51" t="s">
        <v>88</v>
      </c>
      <c r="E51" t="s">
        <v>43</v>
      </c>
      <c r="F51" t="s">
        <v>227</v>
      </c>
      <c r="G51">
        <v>20411454</v>
      </c>
      <c r="H51" t="s">
        <v>45</v>
      </c>
      <c r="I51" t="s">
        <v>52</v>
      </c>
      <c r="J51" s="1">
        <v>45689</v>
      </c>
      <c r="K51" t="s">
        <v>47</v>
      </c>
      <c r="L51" t="s">
        <v>48</v>
      </c>
      <c r="M51">
        <v>1</v>
      </c>
      <c r="N51" s="2">
        <v>1</v>
      </c>
      <c r="O51">
        <v>175</v>
      </c>
      <c r="Q51" t="s">
        <v>219</v>
      </c>
    </row>
    <row r="52" spans="1:18" x14ac:dyDescent="0.25">
      <c r="A52" t="s">
        <v>41</v>
      </c>
      <c r="B52" s="3" t="s">
        <v>191</v>
      </c>
      <c r="C52" s="3" t="str">
        <f t="shared" si="0"/>
        <v>00022988358K9</v>
      </c>
      <c r="D52" t="s">
        <v>91</v>
      </c>
      <c r="E52" t="s">
        <v>43</v>
      </c>
      <c r="F52" t="s">
        <v>227</v>
      </c>
      <c r="G52">
        <v>20411454</v>
      </c>
      <c r="H52" t="s">
        <v>45</v>
      </c>
      <c r="I52" t="s">
        <v>52</v>
      </c>
      <c r="J52" s="1">
        <v>45689</v>
      </c>
      <c r="K52" t="s">
        <v>47</v>
      </c>
      <c r="L52" t="s">
        <v>48</v>
      </c>
      <c r="M52">
        <v>1</v>
      </c>
      <c r="N52" s="2">
        <v>1</v>
      </c>
      <c r="O52">
        <v>175</v>
      </c>
      <c r="Q52" t="s">
        <v>219</v>
      </c>
    </row>
    <row r="53" spans="1:18" x14ac:dyDescent="0.25">
      <c r="A53" t="s">
        <v>41</v>
      </c>
      <c r="B53" s="3" t="s">
        <v>166</v>
      </c>
      <c r="C53" s="3" t="str">
        <f t="shared" si="0"/>
        <v>00006618327K9</v>
      </c>
      <c r="D53" t="s">
        <v>50</v>
      </c>
      <c r="E53" t="s">
        <v>43</v>
      </c>
      <c r="F53" t="s">
        <v>227</v>
      </c>
      <c r="G53">
        <v>20411454</v>
      </c>
      <c r="H53" t="s">
        <v>45</v>
      </c>
      <c r="I53" t="s">
        <v>52</v>
      </c>
      <c r="J53" s="1">
        <v>45689</v>
      </c>
      <c r="K53" t="s">
        <v>47</v>
      </c>
      <c r="L53" t="s">
        <v>48</v>
      </c>
      <c r="M53">
        <v>1</v>
      </c>
      <c r="N53" s="2">
        <v>1</v>
      </c>
      <c r="O53">
        <v>175</v>
      </c>
      <c r="Q53" t="s">
        <v>219</v>
      </c>
    </row>
    <row r="54" spans="1:18" x14ac:dyDescent="0.25">
      <c r="A54" t="s">
        <v>41</v>
      </c>
      <c r="B54" s="3" t="s">
        <v>172</v>
      </c>
      <c r="C54" s="3" t="str">
        <f t="shared" si="0"/>
        <v>00013779032K9</v>
      </c>
      <c r="D54" t="s">
        <v>63</v>
      </c>
      <c r="E54" t="s">
        <v>43</v>
      </c>
      <c r="F54" t="s">
        <v>227</v>
      </c>
      <c r="G54">
        <v>20411454</v>
      </c>
      <c r="H54" t="s">
        <v>45</v>
      </c>
      <c r="I54" t="s">
        <v>52</v>
      </c>
      <c r="J54" s="1">
        <v>45689</v>
      </c>
      <c r="K54" t="s">
        <v>47</v>
      </c>
      <c r="L54" t="s">
        <v>48</v>
      </c>
      <c r="M54">
        <v>1</v>
      </c>
      <c r="N54" s="2">
        <v>1</v>
      </c>
      <c r="O54">
        <v>175</v>
      </c>
      <c r="Q54" t="s">
        <v>219</v>
      </c>
    </row>
    <row r="55" spans="1:18" x14ac:dyDescent="0.25">
      <c r="A55" t="s">
        <v>41</v>
      </c>
      <c r="B55" s="3">
        <v>910907579</v>
      </c>
      <c r="C55" s="3" t="str">
        <f>CONCATENATE(B55,99)</f>
        <v>91090757999</v>
      </c>
      <c r="D55" t="s">
        <v>125</v>
      </c>
      <c r="E55" t="s">
        <v>115</v>
      </c>
      <c r="F55" t="s">
        <v>44</v>
      </c>
      <c r="G55">
        <v>19586992</v>
      </c>
      <c r="H55" t="s">
        <v>126</v>
      </c>
      <c r="I55" t="s">
        <v>127</v>
      </c>
      <c r="J55" s="1">
        <v>45689</v>
      </c>
      <c r="K55" t="s">
        <v>47</v>
      </c>
      <c r="L55" t="s">
        <v>48</v>
      </c>
      <c r="M55">
        <v>1</v>
      </c>
      <c r="N55" s="2">
        <v>1</v>
      </c>
      <c r="O55">
        <v>286.92</v>
      </c>
      <c r="P55" t="s">
        <v>104</v>
      </c>
      <c r="Q55" t="s">
        <v>221</v>
      </c>
      <c r="R55" t="s">
        <v>223</v>
      </c>
    </row>
    <row r="56" spans="1:18" x14ac:dyDescent="0.25">
      <c r="A56" t="s">
        <v>41</v>
      </c>
      <c r="B56" s="3">
        <v>994120659</v>
      </c>
      <c r="C56" s="3" t="str">
        <f t="shared" ref="C56:C58" si="1">CONCATENATE(B56,99)</f>
        <v>99412065999</v>
      </c>
      <c r="D56" t="s">
        <v>137</v>
      </c>
      <c r="E56" t="s">
        <v>138</v>
      </c>
      <c r="F56" t="s">
        <v>77</v>
      </c>
      <c r="G56">
        <v>9213293</v>
      </c>
      <c r="H56" t="s">
        <v>126</v>
      </c>
      <c r="I56" t="s">
        <v>127</v>
      </c>
      <c r="J56" s="1">
        <v>45689</v>
      </c>
      <c r="K56" t="s">
        <v>47</v>
      </c>
      <c r="L56" t="s">
        <v>48</v>
      </c>
      <c r="M56">
        <v>1</v>
      </c>
      <c r="N56" s="2">
        <v>1</v>
      </c>
      <c r="O56">
        <v>286.92</v>
      </c>
      <c r="P56" t="s">
        <v>104</v>
      </c>
      <c r="Q56" t="s">
        <v>221</v>
      </c>
      <c r="R56" t="s">
        <v>223</v>
      </c>
    </row>
    <row r="57" spans="1:18" x14ac:dyDescent="0.25">
      <c r="A57" t="s">
        <v>41</v>
      </c>
      <c r="B57" s="3" t="s">
        <v>215</v>
      </c>
      <c r="C57" s="3" t="str">
        <f t="shared" si="1"/>
        <v>997230291CB99</v>
      </c>
      <c r="D57" t="s">
        <v>158</v>
      </c>
      <c r="E57" t="s">
        <v>115</v>
      </c>
      <c r="F57" t="s">
        <v>77</v>
      </c>
      <c r="G57">
        <v>9213293</v>
      </c>
      <c r="H57" t="s">
        <v>144</v>
      </c>
      <c r="I57" t="s">
        <v>127</v>
      </c>
      <c r="J57" s="1">
        <v>45658</v>
      </c>
      <c r="K57" t="s">
        <v>47</v>
      </c>
      <c r="L57" t="s">
        <v>48</v>
      </c>
      <c r="O57">
        <v>-313</v>
      </c>
      <c r="Q57" t="s">
        <v>221</v>
      </c>
      <c r="R57" t="s">
        <v>222</v>
      </c>
    </row>
    <row r="58" spans="1:18" x14ac:dyDescent="0.25">
      <c r="A58" t="s">
        <v>41</v>
      </c>
      <c r="B58" s="3">
        <v>959938317</v>
      </c>
      <c r="C58" s="3" t="str">
        <f t="shared" si="1"/>
        <v>95993831799</v>
      </c>
      <c r="D58" t="s">
        <v>132</v>
      </c>
      <c r="E58" t="s">
        <v>115</v>
      </c>
      <c r="F58" t="s">
        <v>133</v>
      </c>
      <c r="G58">
        <v>20212926</v>
      </c>
      <c r="H58" t="s">
        <v>126</v>
      </c>
      <c r="I58" t="s">
        <v>127</v>
      </c>
      <c r="J58" s="1">
        <v>45658</v>
      </c>
      <c r="K58" t="s">
        <v>47</v>
      </c>
      <c r="L58" t="s">
        <v>48</v>
      </c>
      <c r="M58">
        <v>1</v>
      </c>
      <c r="N58" s="2">
        <v>1</v>
      </c>
      <c r="O58">
        <v>313</v>
      </c>
      <c r="P58" t="s">
        <v>135</v>
      </c>
      <c r="Q58" t="s">
        <v>221</v>
      </c>
      <c r="R58" t="s">
        <v>222</v>
      </c>
    </row>
    <row r="59" spans="1:18" x14ac:dyDescent="0.25">
      <c r="A59" t="s">
        <v>41</v>
      </c>
      <c r="B59" s="3" t="s">
        <v>199</v>
      </c>
      <c r="C59" s="3" t="str">
        <f t="shared" ref="C59:C64" si="2">CONCATENATE(B59,9)</f>
        <v>910907579OV9</v>
      </c>
      <c r="D59" t="s">
        <v>125</v>
      </c>
      <c r="E59" t="s">
        <v>115</v>
      </c>
      <c r="F59" t="s">
        <v>227</v>
      </c>
      <c r="G59">
        <v>20411454</v>
      </c>
      <c r="H59" t="s">
        <v>126</v>
      </c>
      <c r="I59" t="s">
        <v>128</v>
      </c>
      <c r="J59" s="1">
        <v>45689</v>
      </c>
      <c r="K59" t="s">
        <v>47</v>
      </c>
      <c r="L59" t="s">
        <v>48</v>
      </c>
      <c r="M59">
        <v>1</v>
      </c>
      <c r="N59" s="2">
        <v>1</v>
      </c>
      <c r="O59">
        <v>66</v>
      </c>
      <c r="P59" t="s">
        <v>104</v>
      </c>
      <c r="Q59" t="s">
        <v>220</v>
      </c>
    </row>
    <row r="60" spans="1:18" x14ac:dyDescent="0.25">
      <c r="A60" t="s">
        <v>41</v>
      </c>
      <c r="B60" s="3">
        <v>937619948</v>
      </c>
      <c r="C60" s="3" t="str">
        <f t="shared" si="2"/>
        <v>9376199489</v>
      </c>
      <c r="D60" t="s">
        <v>129</v>
      </c>
      <c r="E60" t="s">
        <v>107</v>
      </c>
      <c r="F60" t="s">
        <v>227</v>
      </c>
      <c r="G60">
        <v>20411454</v>
      </c>
      <c r="H60" t="s">
        <v>45</v>
      </c>
      <c r="I60" t="s">
        <v>128</v>
      </c>
      <c r="J60" s="1">
        <v>45689</v>
      </c>
      <c r="K60" t="s">
        <v>47</v>
      </c>
      <c r="L60" t="s">
        <v>48</v>
      </c>
      <c r="M60">
        <v>1</v>
      </c>
      <c r="N60" s="2">
        <v>1</v>
      </c>
      <c r="O60">
        <v>66</v>
      </c>
      <c r="P60" t="s">
        <v>104</v>
      </c>
      <c r="Q60" t="s">
        <v>220</v>
      </c>
    </row>
    <row r="61" spans="1:18" x14ac:dyDescent="0.25">
      <c r="A61" t="s">
        <v>41</v>
      </c>
      <c r="B61" s="3">
        <v>959880194</v>
      </c>
      <c r="C61" s="3" t="str">
        <f t="shared" si="2"/>
        <v>9598801949</v>
      </c>
      <c r="D61" t="s">
        <v>131</v>
      </c>
      <c r="E61" t="s">
        <v>107</v>
      </c>
      <c r="F61" t="s">
        <v>227</v>
      </c>
      <c r="G61">
        <v>20411454</v>
      </c>
      <c r="H61" t="s">
        <v>45</v>
      </c>
      <c r="I61" t="s">
        <v>128</v>
      </c>
      <c r="J61" s="1">
        <v>45689</v>
      </c>
      <c r="K61" t="s">
        <v>47</v>
      </c>
      <c r="L61" t="s">
        <v>48</v>
      </c>
      <c r="M61">
        <v>1</v>
      </c>
      <c r="N61" s="2">
        <v>1</v>
      </c>
      <c r="O61">
        <v>66</v>
      </c>
      <c r="P61" t="s">
        <v>104</v>
      </c>
      <c r="Q61" t="s">
        <v>220</v>
      </c>
    </row>
    <row r="62" spans="1:18" x14ac:dyDescent="0.25">
      <c r="A62" t="s">
        <v>41</v>
      </c>
      <c r="B62" s="3" t="s">
        <v>201</v>
      </c>
      <c r="C62" s="3" t="str">
        <f t="shared" si="2"/>
        <v>994120659OV9</v>
      </c>
      <c r="D62" t="s">
        <v>137</v>
      </c>
      <c r="E62" t="s">
        <v>138</v>
      </c>
      <c r="F62" t="s">
        <v>227</v>
      </c>
      <c r="G62">
        <v>20411454</v>
      </c>
      <c r="H62" t="s">
        <v>126</v>
      </c>
      <c r="I62" t="s">
        <v>128</v>
      </c>
      <c r="J62" s="1">
        <v>45689</v>
      </c>
      <c r="K62" t="s">
        <v>47</v>
      </c>
      <c r="L62" t="s">
        <v>48</v>
      </c>
      <c r="M62">
        <v>1</v>
      </c>
      <c r="N62" s="2">
        <v>1</v>
      </c>
      <c r="O62">
        <v>66</v>
      </c>
      <c r="P62" t="s">
        <v>104</v>
      </c>
      <c r="Q62" t="s">
        <v>220</v>
      </c>
    </row>
    <row r="63" spans="1:18" x14ac:dyDescent="0.25">
      <c r="A63" t="s">
        <v>41</v>
      </c>
      <c r="B63" s="3" t="s">
        <v>216</v>
      </c>
      <c r="C63" s="3" t="str">
        <f t="shared" si="2"/>
        <v>997230291OVCB9</v>
      </c>
      <c r="D63" t="s">
        <v>158</v>
      </c>
      <c r="E63" t="s">
        <v>115</v>
      </c>
      <c r="F63" t="s">
        <v>227</v>
      </c>
      <c r="G63">
        <v>20411454</v>
      </c>
      <c r="H63" t="s">
        <v>144</v>
      </c>
      <c r="I63" t="s">
        <v>128</v>
      </c>
      <c r="J63" s="1">
        <v>45658</v>
      </c>
      <c r="K63" t="s">
        <v>47</v>
      </c>
      <c r="L63" t="s">
        <v>48</v>
      </c>
      <c r="O63">
        <v>-72</v>
      </c>
      <c r="Q63" t="s">
        <v>220</v>
      </c>
    </row>
    <row r="64" spans="1:18" x14ac:dyDescent="0.25">
      <c r="A64" t="s">
        <v>41</v>
      </c>
      <c r="B64" s="3" t="s">
        <v>200</v>
      </c>
      <c r="C64" s="3" t="str">
        <f t="shared" si="2"/>
        <v>959938317OV9</v>
      </c>
      <c r="D64" t="s">
        <v>132</v>
      </c>
      <c r="E64" t="s">
        <v>115</v>
      </c>
      <c r="F64" t="s">
        <v>227</v>
      </c>
      <c r="G64">
        <v>20411454</v>
      </c>
      <c r="H64" t="s">
        <v>126</v>
      </c>
      <c r="I64" t="s">
        <v>128</v>
      </c>
      <c r="J64" s="1">
        <v>45658</v>
      </c>
      <c r="K64" t="s">
        <v>47</v>
      </c>
      <c r="L64" t="s">
        <v>48</v>
      </c>
      <c r="M64">
        <v>1</v>
      </c>
      <c r="N64" s="2">
        <v>1</v>
      </c>
      <c r="O64">
        <v>72</v>
      </c>
      <c r="P64" t="s">
        <v>135</v>
      </c>
      <c r="Q64" t="s">
        <v>220</v>
      </c>
    </row>
    <row r="65" spans="1:17" x14ac:dyDescent="0.25">
      <c r="A65" t="s">
        <v>41</v>
      </c>
      <c r="B65" s="3">
        <v>23019616</v>
      </c>
      <c r="C65" s="3" t="str">
        <f t="shared" ref="C65" si="3">CONCATENATE(B65,99)</f>
        <v>2301961699</v>
      </c>
      <c r="D65" t="s">
        <v>101</v>
      </c>
      <c r="E65" t="s">
        <v>102</v>
      </c>
      <c r="F65" t="s">
        <v>96</v>
      </c>
      <c r="G65">
        <v>19681796</v>
      </c>
      <c r="H65" t="s">
        <v>45</v>
      </c>
      <c r="I65" t="s">
        <v>103</v>
      </c>
      <c r="J65" s="1">
        <v>45689</v>
      </c>
      <c r="K65" t="s">
        <v>47</v>
      </c>
      <c r="L65" t="s">
        <v>48</v>
      </c>
      <c r="M65">
        <v>1</v>
      </c>
      <c r="N65" s="2">
        <v>1</v>
      </c>
      <c r="O65">
        <v>50.42</v>
      </c>
      <c r="P65" t="s">
        <v>104</v>
      </c>
      <c r="Q65" t="s">
        <v>226</v>
      </c>
    </row>
  </sheetData>
  <sortState xmlns:xlrd2="http://schemas.microsoft.com/office/spreadsheetml/2017/richdata2" ref="A3:R65">
    <sortCondition ref="Q3:Q65"/>
  </sortState>
  <phoneticPr fontId="18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8361-D960-8B42-94C7-A61EE4A8A99C}">
  <dimension ref="A1:O4"/>
  <sheetViews>
    <sheetView tabSelected="1" workbookViewId="0">
      <selection activeCell="J11" sqref="J11"/>
    </sheetView>
  </sheetViews>
  <sheetFormatPr defaultColWidth="11" defaultRowHeight="15.75" x14ac:dyDescent="0.25"/>
  <cols>
    <col min="1" max="1" width="16.5" bestFit="1" customWidth="1"/>
    <col min="2" max="2" width="12.625" bestFit="1" customWidth="1"/>
    <col min="3" max="3" width="13.875" bestFit="1" customWidth="1"/>
    <col min="4" max="4" width="16.25" bestFit="1" customWidth="1"/>
    <col min="5" max="5" width="18.25" bestFit="1" customWidth="1"/>
    <col min="6" max="6" width="17.125" bestFit="1" customWidth="1"/>
    <col min="7" max="7" width="47.75" bestFit="1" customWidth="1"/>
    <col min="8" max="8" width="11.25" bestFit="1" customWidth="1"/>
    <col min="9" max="9" width="7.375" bestFit="1" customWidth="1"/>
    <col min="10" max="10" width="9.375" bestFit="1" customWidth="1"/>
    <col min="11" max="11" width="13" bestFit="1" customWidth="1"/>
    <col min="12" max="12" width="8.375" bestFit="1" customWidth="1"/>
    <col min="13" max="13" width="15.375" bestFit="1" customWidth="1"/>
    <col min="14" max="14" width="16.125" bestFit="1" customWidth="1"/>
    <col min="15" max="15" width="35.75" bestFit="1" customWidth="1"/>
    <col min="16" max="16" width="14.75" bestFit="1" customWidth="1"/>
  </cols>
  <sheetData>
    <row r="1" spans="1:15" x14ac:dyDescent="0.25">
      <c r="A1" t="s">
        <v>7</v>
      </c>
      <c r="B1" s="3" t="s">
        <v>8</v>
      </c>
      <c r="C1" t="s">
        <v>9</v>
      </c>
      <c r="D1" t="s">
        <v>12</v>
      </c>
      <c r="E1" t="s">
        <v>15</v>
      </c>
      <c r="G1" t="s">
        <v>16</v>
      </c>
      <c r="H1" t="s">
        <v>17</v>
      </c>
      <c r="I1" t="s">
        <v>18</v>
      </c>
      <c r="J1" t="s">
        <v>20</v>
      </c>
      <c r="K1" t="s">
        <v>23</v>
      </c>
      <c r="L1" t="s">
        <v>26</v>
      </c>
      <c r="M1" t="s">
        <v>27</v>
      </c>
      <c r="N1" t="s">
        <v>28</v>
      </c>
      <c r="O1" t="s">
        <v>37</v>
      </c>
    </row>
    <row r="2" spans="1:15" x14ac:dyDescent="0.25">
      <c r="A2" t="s">
        <v>41</v>
      </c>
      <c r="B2" s="3" t="s">
        <v>203</v>
      </c>
      <c r="C2" t="s">
        <v>140</v>
      </c>
      <c r="D2" t="s">
        <v>138</v>
      </c>
      <c r="E2" t="s">
        <v>51</v>
      </c>
      <c r="F2" t="s">
        <v>45</v>
      </c>
      <c r="G2" t="s">
        <v>141</v>
      </c>
      <c r="H2" s="1">
        <v>45689</v>
      </c>
      <c r="I2" t="s">
        <v>47</v>
      </c>
      <c r="J2" t="s">
        <v>48</v>
      </c>
      <c r="K2">
        <v>9</v>
      </c>
      <c r="L2" s="2">
        <v>1</v>
      </c>
      <c r="M2">
        <v>421.47</v>
      </c>
      <c r="O2" t="s">
        <v>224</v>
      </c>
    </row>
    <row r="3" spans="1:15" x14ac:dyDescent="0.25">
      <c r="A3" t="s">
        <v>41</v>
      </c>
      <c r="B3" s="3" t="s">
        <v>202</v>
      </c>
      <c r="C3" t="s">
        <v>101</v>
      </c>
      <c r="D3" t="s">
        <v>102</v>
      </c>
      <c r="E3" t="s">
        <v>96</v>
      </c>
      <c r="F3" t="s">
        <v>45</v>
      </c>
      <c r="G3" t="s">
        <v>139</v>
      </c>
      <c r="H3" s="1">
        <v>45689</v>
      </c>
      <c r="I3" t="s">
        <v>47</v>
      </c>
      <c r="J3" t="s">
        <v>48</v>
      </c>
      <c r="K3">
        <v>9</v>
      </c>
      <c r="L3" s="2">
        <v>1</v>
      </c>
      <c r="M3">
        <v>368.82</v>
      </c>
      <c r="N3">
        <v>491.76</v>
      </c>
    </row>
    <row r="4" spans="1:15" x14ac:dyDescent="0.25">
      <c r="A4" t="s">
        <v>41</v>
      </c>
      <c r="B4" s="3" t="s">
        <v>217</v>
      </c>
      <c r="C4" t="s">
        <v>160</v>
      </c>
      <c r="D4" t="s">
        <v>107</v>
      </c>
      <c r="E4" t="s">
        <v>74</v>
      </c>
      <c r="F4" t="s">
        <v>45</v>
      </c>
      <c r="G4" t="s">
        <v>161</v>
      </c>
      <c r="H4" s="1">
        <v>45597</v>
      </c>
      <c r="I4" t="s">
        <v>47</v>
      </c>
      <c r="J4" t="s">
        <v>48</v>
      </c>
      <c r="L4" s="2">
        <v>1</v>
      </c>
      <c r="M4">
        <v>22.52</v>
      </c>
      <c r="N4" t="s">
        <v>164</v>
      </c>
      <c r="O4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HFG 1-22-25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2025-01-23T14:43:44Z</dcterms:created>
  <dcterms:modified xsi:type="dcterms:W3CDTF">2025-01-28T18:45:14Z</dcterms:modified>
</cp:coreProperties>
</file>