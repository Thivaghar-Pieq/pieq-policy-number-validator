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2025\3-19-25\"/>
    </mc:Choice>
  </mc:AlternateContent>
  <xr:revisionPtr revIDLastSave="0" documentId="13_ncr:1_{054E82FF-2B2C-4F34-903C-10AFE22BA924}" xr6:coauthVersionLast="47" xr6:coauthVersionMax="47" xr10:uidLastSave="{00000000-0000-0000-0000-000000000000}"/>
  <bookViews>
    <workbookView xWindow="28680" yWindow="-120" windowWidth="29040" windowHeight="16440" activeTab="3" xr2:uid="{00000000-000D-0000-FFFF-FFFF00000000}"/>
  </bookViews>
  <sheets>
    <sheet name="Sheet1" sheetId="1" r:id="rId1"/>
    <sheet name="Sheet2" sheetId="2" r:id="rId2"/>
    <sheet name="Sheet4" sheetId="4" r:id="rId3"/>
    <sheet name="Policies on hold" sheetId="5" r:id="rId4"/>
  </sheets>
  <calcPr calcId="181029"/>
</workbook>
</file>

<file path=xl/calcChain.xml><?xml version="1.0" encoding="utf-8"?>
<calcChain xmlns="http://schemas.openxmlformats.org/spreadsheetml/2006/main">
  <c r="K6" i="5" l="1"/>
  <c r="I6" i="5"/>
  <c r="E6" i="5"/>
  <c r="K5" i="5"/>
  <c r="I5" i="5"/>
  <c r="E5" i="5"/>
  <c r="K4" i="5"/>
  <c r="I4" i="5"/>
  <c r="E4" i="5"/>
  <c r="K3" i="5"/>
  <c r="I3" i="5"/>
  <c r="E3" i="5"/>
  <c r="K2" i="5"/>
  <c r="I2" i="5"/>
  <c r="E2" i="5"/>
  <c r="E1611" i="2"/>
  <c r="K29" i="4"/>
  <c r="I29" i="4"/>
  <c r="E29" i="4"/>
  <c r="K28" i="4"/>
  <c r="I28" i="4"/>
  <c r="E28" i="4"/>
  <c r="K27" i="4"/>
  <c r="I27" i="4"/>
  <c r="E27" i="4"/>
  <c r="K22" i="4"/>
  <c r="I22" i="4"/>
  <c r="E22" i="4"/>
  <c r="K21" i="4"/>
  <c r="I21" i="4"/>
  <c r="E21" i="4"/>
  <c r="K20" i="4"/>
  <c r="I20" i="4"/>
  <c r="E20" i="4"/>
  <c r="K5" i="4"/>
  <c r="I5" i="4"/>
  <c r="E5" i="4"/>
  <c r="K35" i="4"/>
  <c r="I35" i="4"/>
  <c r="E35" i="4"/>
  <c r="K33" i="4"/>
  <c r="I33" i="4"/>
  <c r="E33" i="4"/>
  <c r="K34" i="4"/>
  <c r="I34" i="4"/>
  <c r="E34" i="4"/>
  <c r="K31" i="4"/>
  <c r="I31" i="4"/>
  <c r="E31" i="4"/>
  <c r="K30" i="4"/>
  <c r="I30" i="4"/>
  <c r="E30" i="4"/>
  <c r="K4" i="4"/>
  <c r="I4" i="4"/>
  <c r="E4" i="4"/>
  <c r="K19" i="4"/>
  <c r="I19" i="4"/>
  <c r="E19" i="4"/>
  <c r="K18" i="4"/>
  <c r="I18" i="4"/>
  <c r="E18" i="4"/>
  <c r="K17" i="4"/>
  <c r="I17" i="4"/>
  <c r="E17" i="4"/>
  <c r="K16" i="4"/>
  <c r="I16" i="4"/>
  <c r="E16" i="4"/>
  <c r="K15" i="4"/>
  <c r="I15" i="4"/>
  <c r="E15" i="4"/>
  <c r="K14" i="4"/>
  <c r="I14" i="4"/>
  <c r="E14" i="4"/>
  <c r="K32" i="4"/>
  <c r="I32" i="4"/>
  <c r="E32" i="4"/>
  <c r="K26" i="4"/>
  <c r="I26" i="4"/>
  <c r="E26" i="4"/>
  <c r="K13" i="4"/>
  <c r="I13" i="4"/>
  <c r="E13" i="4"/>
  <c r="K12" i="4"/>
  <c r="I12" i="4"/>
  <c r="E12" i="4"/>
  <c r="K11" i="4"/>
  <c r="I11" i="4"/>
  <c r="E11" i="4"/>
  <c r="K10" i="4"/>
  <c r="I10" i="4"/>
  <c r="E10" i="4"/>
  <c r="K3" i="4"/>
  <c r="I3" i="4"/>
  <c r="E3" i="4"/>
  <c r="K25" i="4"/>
  <c r="I25" i="4"/>
  <c r="E25" i="4"/>
  <c r="K24" i="4"/>
  <c r="I24" i="4"/>
  <c r="E24" i="4"/>
  <c r="K23" i="4"/>
  <c r="I23" i="4"/>
  <c r="E23" i="4"/>
  <c r="K9" i="4"/>
  <c r="I9" i="4"/>
  <c r="E9" i="4"/>
  <c r="K8" i="4"/>
  <c r="I8" i="4"/>
  <c r="E8" i="4"/>
  <c r="K7" i="4"/>
  <c r="I7" i="4"/>
  <c r="E7" i="4"/>
  <c r="K6" i="4"/>
  <c r="I6" i="4"/>
  <c r="E6" i="4"/>
  <c r="K2" i="4"/>
  <c r="I2" i="4"/>
  <c r="E2" i="4"/>
  <c r="K1" i="4"/>
  <c r="I1" i="4"/>
  <c r="E1" i="4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2" i="2"/>
  <c r="E300" i="2"/>
  <c r="E917" i="2"/>
  <c r="E918" i="2"/>
  <c r="E392" i="2"/>
  <c r="E978" i="2"/>
  <c r="E393" i="2"/>
  <c r="E1573" i="2"/>
  <c r="E1375" i="2"/>
  <c r="E394" i="2"/>
  <c r="E1480" i="2"/>
  <c r="E748" i="2"/>
  <c r="E395" i="2"/>
  <c r="E1384" i="2"/>
  <c r="E1354" i="2"/>
  <c r="E1355" i="2"/>
  <c r="E1356" i="2"/>
  <c r="E1357" i="2"/>
  <c r="E1358" i="2"/>
  <c r="E1359" i="2"/>
  <c r="E1360" i="2"/>
  <c r="E387" i="2"/>
  <c r="E1019" i="2"/>
  <c r="E1020" i="2"/>
  <c r="E526" i="2"/>
  <c r="E1579" i="2"/>
  <c r="E1361" i="2"/>
  <c r="E1021" i="2"/>
  <c r="E1362" i="2"/>
  <c r="E913" i="2"/>
  <c r="E914" i="2"/>
  <c r="E527" i="2"/>
  <c r="E292" i="2"/>
  <c r="E293" i="2"/>
  <c r="E1363" i="2"/>
  <c r="E1364" i="2"/>
  <c r="E528" i="2"/>
  <c r="E529" i="2"/>
  <c r="E530" i="2"/>
  <c r="E531" i="2"/>
  <c r="E532" i="2"/>
  <c r="E533" i="2"/>
  <c r="E534" i="2"/>
  <c r="E294" i="2"/>
  <c r="E915" i="2"/>
  <c r="E1606" i="2"/>
  <c r="E1365" i="2"/>
  <c r="E916" i="2"/>
  <c r="E535" i="2"/>
  <c r="E1366" i="2"/>
  <c r="E295" i="2"/>
  <c r="E296" i="2"/>
  <c r="E943" i="2"/>
  <c r="E1367" i="2"/>
  <c r="E388" i="2"/>
  <c r="E1479" i="2"/>
  <c r="E1368" i="2"/>
  <c r="E975" i="2"/>
  <c r="E536" i="2"/>
  <c r="E976" i="2"/>
  <c r="E977" i="2"/>
  <c r="E1369" i="2"/>
  <c r="E1370" i="2"/>
  <c r="E1371" i="2"/>
  <c r="E1372" i="2"/>
  <c r="E297" i="2"/>
  <c r="E1421" i="2"/>
  <c r="E1373" i="2"/>
  <c r="E389" i="2"/>
  <c r="E1106" i="2"/>
  <c r="E390" i="2"/>
  <c r="E391" i="2"/>
  <c r="E1580" i="2"/>
  <c r="E1581" i="2"/>
  <c r="E1582" i="2"/>
  <c r="E1583" i="2"/>
  <c r="E1584" i="2"/>
  <c r="E298" i="2"/>
  <c r="E299" i="2"/>
  <c r="E1374" i="2"/>
  <c r="E1585" i="2"/>
  <c r="E537" i="2"/>
  <c r="E538" i="2"/>
  <c r="E539" i="2"/>
  <c r="E540" i="2"/>
  <c r="E541" i="2"/>
  <c r="E542" i="2"/>
  <c r="E1353" i="2"/>
  <c r="E287" i="2"/>
  <c r="E1017" i="2"/>
  <c r="E288" i="2"/>
  <c r="E974" i="2"/>
  <c r="E746" i="2"/>
  <c r="E1018" i="2"/>
  <c r="E747" i="2"/>
  <c r="E289" i="2"/>
  <c r="E939" i="2"/>
  <c r="E940" i="2"/>
  <c r="E290" i="2"/>
  <c r="E386" i="2"/>
  <c r="E291" i="2"/>
  <c r="E941" i="2"/>
  <c r="E942" i="2"/>
  <c r="E556" i="2"/>
  <c r="E1346" i="2"/>
  <c r="E618" i="2"/>
  <c r="E1632" i="2"/>
  <c r="E276" i="2"/>
  <c r="E277" i="2"/>
  <c r="E278" i="2"/>
  <c r="E832" i="2"/>
  <c r="E739" i="2"/>
  <c r="E1473" i="2"/>
  <c r="E1570" i="2"/>
  <c r="E279" i="2"/>
  <c r="E839" i="2"/>
  <c r="E1633" i="2"/>
  <c r="E1634" i="2"/>
  <c r="E1347" i="2"/>
  <c r="E1005" i="2"/>
  <c r="E1635" i="2"/>
  <c r="E740" i="2"/>
  <c r="E741" i="2"/>
  <c r="E1006" i="2"/>
  <c r="E1007" i="2"/>
  <c r="E153" i="2"/>
  <c r="E912" i="2"/>
  <c r="E1382" i="2"/>
  <c r="E1008" i="2"/>
  <c r="E1636" i="2"/>
  <c r="E1637" i="2"/>
  <c r="E280" i="2"/>
  <c r="E1383" i="2"/>
  <c r="E1348" i="2"/>
  <c r="E1571" i="2"/>
  <c r="E1009" i="2"/>
  <c r="E1010" i="2"/>
  <c r="E1577" i="2"/>
  <c r="E281" i="2"/>
  <c r="E383" i="2"/>
  <c r="E384" i="2"/>
  <c r="E341" i="2"/>
  <c r="E282" i="2"/>
  <c r="E1349" i="2"/>
  <c r="E742" i="2"/>
  <c r="E1578" i="2"/>
  <c r="E1011" i="2"/>
  <c r="E743" i="2"/>
  <c r="E1350" i="2"/>
  <c r="E1351" i="2"/>
  <c r="E1012" i="2"/>
  <c r="E744" i="2"/>
  <c r="E1474" i="2"/>
  <c r="E385" i="2"/>
  <c r="E1013" i="2"/>
  <c r="E833" i="2"/>
  <c r="E753" i="2"/>
  <c r="E745" i="2"/>
  <c r="E1572" i="2"/>
  <c r="E1014" i="2"/>
  <c r="E283" i="2"/>
  <c r="E284" i="2"/>
  <c r="E1015" i="2"/>
  <c r="E285" i="2"/>
  <c r="E1352" i="2"/>
  <c r="E286" i="2"/>
  <c r="E831" i="2"/>
  <c r="E441" i="2"/>
  <c r="E615" i="2"/>
  <c r="E737" i="2"/>
  <c r="E1520" i="2"/>
  <c r="E738" i="2"/>
  <c r="E616" i="2"/>
  <c r="E1471" i="2"/>
  <c r="E1605" i="2"/>
  <c r="E274" i="2"/>
  <c r="E617" i="2"/>
  <c r="E442" i="2"/>
  <c r="E1472" i="2"/>
  <c r="E1609" i="2"/>
  <c r="E340" i="2"/>
  <c r="E559" i="2"/>
  <c r="E911" i="2"/>
  <c r="E1569" i="2"/>
  <c r="E1004" i="2"/>
  <c r="E524" i="2"/>
  <c r="E443" i="2"/>
  <c r="E525" i="2"/>
  <c r="E275" i="2"/>
  <c r="E1345" i="2"/>
  <c r="E822" i="2"/>
  <c r="E823" i="2"/>
  <c r="E824" i="2"/>
  <c r="E825" i="2"/>
  <c r="E826" i="2"/>
  <c r="E827" i="2"/>
  <c r="E438" i="2"/>
  <c r="E721" i="2"/>
  <c r="E722" i="2"/>
  <c r="E723" i="2"/>
  <c r="E724" i="2"/>
  <c r="E725" i="2"/>
  <c r="E726" i="2"/>
  <c r="E727" i="2"/>
  <c r="E728" i="2"/>
  <c r="E729" i="2"/>
  <c r="E129" i="2"/>
  <c r="E130" i="2"/>
  <c r="E131" i="2"/>
  <c r="E132" i="2"/>
  <c r="E133" i="2"/>
  <c r="E134" i="2"/>
  <c r="E135" i="2"/>
  <c r="E136" i="2"/>
  <c r="E137" i="2"/>
  <c r="E138" i="2"/>
  <c r="E1411" i="2"/>
  <c r="E1412" i="2"/>
  <c r="E1413" i="2"/>
  <c r="E606" i="2"/>
  <c r="E607" i="2"/>
  <c r="E608" i="2"/>
  <c r="E609" i="2"/>
  <c r="E610" i="2"/>
  <c r="E611" i="2"/>
  <c r="E1460" i="2"/>
  <c r="E1461" i="2"/>
  <c r="E1462" i="2"/>
  <c r="E1463" i="2"/>
  <c r="E1464" i="2"/>
  <c r="E1465" i="2"/>
  <c r="E1466" i="2"/>
  <c r="E1467" i="2"/>
  <c r="E1468" i="2"/>
  <c r="E905" i="2"/>
  <c r="E906" i="2"/>
  <c r="E907" i="2"/>
  <c r="E908" i="2"/>
  <c r="E377" i="2"/>
  <c r="E378" i="2"/>
  <c r="E379" i="2"/>
  <c r="E380" i="2"/>
  <c r="E937" i="2"/>
  <c r="E1566" i="2"/>
  <c r="E1567" i="2"/>
  <c r="E1600" i="2"/>
  <c r="E1601" i="2"/>
  <c r="E1602" i="2"/>
  <c r="E1603" i="2"/>
  <c r="E1604" i="2"/>
  <c r="E553" i="2"/>
  <c r="E554" i="2"/>
  <c r="E555" i="2"/>
  <c r="E339" i="2"/>
  <c r="E517" i="2"/>
  <c r="E518" i="2"/>
  <c r="E519" i="2"/>
  <c r="E520" i="2"/>
  <c r="E263" i="2"/>
  <c r="E264" i="2"/>
  <c r="E265" i="2"/>
  <c r="E266" i="2"/>
  <c r="E267" i="2"/>
  <c r="E268" i="2"/>
  <c r="E269" i="2"/>
  <c r="E270" i="2"/>
  <c r="E828" i="2"/>
  <c r="E829" i="2"/>
  <c r="E439" i="2"/>
  <c r="E1617" i="2"/>
  <c r="E1618" i="2"/>
  <c r="E730" i="2"/>
  <c r="E731" i="2"/>
  <c r="E139" i="2"/>
  <c r="E1344" i="2"/>
  <c r="E1414" i="2"/>
  <c r="E612" i="2"/>
  <c r="E1469" i="2"/>
  <c r="E521" i="2"/>
  <c r="E1478" i="2"/>
  <c r="E271" i="2"/>
  <c r="E272" i="2"/>
  <c r="E140" i="2"/>
  <c r="E141" i="2"/>
  <c r="E142" i="2"/>
  <c r="E1415" i="2"/>
  <c r="E613" i="2"/>
  <c r="E522" i="2"/>
  <c r="E523" i="2"/>
  <c r="E732" i="2"/>
  <c r="E1416" i="2"/>
  <c r="E1470" i="2"/>
  <c r="E909" i="2"/>
  <c r="E273" i="2"/>
  <c r="E1417" i="2"/>
  <c r="E830" i="2"/>
  <c r="E440" i="2"/>
  <c r="E733" i="2"/>
  <c r="E734" i="2"/>
  <c r="E735" i="2"/>
  <c r="E736" i="2"/>
  <c r="E143" i="2"/>
  <c r="E144" i="2"/>
  <c r="E145" i="2"/>
  <c r="E146" i="2"/>
  <c r="E147" i="2"/>
  <c r="E148" i="2"/>
  <c r="E149" i="2"/>
  <c r="E150" i="2"/>
  <c r="E151" i="2"/>
  <c r="E1418" i="2"/>
  <c r="E1419" i="2"/>
  <c r="E910" i="2"/>
  <c r="E381" i="2"/>
  <c r="E382" i="2"/>
  <c r="E152" i="2"/>
  <c r="E1420" i="2"/>
  <c r="E614" i="2"/>
  <c r="E1644" i="2"/>
  <c r="E1568" i="2"/>
  <c r="E821" i="2"/>
  <c r="E799" i="2"/>
  <c r="E800" i="2"/>
  <c r="E801" i="2"/>
  <c r="E802" i="2"/>
  <c r="E803" i="2"/>
  <c r="E804" i="2"/>
  <c r="E805" i="2"/>
  <c r="E1505" i="2"/>
  <c r="E1506" i="2"/>
  <c r="E1507" i="2"/>
  <c r="E1508" i="2"/>
  <c r="E1509" i="2"/>
  <c r="E1510" i="2"/>
  <c r="E1511" i="2"/>
  <c r="E1512" i="2"/>
  <c r="E1513" i="2"/>
  <c r="E1514" i="2"/>
  <c r="E429" i="2"/>
  <c r="E430" i="2"/>
  <c r="E431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99" i="2"/>
  <c r="E100" i="2"/>
  <c r="E101" i="2"/>
  <c r="E102" i="2"/>
  <c r="E103" i="2"/>
  <c r="E104" i="2"/>
  <c r="E105" i="2"/>
  <c r="E106" i="2"/>
  <c r="E107" i="2"/>
  <c r="E1335" i="2"/>
  <c r="E1336" i="2"/>
  <c r="E1404" i="2"/>
  <c r="E1405" i="2"/>
  <c r="E1406" i="2"/>
  <c r="E587" i="2"/>
  <c r="E588" i="2"/>
  <c r="E589" i="2"/>
  <c r="E590" i="2"/>
  <c r="E591" i="2"/>
  <c r="E592" i="2"/>
  <c r="E593" i="2"/>
  <c r="E594" i="2"/>
  <c r="E595" i="2"/>
  <c r="E596" i="2"/>
  <c r="E597" i="2"/>
  <c r="E1447" i="2"/>
  <c r="E1448" i="2"/>
  <c r="E1449" i="2"/>
  <c r="E1450" i="2"/>
  <c r="E1451" i="2"/>
  <c r="E885" i="2"/>
  <c r="E886" i="2"/>
  <c r="E887" i="2"/>
  <c r="E888" i="2"/>
  <c r="E889" i="2"/>
  <c r="E890" i="2"/>
  <c r="E891" i="2"/>
  <c r="E892" i="2"/>
  <c r="E893" i="2"/>
  <c r="E894" i="2"/>
  <c r="E371" i="2"/>
  <c r="E931" i="2"/>
  <c r="E932" i="2"/>
  <c r="E933" i="2"/>
  <c r="E13" i="2"/>
  <c r="E1547" i="2"/>
  <c r="E1548" i="2"/>
  <c r="E1549" i="2"/>
  <c r="E1550" i="2"/>
  <c r="E1551" i="2"/>
  <c r="E1552" i="2"/>
  <c r="E1553" i="2"/>
  <c r="E1554" i="2"/>
  <c r="E1555" i="2"/>
  <c r="E1556" i="2"/>
  <c r="E1099" i="2"/>
  <c r="E1100" i="2"/>
  <c r="E551" i="2"/>
  <c r="E552" i="2"/>
  <c r="E348" i="2"/>
  <c r="E349" i="2"/>
  <c r="E350" i="2"/>
  <c r="E351" i="2"/>
  <c r="E497" i="2"/>
  <c r="E498" i="2"/>
  <c r="E499" i="2"/>
  <c r="E500" i="2"/>
  <c r="E501" i="2"/>
  <c r="E502" i="2"/>
  <c r="E503" i="2"/>
  <c r="E504" i="2"/>
  <c r="E1378" i="2"/>
  <c r="E968" i="2"/>
  <c r="E969" i="2"/>
  <c r="E970" i="2"/>
  <c r="E971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806" i="2"/>
  <c r="E807" i="2"/>
  <c r="E808" i="2"/>
  <c r="E809" i="2"/>
  <c r="E1515" i="2"/>
  <c r="E432" i="2"/>
  <c r="E704" i="2"/>
  <c r="E705" i="2"/>
  <c r="E706" i="2"/>
  <c r="E707" i="2"/>
  <c r="E708" i="2"/>
  <c r="E709" i="2"/>
  <c r="E108" i="2"/>
  <c r="E1407" i="2"/>
  <c r="E1408" i="2"/>
  <c r="E598" i="2"/>
  <c r="E599" i="2"/>
  <c r="E895" i="2"/>
  <c r="E896" i="2"/>
  <c r="E897" i="2"/>
  <c r="E898" i="2"/>
  <c r="E1557" i="2"/>
  <c r="E836" i="2"/>
  <c r="E505" i="2"/>
  <c r="E506" i="2"/>
  <c r="E507" i="2"/>
  <c r="E1379" i="2"/>
  <c r="E1380" i="2"/>
  <c r="E225" i="2"/>
  <c r="E226" i="2"/>
  <c r="E227" i="2"/>
  <c r="E228" i="2"/>
  <c r="E229" i="2"/>
  <c r="E230" i="2"/>
  <c r="E231" i="2"/>
  <c r="E232" i="2"/>
  <c r="E233" i="2"/>
  <c r="E234" i="2"/>
  <c r="E235" i="2"/>
  <c r="E810" i="2"/>
  <c r="E811" i="2"/>
  <c r="E109" i="2"/>
  <c r="E1337" i="2"/>
  <c r="E600" i="2"/>
  <c r="E1452" i="2"/>
  <c r="E372" i="2"/>
  <c r="E236" i="2"/>
  <c r="E237" i="2"/>
  <c r="E238" i="2"/>
  <c r="E1516" i="2"/>
  <c r="E710" i="2"/>
  <c r="E711" i="2"/>
  <c r="E972" i="2"/>
  <c r="E239" i="2"/>
  <c r="E812" i="2"/>
  <c r="E433" i="2"/>
  <c r="E899" i="2"/>
  <c r="E240" i="2"/>
  <c r="E434" i="2"/>
  <c r="E920" i="2"/>
  <c r="E813" i="2"/>
  <c r="E814" i="2"/>
  <c r="E815" i="2"/>
  <c r="E816" i="2"/>
  <c r="E817" i="2"/>
  <c r="E818" i="2"/>
  <c r="E1517" i="2"/>
  <c r="E1518" i="2"/>
  <c r="E435" i="2"/>
  <c r="E436" i="2"/>
  <c r="E712" i="2"/>
  <c r="E713" i="2"/>
  <c r="E714" i="2"/>
  <c r="E715" i="2"/>
  <c r="E716" i="2"/>
  <c r="E717" i="2"/>
  <c r="E718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338" i="2"/>
  <c r="E1339" i="2"/>
  <c r="E1340" i="2"/>
  <c r="E1341" i="2"/>
  <c r="E1342" i="2"/>
  <c r="E1409" i="2"/>
  <c r="E1410" i="2"/>
  <c r="E601" i="2"/>
  <c r="E602" i="2"/>
  <c r="E603" i="2"/>
  <c r="E1453" i="2"/>
  <c r="E1454" i="2"/>
  <c r="E1455" i="2"/>
  <c r="E1456" i="2"/>
  <c r="E1457" i="2"/>
  <c r="E900" i="2"/>
  <c r="E901" i="2"/>
  <c r="E902" i="2"/>
  <c r="E373" i="2"/>
  <c r="E374" i="2"/>
  <c r="E375" i="2"/>
  <c r="E320" i="2"/>
  <c r="E934" i="2"/>
  <c r="E14" i="2"/>
  <c r="E15" i="2"/>
  <c r="E16" i="2"/>
  <c r="E1558" i="2"/>
  <c r="E1559" i="2"/>
  <c r="E1560" i="2"/>
  <c r="E1561" i="2"/>
  <c r="E1562" i="2"/>
  <c r="E1563" i="2"/>
  <c r="E1564" i="2"/>
  <c r="E1598" i="2"/>
  <c r="E1599" i="2"/>
  <c r="E1101" i="2"/>
  <c r="E1102" i="2"/>
  <c r="E1103" i="2"/>
  <c r="E1104" i="2"/>
  <c r="E1105" i="2"/>
  <c r="E837" i="2"/>
  <c r="E838" i="2"/>
  <c r="E332" i="2"/>
  <c r="E333" i="2"/>
  <c r="E334" i="2"/>
  <c r="E335" i="2"/>
  <c r="E336" i="2"/>
  <c r="E337" i="2"/>
  <c r="E508" i="2"/>
  <c r="E509" i="2"/>
  <c r="E510" i="2"/>
  <c r="E511" i="2"/>
  <c r="E512" i="2"/>
  <c r="E513" i="2"/>
  <c r="E1642" i="2"/>
  <c r="E1643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921" i="2"/>
  <c r="E922" i="2"/>
  <c r="E819" i="2"/>
  <c r="E437" i="2"/>
  <c r="E719" i="2"/>
  <c r="E122" i="2"/>
  <c r="E123" i="2"/>
  <c r="E124" i="2"/>
  <c r="E125" i="2"/>
  <c r="E604" i="2"/>
  <c r="E1458" i="2"/>
  <c r="E1459" i="2"/>
  <c r="E903" i="2"/>
  <c r="E904" i="2"/>
  <c r="E376" i="2"/>
  <c r="E321" i="2"/>
  <c r="E935" i="2"/>
  <c r="E936" i="2"/>
  <c r="E1565" i="2"/>
  <c r="E338" i="2"/>
  <c r="E253" i="2"/>
  <c r="E254" i="2"/>
  <c r="E255" i="2"/>
  <c r="E256" i="2"/>
  <c r="E257" i="2"/>
  <c r="E258" i="2"/>
  <c r="E259" i="2"/>
  <c r="E260" i="2"/>
  <c r="E514" i="2"/>
  <c r="E515" i="2"/>
  <c r="E126" i="2"/>
  <c r="E127" i="2"/>
  <c r="E605" i="2"/>
  <c r="E261" i="2"/>
  <c r="E262" i="2"/>
  <c r="E128" i="2"/>
  <c r="E1343" i="2"/>
  <c r="E950" i="2"/>
  <c r="E820" i="2"/>
  <c r="E1519" i="2"/>
  <c r="E720" i="2"/>
  <c r="E516" i="2"/>
  <c r="E923" i="2"/>
  <c r="E798" i="2"/>
  <c r="E1498" i="2"/>
  <c r="E1499" i="2"/>
  <c r="E1500" i="2"/>
  <c r="E1501" i="2"/>
  <c r="E1502" i="2"/>
  <c r="E426" i="2"/>
  <c r="E1022" i="2"/>
  <c r="E672" i="2"/>
  <c r="E673" i="2"/>
  <c r="E674" i="2"/>
  <c r="E675" i="2"/>
  <c r="E676" i="2"/>
  <c r="E72" i="2"/>
  <c r="E73" i="2"/>
  <c r="E74" i="2"/>
  <c r="E75" i="2"/>
  <c r="E76" i="2"/>
  <c r="E77" i="2"/>
  <c r="E78" i="2"/>
  <c r="E79" i="2"/>
  <c r="E80" i="2"/>
  <c r="E1396" i="2"/>
  <c r="E1397" i="2"/>
  <c r="E1398" i="2"/>
  <c r="E1399" i="2"/>
  <c r="E584" i="2"/>
  <c r="E1435" i="2"/>
  <c r="E1436" i="2"/>
  <c r="E316" i="2"/>
  <c r="E317" i="2"/>
  <c r="E6" i="2"/>
  <c r="E1537" i="2"/>
  <c r="E1538" i="2"/>
  <c r="E1023" i="2"/>
  <c r="E1024" i="2"/>
  <c r="E546" i="2"/>
  <c r="E547" i="2"/>
  <c r="E548" i="2"/>
  <c r="E491" i="2"/>
  <c r="E492" i="2"/>
  <c r="E1477" i="2"/>
  <c r="E1639" i="2"/>
  <c r="E963" i="2"/>
  <c r="E964" i="2"/>
  <c r="E965" i="2"/>
  <c r="E966" i="2"/>
  <c r="E967" i="2"/>
  <c r="E1107" i="2"/>
  <c r="E200" i="2"/>
  <c r="E201" i="2"/>
  <c r="E677" i="2"/>
  <c r="E81" i="2"/>
  <c r="E1437" i="2"/>
  <c r="E876" i="2"/>
  <c r="E1539" i="2"/>
  <c r="E1025" i="2"/>
  <c r="E1026" i="2"/>
  <c r="E549" i="2"/>
  <c r="E82" i="2"/>
  <c r="E1540" i="2"/>
  <c r="E7" i="2"/>
  <c r="E8" i="2"/>
  <c r="E794" i="2"/>
  <c r="E795" i="2"/>
  <c r="E796" i="2"/>
  <c r="E1503" i="2"/>
  <c r="E1504" i="2"/>
  <c r="E427" i="2"/>
  <c r="E678" i="2"/>
  <c r="E679" i="2"/>
  <c r="E680" i="2"/>
  <c r="E681" i="2"/>
  <c r="E83" i="2"/>
  <c r="E84" i="2"/>
  <c r="E85" i="2"/>
  <c r="E86" i="2"/>
  <c r="E87" i="2"/>
  <c r="E88" i="2"/>
  <c r="E89" i="2"/>
  <c r="E90" i="2"/>
  <c r="E91" i="2"/>
  <c r="E1574" i="2"/>
  <c r="E1334" i="2"/>
  <c r="E1400" i="2"/>
  <c r="E1401" i="2"/>
  <c r="E1402" i="2"/>
  <c r="E585" i="2"/>
  <c r="E586" i="2"/>
  <c r="E1438" i="2"/>
  <c r="E1439" i="2"/>
  <c r="E1440" i="2"/>
  <c r="E1441" i="2"/>
  <c r="E1442" i="2"/>
  <c r="E1443" i="2"/>
  <c r="E1444" i="2"/>
  <c r="E877" i="2"/>
  <c r="E878" i="2"/>
  <c r="E879" i="2"/>
  <c r="E880" i="2"/>
  <c r="E881" i="2"/>
  <c r="E882" i="2"/>
  <c r="E367" i="2"/>
  <c r="E368" i="2"/>
  <c r="E318" i="2"/>
  <c r="E319" i="2"/>
  <c r="E9" i="2"/>
  <c r="E10" i="2"/>
  <c r="E11" i="2"/>
  <c r="E1541" i="2"/>
  <c r="E1542" i="2"/>
  <c r="E1543" i="2"/>
  <c r="E1544" i="2"/>
  <c r="E1595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550" i="2"/>
  <c r="E328" i="2"/>
  <c r="E329" i="2"/>
  <c r="E330" i="2"/>
  <c r="E331" i="2"/>
  <c r="E1631" i="2"/>
  <c r="E493" i="2"/>
  <c r="E494" i="2"/>
  <c r="E495" i="2"/>
  <c r="E946" i="2"/>
  <c r="E947" i="2"/>
  <c r="E948" i="2"/>
  <c r="E949" i="2"/>
  <c r="E750" i="2"/>
  <c r="E751" i="2"/>
  <c r="E1640" i="2"/>
  <c r="E1641" i="2"/>
  <c r="E1108" i="2"/>
  <c r="E1109" i="2"/>
  <c r="E1110" i="2"/>
  <c r="E1111" i="2"/>
  <c r="E302" i="2"/>
  <c r="E303" i="2"/>
  <c r="E304" i="2"/>
  <c r="E1608" i="2"/>
  <c r="E202" i="2"/>
  <c r="E396" i="2"/>
  <c r="E797" i="2"/>
  <c r="E682" i="2"/>
  <c r="E92" i="2"/>
  <c r="E93" i="2"/>
  <c r="E94" i="2"/>
  <c r="E95" i="2"/>
  <c r="E96" i="2"/>
  <c r="E1445" i="2"/>
  <c r="E1446" i="2"/>
  <c r="E883" i="2"/>
  <c r="E884" i="2"/>
  <c r="E369" i="2"/>
  <c r="E1545" i="2"/>
  <c r="E1546" i="2"/>
  <c r="E1596" i="2"/>
  <c r="E1597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496" i="2"/>
  <c r="E1112" i="2"/>
  <c r="E1113" i="2"/>
  <c r="E428" i="2"/>
  <c r="E97" i="2"/>
  <c r="E370" i="2"/>
  <c r="E12" i="2"/>
  <c r="E1097" i="2"/>
  <c r="E1616" i="2"/>
  <c r="E1403" i="2"/>
  <c r="E98" i="2"/>
  <c r="E1098" i="2"/>
  <c r="E793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1481" i="2"/>
  <c r="E1482" i="2"/>
  <c r="E1483" i="2"/>
  <c r="E1484" i="2"/>
  <c r="E1485" i="2"/>
  <c r="E1486" i="2"/>
  <c r="E1487" i="2"/>
  <c r="E1488" i="2"/>
  <c r="E1489" i="2"/>
  <c r="E557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951" i="2"/>
  <c r="E1612" i="2"/>
  <c r="E1613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385" i="2"/>
  <c r="E1386" i="2"/>
  <c r="E1387" i="2"/>
  <c r="E1388" i="2"/>
  <c r="E1389" i="2"/>
  <c r="E560" i="2"/>
  <c r="E561" i="2"/>
  <c r="E562" i="2"/>
  <c r="E563" i="2"/>
  <c r="E564" i="2"/>
  <c r="E565" i="2"/>
  <c r="E566" i="2"/>
  <c r="E567" i="2"/>
  <c r="E568" i="2"/>
  <c r="E569" i="2"/>
  <c r="E570" i="2"/>
  <c r="E1422" i="2"/>
  <c r="E1423" i="2"/>
  <c r="E1424" i="2"/>
  <c r="E1425" i="2"/>
  <c r="E1426" i="2"/>
  <c r="E1427" i="2"/>
  <c r="E1428" i="2"/>
  <c r="E1429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05" i="2"/>
  <c r="E306" i="2"/>
  <c r="E307" i="2"/>
  <c r="E308" i="2"/>
  <c r="E309" i="2"/>
  <c r="E310" i="2"/>
  <c r="E924" i="2"/>
  <c r="E925" i="2"/>
  <c r="E926" i="2"/>
  <c r="E1521" i="2"/>
  <c r="E1522" i="2"/>
  <c r="E1523" i="2"/>
  <c r="E1524" i="2"/>
  <c r="E1525" i="2"/>
  <c r="E1586" i="2"/>
  <c r="E1587" i="2"/>
  <c r="E1588" i="2"/>
  <c r="E1589" i="2"/>
  <c r="E1590" i="2"/>
  <c r="E1591" i="2"/>
  <c r="E1592" i="2"/>
  <c r="E834" i="2"/>
  <c r="E835" i="2"/>
  <c r="E543" i="2"/>
  <c r="E544" i="2"/>
  <c r="E545" i="2"/>
  <c r="E979" i="2"/>
  <c r="E322" i="2"/>
  <c r="E342" i="2"/>
  <c r="E343" i="2"/>
  <c r="E344" i="2"/>
  <c r="E1619" i="2"/>
  <c r="E1620" i="2"/>
  <c r="E1621" i="2"/>
  <c r="E1622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749" i="2"/>
  <c r="E1476" i="2"/>
  <c r="E952" i="2"/>
  <c r="E953" i="2"/>
  <c r="E954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775" i="2"/>
  <c r="E776" i="2"/>
  <c r="E777" i="2"/>
  <c r="E778" i="2"/>
  <c r="E779" i="2"/>
  <c r="E780" i="2"/>
  <c r="E781" i="2"/>
  <c r="E782" i="2"/>
  <c r="E783" i="2"/>
  <c r="E1490" i="2"/>
  <c r="E412" i="2"/>
  <c r="E413" i="2"/>
  <c r="E414" i="2"/>
  <c r="E642" i="2"/>
  <c r="E643" i="2"/>
  <c r="E644" i="2"/>
  <c r="E39" i="2"/>
  <c r="E40" i="2"/>
  <c r="E41" i="2"/>
  <c r="E42" i="2"/>
  <c r="E43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571" i="2"/>
  <c r="E572" i="2"/>
  <c r="E1430" i="2"/>
  <c r="E857" i="2"/>
  <c r="E858" i="2"/>
  <c r="E364" i="2"/>
  <c r="E1593" i="2"/>
  <c r="E471" i="2"/>
  <c r="E472" i="2"/>
  <c r="E473" i="2"/>
  <c r="E474" i="2"/>
  <c r="E475" i="2"/>
  <c r="E476" i="2"/>
  <c r="E477" i="2"/>
  <c r="E955" i="2"/>
  <c r="E956" i="2"/>
  <c r="E2" i="2"/>
  <c r="E176" i="2"/>
  <c r="E177" i="2"/>
  <c r="E178" i="2"/>
  <c r="E179" i="2"/>
  <c r="E180" i="2"/>
  <c r="E181" i="2"/>
  <c r="E784" i="2"/>
  <c r="E1491" i="2"/>
  <c r="E645" i="2"/>
  <c r="E646" i="2"/>
  <c r="E647" i="2"/>
  <c r="E648" i="2"/>
  <c r="E649" i="2"/>
  <c r="E650" i="2"/>
  <c r="E651" i="2"/>
  <c r="E44" i="2"/>
  <c r="E1203" i="2"/>
  <c r="E1204" i="2"/>
  <c r="E1205" i="2"/>
  <c r="E1206" i="2"/>
  <c r="E1207" i="2"/>
  <c r="E1208" i="2"/>
  <c r="E1209" i="2"/>
  <c r="E1210" i="2"/>
  <c r="E1211" i="2"/>
  <c r="E573" i="2"/>
  <c r="E574" i="2"/>
  <c r="E575" i="2"/>
  <c r="E576" i="2"/>
  <c r="E1431" i="2"/>
  <c r="E859" i="2"/>
  <c r="E860" i="2"/>
  <c r="E861" i="2"/>
  <c r="E862" i="2"/>
  <c r="E365" i="2"/>
  <c r="E311" i="2"/>
  <c r="E478" i="2"/>
  <c r="E182" i="2"/>
  <c r="E183" i="2"/>
  <c r="E184" i="2"/>
  <c r="E1492" i="2"/>
  <c r="E415" i="2"/>
  <c r="E416" i="2"/>
  <c r="E1614" i="2"/>
  <c r="E1615" i="2"/>
  <c r="E652" i="2"/>
  <c r="E45" i="2"/>
  <c r="E1212" i="2"/>
  <c r="E1213" i="2"/>
  <c r="E1214" i="2"/>
  <c r="E1215" i="2"/>
  <c r="E1216" i="2"/>
  <c r="E1217" i="2"/>
  <c r="E1218" i="2"/>
  <c r="E1432" i="2"/>
  <c r="E1526" i="2"/>
  <c r="E345" i="2"/>
  <c r="E346" i="2"/>
  <c r="E3" i="2"/>
  <c r="E185" i="2"/>
  <c r="E1493" i="2"/>
  <c r="E1527" i="2"/>
  <c r="E1219" i="2"/>
  <c r="E1220" i="2"/>
  <c r="E1221" i="2"/>
  <c r="E1222" i="2"/>
  <c r="E1223" i="2"/>
  <c r="E863" i="2"/>
  <c r="E864" i="2"/>
  <c r="E1224" i="2"/>
  <c r="E919" i="2"/>
  <c r="E785" i="2"/>
  <c r="E786" i="2"/>
  <c r="E787" i="2"/>
  <c r="E788" i="2"/>
  <c r="E789" i="2"/>
  <c r="E1494" i="2"/>
  <c r="E1495" i="2"/>
  <c r="E558" i="2"/>
  <c r="E417" i="2"/>
  <c r="E418" i="2"/>
  <c r="E419" i="2"/>
  <c r="E420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90" i="2"/>
  <c r="E1391" i="2"/>
  <c r="E1392" i="2"/>
  <c r="E1393" i="2"/>
  <c r="E1394" i="2"/>
  <c r="E577" i="2"/>
  <c r="E578" i="2"/>
  <c r="E579" i="2"/>
  <c r="E580" i="2"/>
  <c r="E581" i="2"/>
  <c r="E582" i="2"/>
  <c r="E1433" i="2"/>
  <c r="E1434" i="2"/>
  <c r="E865" i="2"/>
  <c r="E866" i="2"/>
  <c r="E867" i="2"/>
  <c r="E868" i="2"/>
  <c r="E869" i="2"/>
  <c r="E870" i="2"/>
  <c r="E871" i="2"/>
  <c r="E872" i="2"/>
  <c r="E873" i="2"/>
  <c r="E874" i="2"/>
  <c r="E875" i="2"/>
  <c r="E366" i="2"/>
  <c r="E312" i="2"/>
  <c r="E313" i="2"/>
  <c r="E314" i="2"/>
  <c r="E315" i="2"/>
  <c r="E927" i="2"/>
  <c r="E928" i="2"/>
  <c r="E929" i="2"/>
  <c r="E930" i="2"/>
  <c r="E4" i="2"/>
  <c r="E5" i="2"/>
  <c r="E1528" i="2"/>
  <c r="E1529" i="2"/>
  <c r="E1530" i="2"/>
  <c r="E1531" i="2"/>
  <c r="E1532" i="2"/>
  <c r="E1533" i="2"/>
  <c r="E1594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323" i="2"/>
  <c r="E324" i="2"/>
  <c r="E325" i="2"/>
  <c r="E326" i="2"/>
  <c r="E327" i="2"/>
  <c r="E1610" i="2"/>
  <c r="E347" i="2"/>
  <c r="E1623" i="2"/>
  <c r="E1624" i="2"/>
  <c r="E1625" i="2"/>
  <c r="E1626" i="2"/>
  <c r="E1627" i="2"/>
  <c r="E1628" i="2"/>
  <c r="E479" i="2"/>
  <c r="E480" i="2"/>
  <c r="E481" i="2"/>
  <c r="E482" i="2"/>
  <c r="E483" i="2"/>
  <c r="E484" i="2"/>
  <c r="E485" i="2"/>
  <c r="E486" i="2"/>
  <c r="E487" i="2"/>
  <c r="E973" i="2"/>
  <c r="E1377" i="2"/>
  <c r="E1638" i="2"/>
  <c r="E957" i="2"/>
  <c r="E958" i="2"/>
  <c r="E959" i="2"/>
  <c r="E960" i="2"/>
  <c r="E961" i="2"/>
  <c r="E301" i="2"/>
  <c r="E186" i="2"/>
  <c r="E187" i="2"/>
  <c r="E188" i="2"/>
  <c r="E189" i="2"/>
  <c r="E190" i="2"/>
  <c r="E191" i="2"/>
  <c r="E790" i="2"/>
  <c r="E791" i="2"/>
  <c r="E1496" i="2"/>
  <c r="E421" i="2"/>
  <c r="E422" i="2"/>
  <c r="E423" i="2"/>
  <c r="E667" i="2"/>
  <c r="E64" i="2"/>
  <c r="E65" i="2"/>
  <c r="E66" i="2"/>
  <c r="E67" i="2"/>
  <c r="E68" i="2"/>
  <c r="E69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95" i="2"/>
  <c r="E583" i="2"/>
  <c r="E1381" i="2"/>
  <c r="E999" i="2"/>
  <c r="E1000" i="2"/>
  <c r="E1001" i="2"/>
  <c r="E488" i="2"/>
  <c r="E489" i="2"/>
  <c r="E945" i="2"/>
  <c r="E962" i="2"/>
  <c r="E192" i="2"/>
  <c r="E193" i="2"/>
  <c r="E194" i="2"/>
  <c r="E195" i="2"/>
  <c r="E196" i="2"/>
  <c r="E197" i="2"/>
  <c r="E198" i="2"/>
  <c r="E792" i="2"/>
  <c r="E668" i="2"/>
  <c r="E669" i="2"/>
  <c r="E670" i="2"/>
  <c r="E70" i="2"/>
  <c r="E1320" i="2"/>
  <c r="E1321" i="2"/>
  <c r="E1322" i="2"/>
  <c r="E1323" i="2"/>
  <c r="E1324" i="2"/>
  <c r="E1325" i="2"/>
  <c r="E1326" i="2"/>
  <c r="E1002" i="2"/>
  <c r="E1629" i="2"/>
  <c r="E490" i="2"/>
  <c r="E71" i="2"/>
  <c r="E1327" i="2"/>
  <c r="E1328" i="2"/>
  <c r="E1329" i="2"/>
  <c r="E1630" i="2"/>
  <c r="E199" i="2"/>
  <c r="E1497" i="2"/>
  <c r="E424" i="2"/>
  <c r="E425" i="2"/>
  <c r="E1330" i="2"/>
  <c r="E1534" i="2"/>
  <c r="E1535" i="2"/>
  <c r="E1536" i="2"/>
  <c r="E1003" i="2"/>
  <c r="E671" i="2"/>
  <c r="E1331" i="2"/>
  <c r="E1332" i="2"/>
  <c r="E1333" i="2"/>
  <c r="E754" i="2"/>
  <c r="E619" i="2"/>
  <c r="E444" i="2"/>
  <c r="E620" i="2"/>
  <c r="E840" i="2"/>
  <c r="E1475" i="2"/>
  <c r="E154" i="2"/>
  <c r="E155" i="2"/>
  <c r="E156" i="2"/>
  <c r="E841" i="2"/>
  <c r="E157" i="2"/>
  <c r="E621" i="2"/>
  <c r="E1376" i="2"/>
  <c r="E944" i="2"/>
  <c r="E1607" i="2"/>
  <c r="E1016" i="2"/>
  <c r="E938" i="2"/>
  <c r="E1575" i="2"/>
  <c r="E1576" i="2"/>
  <c r="E752" i="2"/>
</calcChain>
</file>

<file path=xl/sharedStrings.xml><?xml version="1.0" encoding="utf-8"?>
<sst xmlns="http://schemas.openxmlformats.org/spreadsheetml/2006/main" count="45625" uniqueCount="3959">
  <si>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</si>
  <si>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</si>
  <si>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</si>
  <si>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</si>
  <si>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</si>
  <si>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</si>
  <si>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</si>
  <si>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</si>
  <si>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t>Producer Commission Data - Individual</t>
    </r>
    <r>
      <rPr>
        <sz val="18"/>
        <color rgb="FFFFFFFF"/>
        <rFont val="Arial"/>
        <family val="2"/>
      </rPr>
      <t xml:space="preserve">
For Period: February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</si>
  <si>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</si>
  <si>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</si>
  <si>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</si>
  <si>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</si>
  <si>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</si>
  <si>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</si>
  <si>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</si>
  <si>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</si>
  <si>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</si>
  <si>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</si>
  <si>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</si>
  <si>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</si>
  <si>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</si>
  <si>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</si>
  <si>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</si>
  <si>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</si>
  <si>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</si>
  <si>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</si>
  <si>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</si>
  <si>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</si>
  <si>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</si>
  <si>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</si>
  <si>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</si>
  <si>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</si>
  <si>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</si>
  <si>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107864424-SU-JASON R HOFFMANN</t>
  </si>
  <si>
    <t>H</t>
  </si>
  <si>
    <t>069098</t>
  </si>
  <si>
    <t>1</t>
  </si>
  <si>
    <t>000804340341</t>
  </si>
  <si>
    <t>OAKLEY, TAMMY</t>
  </si>
  <si>
    <t>P</t>
  </si>
  <si>
    <t>000,000.00</t>
  </si>
  <si>
    <t>20250401</t>
  </si>
  <si>
    <t>20230101</t>
  </si>
  <si>
    <t>027</t>
  </si>
  <si>
    <t>MM2</t>
  </si>
  <si>
    <t>N</t>
  </si>
  <si>
    <t>$01.00</t>
  </si>
  <si>
    <t>0.0000</t>
  </si>
  <si>
    <t>107864424</t>
  </si>
  <si>
    <t>$/Member</t>
  </si>
  <si>
    <t>IB1305</t>
  </si>
  <si>
    <t>000920951871</t>
  </si>
  <si>
    <t>WILLIAMS, CHELSEA</t>
  </si>
  <si>
    <t>20250101</t>
  </si>
  <si>
    <t>003</t>
  </si>
  <si>
    <t>BLUECHOICEPRF^</t>
  </si>
  <si>
    <t>025.00</t>
  </si>
  <si>
    <t>000,025.00</t>
  </si>
  <si>
    <t>20250301</t>
  </si>
  <si>
    <t>002</t>
  </si>
  <si>
    <t>IB1801</t>
  </si>
  <si>
    <t>2-</t>
  </si>
  <si>
    <t>000921115227</t>
  </si>
  <si>
    <t>PAN, DAVID</t>
  </si>
  <si>
    <t>BLUEPRECISION^</t>
  </si>
  <si>
    <t>030.00</t>
  </si>
  <si>
    <t>000,060.00-</t>
  </si>
  <si>
    <t>2</t>
  </si>
  <si>
    <t>000,060.00</t>
  </si>
  <si>
    <t>IG1300</t>
  </si>
  <si>
    <t>000921379937</t>
  </si>
  <si>
    <t>UPHOFF, TERRI</t>
  </si>
  <si>
    <t>000,030.00</t>
  </si>
  <si>
    <t>IS1800</t>
  </si>
  <si>
    <t>000921662766</t>
  </si>
  <si>
    <t>JEDLINK, KRISTINA</t>
  </si>
  <si>
    <t>20240601</t>
  </si>
  <si>
    <t>010</t>
  </si>
  <si>
    <t>000921726368</t>
  </si>
  <si>
    <t>SASSO, GUY</t>
  </si>
  <si>
    <t>000.00</t>
  </si>
  <si>
    <t>IS1402</t>
  </si>
  <si>
    <t>000921730914</t>
  </si>
  <si>
    <t>RUBENACKER, AMY</t>
  </si>
  <si>
    <t>20240801</t>
  </si>
  <si>
    <t>008</t>
  </si>
  <si>
    <t>IG1302</t>
  </si>
  <si>
    <t>000921730915</t>
  </si>
  <si>
    <t>LEVIN, AVA</t>
  </si>
  <si>
    <t>000921732105</t>
  </si>
  <si>
    <t>SHACKLEY, MAGGIE</t>
  </si>
  <si>
    <t>000921733906</t>
  </si>
  <si>
    <t>ABBOTT, BREE</t>
  </si>
  <si>
    <t>20240901</t>
  </si>
  <si>
    <t>007</t>
  </si>
  <si>
    <t>000921733907</t>
  </si>
  <si>
    <t>HAMM, DAVID</t>
  </si>
  <si>
    <t>000,050.00</t>
  </si>
  <si>
    <t>IS1802</t>
  </si>
  <si>
    <t>000921733944</t>
  </si>
  <si>
    <t>RODGERS, GARRETT</t>
  </si>
  <si>
    <t>000921741039</t>
  </si>
  <si>
    <t>SPOERER, MOLLIE</t>
  </si>
  <si>
    <t>20241001</t>
  </si>
  <si>
    <t>006</t>
  </si>
  <si>
    <t>000921743288</t>
  </si>
  <si>
    <t>MALONE, JULIA</t>
  </si>
  <si>
    <t>20241101</t>
  </si>
  <si>
    <t>005</t>
  </si>
  <si>
    <t>% Premium Flat</t>
  </si>
  <si>
    <t>D</t>
  </si>
  <si>
    <t>DI1561</t>
  </si>
  <si>
    <t>000921751437</t>
  </si>
  <si>
    <t>FRANKEL, ROBERT</t>
  </si>
  <si>
    <t>000,015.33</t>
  </si>
  <si>
    <t>DENPPO^</t>
  </si>
  <si>
    <t>100.00</t>
  </si>
  <si>
    <t>0.0600</t>
  </si>
  <si>
    <t>000,000.92</t>
  </si>
  <si>
    <t>IB1300</t>
  </si>
  <si>
    <t>000921751918</t>
  </si>
  <si>
    <t>TIPLER, BRAD</t>
  </si>
  <si>
    <t>IS1300</t>
  </si>
  <si>
    <t>000921764752</t>
  </si>
  <si>
    <t>BELANGER, SNOBIA</t>
  </si>
  <si>
    <t>000921767016</t>
  </si>
  <si>
    <t>JOHNSON, AMBER</t>
  </si>
  <si>
    <t>000921777029</t>
  </si>
  <si>
    <t>ROHLFS, WILLIAM</t>
  </si>
  <si>
    <t>20250201</t>
  </si>
  <si>
    <t>001</t>
  </si>
  <si>
    <t>107865740-SU-GREGORY K TEIPEL</t>
  </si>
  <si>
    <t>IS1404</t>
  </si>
  <si>
    <t>000890201904</t>
  </si>
  <si>
    <t>BLAKE, LAURA</t>
  </si>
  <si>
    <t>20141201</t>
  </si>
  <si>
    <t>124</t>
  </si>
  <si>
    <t>BLUECAREDIRCT^</t>
  </si>
  <si>
    <t>020.00</t>
  </si>
  <si>
    <t>000,020.00</t>
  </si>
  <si>
    <t>107865740</t>
  </si>
  <si>
    <t>000890675110</t>
  </si>
  <si>
    <t>HURZELER, JOHN</t>
  </si>
  <si>
    <t>20200601</t>
  </si>
  <si>
    <t>058</t>
  </si>
  <si>
    <t>IB1402</t>
  </si>
  <si>
    <t>000920793160</t>
  </si>
  <si>
    <t>PRITCHARD, JILL</t>
  </si>
  <si>
    <t>20230901</t>
  </si>
  <si>
    <t>019</t>
  </si>
  <si>
    <t>000,040.00</t>
  </si>
  <si>
    <t>IB1803</t>
  </si>
  <si>
    <t>000920802434</t>
  </si>
  <si>
    <t>CHUNG, HEESOOK</t>
  </si>
  <si>
    <t>000920816684</t>
  </si>
  <si>
    <t>SMITH, JULIE</t>
  </si>
  <si>
    <t>20210101</t>
  </si>
  <si>
    <t>051</t>
  </si>
  <si>
    <t>000920983352</t>
  </si>
  <si>
    <t>JENSEN, TERESA</t>
  </si>
  <si>
    <t>20170101</t>
  </si>
  <si>
    <t>099</t>
  </si>
  <si>
    <t>000921027292</t>
  </si>
  <si>
    <t>HENDRICKSON, TIMOTHY</t>
  </si>
  <si>
    <t>20201201</t>
  </si>
  <si>
    <t>052</t>
  </si>
  <si>
    <t>000921031639</t>
  </si>
  <si>
    <t>VOLLAND, RONALD</t>
  </si>
  <si>
    <t>IB1303</t>
  </si>
  <si>
    <t>000921054949</t>
  </si>
  <si>
    <t>HAMILTON, LEAH</t>
  </si>
  <si>
    <t>050</t>
  </si>
  <si>
    <t>000921095896</t>
  </si>
  <si>
    <t>MUELLER, BRIAN</t>
  </si>
  <si>
    <t>000921108007</t>
  </si>
  <si>
    <t>PETSCHE, GREGORY</t>
  </si>
  <si>
    <t>20150301</t>
  </si>
  <si>
    <t>121</t>
  </si>
  <si>
    <t>1-</t>
  </si>
  <si>
    <t>000921115069</t>
  </si>
  <si>
    <t>HERMANN, WILLIAM</t>
  </si>
  <si>
    <t>20240501</t>
  </si>
  <si>
    <t>000,030.00-</t>
  </si>
  <si>
    <t>IS1301</t>
  </si>
  <si>
    <t>000921202225</t>
  </si>
  <si>
    <t>FALCO, TINA</t>
  </si>
  <si>
    <t>20160101</t>
  </si>
  <si>
    <t>111</t>
  </si>
  <si>
    <t>000921264796</t>
  </si>
  <si>
    <t>VARGAS, JUAN</t>
  </si>
  <si>
    <t>20160401</t>
  </si>
  <si>
    <t>108</t>
  </si>
  <si>
    <t>IS1506</t>
  </si>
  <si>
    <t>000921276081</t>
  </si>
  <si>
    <t>KRAMER, TINA</t>
  </si>
  <si>
    <t>20160801</t>
  </si>
  <si>
    <t>104</t>
  </si>
  <si>
    <t>MYBLUEPLUS^</t>
  </si>
  <si>
    <t>103</t>
  </si>
  <si>
    <t>000921300992</t>
  </si>
  <si>
    <t>TJADEN, MICHELE</t>
  </si>
  <si>
    <t>20220101</t>
  </si>
  <si>
    <t>039</t>
  </si>
  <si>
    <t>IS1507</t>
  </si>
  <si>
    <t>000921339518</t>
  </si>
  <si>
    <t>FREY, STEPHEN</t>
  </si>
  <si>
    <t>000921341816</t>
  </si>
  <si>
    <t>KILEY, JOHN</t>
  </si>
  <si>
    <t>20210601</t>
  </si>
  <si>
    <t>046</t>
  </si>
  <si>
    <t>000921372570</t>
  </si>
  <si>
    <t>BATES, JOHN</t>
  </si>
  <si>
    <t>20180101</t>
  </si>
  <si>
    <t>086</t>
  </si>
  <si>
    <t>000921462867</t>
  </si>
  <si>
    <t>BURDI, CARMELLA</t>
  </si>
  <si>
    <t>20190101</t>
  </si>
  <si>
    <t>075</t>
  </si>
  <si>
    <t>000921471284</t>
  </si>
  <si>
    <t>HARMON, PAULA</t>
  </si>
  <si>
    <t>20190501</t>
  </si>
  <si>
    <t>071</t>
  </si>
  <si>
    <t>000921479653</t>
  </si>
  <si>
    <t>SNODGRASS, KELSEY</t>
  </si>
  <si>
    <t>20190801</t>
  </si>
  <si>
    <t>068</t>
  </si>
  <si>
    <t>000921496012</t>
  </si>
  <si>
    <t>HOOD, AMY</t>
  </si>
  <si>
    <t>20200101</t>
  </si>
  <si>
    <t>062</t>
  </si>
  <si>
    <t>5</t>
  </si>
  <si>
    <t>000921513874</t>
  </si>
  <si>
    <t>FRANCHI, EVAGELIA</t>
  </si>
  <si>
    <t>20240101</t>
  </si>
  <si>
    <t>015</t>
  </si>
  <si>
    <t>000,125.00</t>
  </si>
  <si>
    <t>000921531868</t>
  </si>
  <si>
    <t>JENKINS, CHRISTOPHER</t>
  </si>
  <si>
    <t>20201101</t>
  </si>
  <si>
    <t>053</t>
  </si>
  <si>
    <t>DI1551</t>
  </si>
  <si>
    <t>000,018.04</t>
  </si>
  <si>
    <t>0.0400</t>
  </si>
  <si>
    <t>000,000.72</t>
  </si>
  <si>
    <t>000921535183</t>
  </si>
  <si>
    <t>WHITTAKER, KENN</t>
  </si>
  <si>
    <t>IB1302</t>
  </si>
  <si>
    <t>000921544469</t>
  </si>
  <si>
    <t>PORTER, DENNISE</t>
  </si>
  <si>
    <t>000921546691</t>
  </si>
  <si>
    <t>DAWID, AGNIESZKA</t>
  </si>
  <si>
    <t>000921551673</t>
  </si>
  <si>
    <t>OLSON, SCOTT</t>
  </si>
  <si>
    <t>000921555423</t>
  </si>
  <si>
    <t>CASTRO, ANTHONY</t>
  </si>
  <si>
    <t>20210201</t>
  </si>
  <si>
    <t>015.00</t>
  </si>
  <si>
    <t>000,015.00</t>
  </si>
  <si>
    <t>000921562893</t>
  </si>
  <si>
    <t>CHASE, DOMINIQUE</t>
  </si>
  <si>
    <t>20210501</t>
  </si>
  <si>
    <t>047</t>
  </si>
  <si>
    <t>000921567248</t>
  </si>
  <si>
    <t>SUNDBERG, BRIAN</t>
  </si>
  <si>
    <t>IS1302</t>
  </si>
  <si>
    <t>000921573554</t>
  </si>
  <si>
    <t>STEINGREABER, KATE</t>
  </si>
  <si>
    <t>20230501</t>
  </si>
  <si>
    <t>023</t>
  </si>
  <si>
    <t>000921574908</t>
  </si>
  <si>
    <t>GOMEZ, JOSE</t>
  </si>
  <si>
    <t>20210701</t>
  </si>
  <si>
    <t>045</t>
  </si>
  <si>
    <t>000921577896</t>
  </si>
  <si>
    <t>WALKER, YVONNE</t>
  </si>
  <si>
    <t>20210801</t>
  </si>
  <si>
    <t>044</t>
  </si>
  <si>
    <t>3</t>
  </si>
  <si>
    <t>000921582482</t>
  </si>
  <si>
    <t>CATALANOTTO, JENNIFER</t>
  </si>
  <si>
    <t>20210901</t>
  </si>
  <si>
    <t>043</t>
  </si>
  <si>
    <t>000,075.00</t>
  </si>
  <si>
    <t>000921586005</t>
  </si>
  <si>
    <t>RAY, WILMA</t>
  </si>
  <si>
    <t>20211101</t>
  </si>
  <si>
    <t>041</t>
  </si>
  <si>
    <t>000921587908</t>
  </si>
  <si>
    <t>STAPLETON, LATOYA</t>
  </si>
  <si>
    <t>20211201</t>
  </si>
  <si>
    <t>040</t>
  </si>
  <si>
    <t>000921591311</t>
  </si>
  <si>
    <t>FITZPATRICK, EMILY</t>
  </si>
  <si>
    <t>011</t>
  </si>
  <si>
    <t>000921597241</t>
  </si>
  <si>
    <t>VELEZ, MARITZA</t>
  </si>
  <si>
    <t>000921604394</t>
  </si>
  <si>
    <t>DAILEY, GARY</t>
  </si>
  <si>
    <t>20240401</t>
  </si>
  <si>
    <t>012</t>
  </si>
  <si>
    <t>000921619860</t>
  </si>
  <si>
    <t>PIUNNO, RACHAEL</t>
  </si>
  <si>
    <t>20220901</t>
  </si>
  <si>
    <t>030</t>
  </si>
  <si>
    <t>000921622828</t>
  </si>
  <si>
    <t>LANGE, KAREN</t>
  </si>
  <si>
    <t>20221001</t>
  </si>
  <si>
    <t>000921625646</t>
  </si>
  <si>
    <t>SANDERS, SHARON</t>
  </si>
  <si>
    <t>20240701</t>
  </si>
  <si>
    <t>009</t>
  </si>
  <si>
    <t>000921638777</t>
  </si>
  <si>
    <t>LASCELLES, JEREMIAH</t>
  </si>
  <si>
    <t>IG1800</t>
  </si>
  <si>
    <t>000921641060</t>
  </si>
  <si>
    <t>FALCO, MYRANDA</t>
  </si>
  <si>
    <t>000921641311</t>
  </si>
  <si>
    <t>CATALANO, KIMBERLY</t>
  </si>
  <si>
    <t>026</t>
  </si>
  <si>
    <t>025</t>
  </si>
  <si>
    <t>000921641942</t>
  </si>
  <si>
    <t>DIANA, CHASE</t>
  </si>
  <si>
    <t>000921644115</t>
  </si>
  <si>
    <t>HUTCHISON, LISABETH</t>
  </si>
  <si>
    <t>20230201</t>
  </si>
  <si>
    <t>000921648611</t>
  </si>
  <si>
    <t>DIAZ FLORES, SETH</t>
  </si>
  <si>
    <t>000921651612</t>
  </si>
  <si>
    <t>THOMAS, PATSY</t>
  </si>
  <si>
    <t>20230301</t>
  </si>
  <si>
    <t>000921666328</t>
  </si>
  <si>
    <t>HABICH, CORBIN</t>
  </si>
  <si>
    <t>20230801</t>
  </si>
  <si>
    <t>020</t>
  </si>
  <si>
    <t>000921670337</t>
  </si>
  <si>
    <t>PRITCHARD, ALEX</t>
  </si>
  <si>
    <t>000921677342</t>
  </si>
  <si>
    <t>GRIZZARD, KATHERINE</t>
  </si>
  <si>
    <t>014</t>
  </si>
  <si>
    <t>000921679447</t>
  </si>
  <si>
    <t>CORSO, ISABELLA</t>
  </si>
  <si>
    <t>000921681086</t>
  </si>
  <si>
    <t>DESAI, SARAH</t>
  </si>
  <si>
    <t>000921684156</t>
  </si>
  <si>
    <t>TOWNSEND, MELISSA</t>
  </si>
  <si>
    <t>000921684722</t>
  </si>
  <si>
    <t>THOMAS, TAMBORIA</t>
  </si>
  <si>
    <t>000921701817</t>
  </si>
  <si>
    <t>STEINER-GRAW, JENNY-MAE</t>
  </si>
  <si>
    <t>20240201</t>
  </si>
  <si>
    <t>000921701836</t>
  </si>
  <si>
    <t>STEINER-GRAW, KAYLA</t>
  </si>
  <si>
    <t>000921712012</t>
  </si>
  <si>
    <t>WILSON, JAMES</t>
  </si>
  <si>
    <t>20240301</t>
  </si>
  <si>
    <t>013</t>
  </si>
  <si>
    <t>000921717898</t>
  </si>
  <si>
    <t>AUDINO, ANTHONY</t>
  </si>
  <si>
    <t>000921720602</t>
  </si>
  <si>
    <t>POWER, CAROLE</t>
  </si>
  <si>
    <t>000921720708</t>
  </si>
  <si>
    <t>KRAMER, THOMAS</t>
  </si>
  <si>
    <t>000921720928</t>
  </si>
  <si>
    <t>WISNESKI, SUSAN</t>
  </si>
  <si>
    <t>000921729559</t>
  </si>
  <si>
    <t>TALAGA, IVY</t>
  </si>
  <si>
    <t>000921733663</t>
  </si>
  <si>
    <t>HENDERSON, EDNA</t>
  </si>
  <si>
    <t>000921737821</t>
  </si>
  <si>
    <t>FUNDERBURGH, DENISE</t>
  </si>
  <si>
    <t>000921742076</t>
  </si>
  <si>
    <t>WEYBRIGHT, MICHAEL</t>
  </si>
  <si>
    <t>000921743381</t>
  </si>
  <si>
    <t>BLUCHER, KELLY</t>
  </si>
  <si>
    <t>000921743807</t>
  </si>
  <si>
    <t>SANCHEZ, GLORIA</t>
  </si>
  <si>
    <t>000921746727</t>
  </si>
  <si>
    <t>TOPF, AMY</t>
  </si>
  <si>
    <t>000921750205</t>
  </si>
  <si>
    <t>STANCZYK, EMILIE</t>
  </si>
  <si>
    <t>20241201</t>
  </si>
  <si>
    <t>004</t>
  </si>
  <si>
    <t>IB1577</t>
  </si>
  <si>
    <t>000921751114</t>
  </si>
  <si>
    <t>LUTTMER, KATHLEEN</t>
  </si>
  <si>
    <t>000921752543</t>
  </si>
  <si>
    <t>DIANA, MARY</t>
  </si>
  <si>
    <t>000921752866</t>
  </si>
  <si>
    <t>FREDRICKS, GLORIA</t>
  </si>
  <si>
    <t>000921766263</t>
  </si>
  <si>
    <t>CATALANO, ELIZABETH</t>
  </si>
  <si>
    <t>000925238193</t>
  </si>
  <si>
    <t>NAEGELIN, JULIE</t>
  </si>
  <si>
    <t>IST300</t>
  </si>
  <si>
    <t>000957185285</t>
  </si>
  <si>
    <t>ORZECHOWSKI, LAURA</t>
  </si>
  <si>
    <t>000,132.47</t>
  </si>
  <si>
    <t>MED</t>
  </si>
  <si>
    <t>0.1000</t>
  </si>
  <si>
    <t>000,013.25</t>
  </si>
  <si>
    <t>000957208312</t>
  </si>
  <si>
    <t>ROACH, GAIL</t>
  </si>
  <si>
    <t>000,246.25</t>
  </si>
  <si>
    <t>20250318</t>
  </si>
  <si>
    <t>20250218</t>
  </si>
  <si>
    <t>000,024.63</t>
  </si>
  <si>
    <t>107865749-SU-RYAN J CALTAGIRONE</t>
  </si>
  <si>
    <t>000920730191</t>
  </si>
  <si>
    <t>NALLY, ROGER</t>
  </si>
  <si>
    <t>20150101</t>
  </si>
  <si>
    <t>123</t>
  </si>
  <si>
    <t>107865749</t>
  </si>
  <si>
    <t>IB1500</t>
  </si>
  <si>
    <t>000920749347</t>
  </si>
  <si>
    <t>ROMERO-PEREZ, ROBERTO</t>
  </si>
  <si>
    <t>000920830927</t>
  </si>
  <si>
    <t>RICCHIUTO, PATRICK</t>
  </si>
  <si>
    <t>000920903863</t>
  </si>
  <si>
    <t>HILL, WAYNE</t>
  </si>
  <si>
    <t>20140501</t>
  </si>
  <si>
    <t>131</t>
  </si>
  <si>
    <t>000920955115</t>
  </si>
  <si>
    <t>SODA, TARA</t>
  </si>
  <si>
    <t>20141001</t>
  </si>
  <si>
    <t>126</t>
  </si>
  <si>
    <t>DI2532</t>
  </si>
  <si>
    <t>000,035.73</t>
  </si>
  <si>
    <t>000,001.43</t>
  </si>
  <si>
    <t>000920981701</t>
  </si>
  <si>
    <t>HEFTER, MICHAEL</t>
  </si>
  <si>
    <t>20220401</t>
  </si>
  <si>
    <t>036</t>
  </si>
  <si>
    <t>000920981974</t>
  </si>
  <si>
    <t>CURA, LINDA</t>
  </si>
  <si>
    <t>000921022638</t>
  </si>
  <si>
    <t>PISTORIUS, BRIAN</t>
  </si>
  <si>
    <t>000921035908</t>
  </si>
  <si>
    <t>HEWING, JOSEPH</t>
  </si>
  <si>
    <t>000921183633</t>
  </si>
  <si>
    <t>MALONE, JOANNE</t>
  </si>
  <si>
    <t>000921481823</t>
  </si>
  <si>
    <t>GAULRAPP, ROBERT</t>
  </si>
  <si>
    <t>20190901</t>
  </si>
  <si>
    <t>067</t>
  </si>
  <si>
    <t>4</t>
  </si>
  <si>
    <t>000921505326</t>
  </si>
  <si>
    <t>LEUZZI, PETER</t>
  </si>
  <si>
    <t>063</t>
  </si>
  <si>
    <t>000,100.00</t>
  </si>
  <si>
    <t>000921525444</t>
  </si>
  <si>
    <t>COPPLE, KATHRYN</t>
  </si>
  <si>
    <t>20200701</t>
  </si>
  <si>
    <t>057</t>
  </si>
  <si>
    <t>000921537221</t>
  </si>
  <si>
    <t>SKRZYPCZYNSKI, KAREN</t>
  </si>
  <si>
    <t>000921537558</t>
  </si>
  <si>
    <t>PATI, BISWAJIT</t>
  </si>
  <si>
    <t>000921539279</t>
  </si>
  <si>
    <t>PROZ-OZINGA, AMY</t>
  </si>
  <si>
    <t>000921571971</t>
  </si>
  <si>
    <t>ESTRADA, MIGUEL</t>
  </si>
  <si>
    <t>000921571977</t>
  </si>
  <si>
    <t>MIKULA, MARK</t>
  </si>
  <si>
    <t>000921574576</t>
  </si>
  <si>
    <t>BURKE, LISA</t>
  </si>
  <si>
    <t>000,080.00</t>
  </si>
  <si>
    <t>000921582367</t>
  </si>
  <si>
    <t>CONWAY, MARTIN</t>
  </si>
  <si>
    <t>20220601</t>
  </si>
  <si>
    <t>034</t>
  </si>
  <si>
    <t>033</t>
  </si>
  <si>
    <t>000921592861</t>
  </si>
  <si>
    <t>GOLD, DYLAN</t>
  </si>
  <si>
    <t>000921624310</t>
  </si>
  <si>
    <t>MEHAFFEY, LANCE</t>
  </si>
  <si>
    <t>20221101</t>
  </si>
  <si>
    <t>029</t>
  </si>
  <si>
    <t>000921625249</t>
  </si>
  <si>
    <t>SIEROCKI, JOSEPH</t>
  </si>
  <si>
    <t>000921628689</t>
  </si>
  <si>
    <t>SCHNEIDER, JULIE</t>
  </si>
  <si>
    <t>000921663446</t>
  </si>
  <si>
    <t>BRUMFIELD, HARRIS</t>
  </si>
  <si>
    <t>20230701</t>
  </si>
  <si>
    <t>021</t>
  </si>
  <si>
    <t>000921677876</t>
  </si>
  <si>
    <t>PANE, DOMINICK</t>
  </si>
  <si>
    <t>000921685178</t>
  </si>
  <si>
    <t>DODARO, JOSEPH</t>
  </si>
  <si>
    <t>000921688598</t>
  </si>
  <si>
    <t>VELINO, PHILLIP</t>
  </si>
  <si>
    <t>000921707153</t>
  </si>
  <si>
    <t>WILLER, MARK</t>
  </si>
  <si>
    <t>000921712494</t>
  </si>
  <si>
    <t>BUSTOS, JACOB</t>
  </si>
  <si>
    <t>000921729226</t>
  </si>
  <si>
    <t>SCHASSLER, DYLAN</t>
  </si>
  <si>
    <t>000921741288</t>
  </si>
  <si>
    <t>CRYDER, KYLER</t>
  </si>
  <si>
    <t>000921743524</t>
  </si>
  <si>
    <t>SHALLCROSS, THOMAS</t>
  </si>
  <si>
    <t>000921746658</t>
  </si>
  <si>
    <t>PARHAM, KRISTEN</t>
  </si>
  <si>
    <t>000921748122</t>
  </si>
  <si>
    <t>MOJICA WEEMS, CLAUDIA</t>
  </si>
  <si>
    <t>000921753790</t>
  </si>
  <si>
    <t>JENSEN, EDWINA</t>
  </si>
  <si>
    <t>000921775979</t>
  </si>
  <si>
    <t>SHUMAN, CHRISTOPHER</t>
  </si>
  <si>
    <t>107874335-SU-EUGENE DANIEL ZANGARI</t>
  </si>
  <si>
    <t>000921667063</t>
  </si>
  <si>
    <t>TEAGUE, SABRINA</t>
  </si>
  <si>
    <t>107874335</t>
  </si>
  <si>
    <t>DI1541</t>
  </si>
  <si>
    <t>000,019.52</t>
  </si>
  <si>
    <t>000,001.17</t>
  </si>
  <si>
    <t>000921679661</t>
  </si>
  <si>
    <t>DICK, MONTANA</t>
  </si>
  <si>
    <t>107877777-SU-COLLEEN J FINNIGAN</t>
  </si>
  <si>
    <t>000890008999</t>
  </si>
  <si>
    <t>DEFILIPPIS, FRANK</t>
  </si>
  <si>
    <t>107877777</t>
  </si>
  <si>
    <t>000,107.02</t>
  </si>
  <si>
    <t>000,004.28</t>
  </si>
  <si>
    <t>000890172002</t>
  </si>
  <si>
    <t>EKINS, NANCY</t>
  </si>
  <si>
    <t>000890328011</t>
  </si>
  <si>
    <t>FARRIS, LISA</t>
  </si>
  <si>
    <t>000890666927</t>
  </si>
  <si>
    <t>PAULIUS, VILIJA</t>
  </si>
  <si>
    <t>087</t>
  </si>
  <si>
    <t>000920740081</t>
  </si>
  <si>
    <t>FRANCIS, ADAM</t>
  </si>
  <si>
    <t>000920781642</t>
  </si>
  <si>
    <t>GEORGEAN, JOHN</t>
  </si>
  <si>
    <t>20140201</t>
  </si>
  <si>
    <t>133</t>
  </si>
  <si>
    <t>5-</t>
  </si>
  <si>
    <t>000920811116</t>
  </si>
  <si>
    <t>FUSHI, GEORGE</t>
  </si>
  <si>
    <t>000,125.00-</t>
  </si>
  <si>
    <t>000920843306</t>
  </si>
  <si>
    <t>MARSH, DIANE</t>
  </si>
  <si>
    <t>20140401</t>
  </si>
  <si>
    <t>132</t>
  </si>
  <si>
    <t>000920870350</t>
  </si>
  <si>
    <t>FINNIGAN, COLLEEN</t>
  </si>
  <si>
    <t>20180601</t>
  </si>
  <si>
    <t>082</t>
  </si>
  <si>
    <t>000920936858</t>
  </si>
  <si>
    <t>FLORES, TONI</t>
  </si>
  <si>
    <t>000921022343</t>
  </si>
  <si>
    <t>JOERGENS, JANICE</t>
  </si>
  <si>
    <t>DI2542</t>
  </si>
  <si>
    <t>000,023.98</t>
  </si>
  <si>
    <t>000,000.96</t>
  </si>
  <si>
    <t>000921065097</t>
  </si>
  <si>
    <t>BAJIC, BILJANA</t>
  </si>
  <si>
    <t>20150201</t>
  </si>
  <si>
    <t>122</t>
  </si>
  <si>
    <t>DI1531</t>
  </si>
  <si>
    <t>000,002.14</t>
  </si>
  <si>
    <t>000921101342</t>
  </si>
  <si>
    <t>KEZDI-HAMZELOO, LAURA</t>
  </si>
  <si>
    <t>000921149201</t>
  </si>
  <si>
    <t>BROOKS, MICHELLE</t>
  </si>
  <si>
    <t>20200901</t>
  </si>
  <si>
    <t>055</t>
  </si>
  <si>
    <t>000921168158</t>
  </si>
  <si>
    <t>RAMOS, VINCE</t>
  </si>
  <si>
    <t>000921194798</t>
  </si>
  <si>
    <t>MCCARRON, MARIA</t>
  </si>
  <si>
    <t>20231101</t>
  </si>
  <si>
    <t>017</t>
  </si>
  <si>
    <t>000921271595</t>
  </si>
  <si>
    <t>POPP, HALEY</t>
  </si>
  <si>
    <t>022</t>
  </si>
  <si>
    <t>000921421818</t>
  </si>
  <si>
    <t>RICHARDSON, JACQUELYNN</t>
  </si>
  <si>
    <t>20191001</t>
  </si>
  <si>
    <t>066</t>
  </si>
  <si>
    <t>000921529579</t>
  </si>
  <si>
    <t>TOLLARD, DELBERT</t>
  </si>
  <si>
    <t>054</t>
  </si>
  <si>
    <t>000921532153</t>
  </si>
  <si>
    <t>FUSHI, SUZANNE</t>
  </si>
  <si>
    <t>000921533063</t>
  </si>
  <si>
    <t>EXTROM, SAMANTHA</t>
  </si>
  <si>
    <t>000921542300</t>
  </si>
  <si>
    <t>GARCIA, RICHARD</t>
  </si>
  <si>
    <t>000921566327</t>
  </si>
  <si>
    <t>FREDRICK, MICHAEL</t>
  </si>
  <si>
    <t>000921570655</t>
  </si>
  <si>
    <t>VOLPE, MICHAEL</t>
  </si>
  <si>
    <t>000921571517</t>
  </si>
  <si>
    <t>TARALLO, VITO</t>
  </si>
  <si>
    <t>000921587253</t>
  </si>
  <si>
    <t>KNAPCIK, MEGAN</t>
  </si>
  <si>
    <t>000921588661</t>
  </si>
  <si>
    <t>HEINTZE, STACIE</t>
  </si>
  <si>
    <t>000921593368</t>
  </si>
  <si>
    <t>SANSONE, JAMES</t>
  </si>
  <si>
    <t>000921613688</t>
  </si>
  <si>
    <t>COOK, LAURA</t>
  </si>
  <si>
    <t>000921616642</t>
  </si>
  <si>
    <t>WALSH, PETER</t>
  </si>
  <si>
    <t>20220701</t>
  </si>
  <si>
    <t>000921641428</t>
  </si>
  <si>
    <t>IRPINO, CATHERINE</t>
  </si>
  <si>
    <t>000921656679</t>
  </si>
  <si>
    <t>RATHKE, CAROLYN</t>
  </si>
  <si>
    <t>000921662308</t>
  </si>
  <si>
    <t>PANTALEO, VALERIE</t>
  </si>
  <si>
    <t>000921662432</t>
  </si>
  <si>
    <t>COLEMAN, CEDRIC</t>
  </si>
  <si>
    <t>000921703384</t>
  </si>
  <si>
    <t>PACK, GABRIEL</t>
  </si>
  <si>
    <t>000921715790</t>
  </si>
  <si>
    <t>MEADOWS, KEVIN</t>
  </si>
  <si>
    <t>IG1801</t>
  </si>
  <si>
    <t>000921734761</t>
  </si>
  <si>
    <t>GAGLIARDOTTO, DOMINIC</t>
  </si>
  <si>
    <t>000921738200</t>
  </si>
  <si>
    <t>TARALLO, THOMAS</t>
  </si>
  <si>
    <t>000921751990</t>
  </si>
  <si>
    <t>MCGUIRK, HUGH</t>
  </si>
  <si>
    <t>000921753579</t>
  </si>
  <si>
    <t>TURSKEY, SUSAN</t>
  </si>
  <si>
    <t>000921778314</t>
  </si>
  <si>
    <t>WOJCIECHOWSKI, MICHAEL</t>
  </si>
  <si>
    <t>000921779887</t>
  </si>
  <si>
    <t>RANSOME MILLER, JIANNI</t>
  </si>
  <si>
    <t>107879365-SU-MICHELA ROZMAN</t>
  </si>
  <si>
    <t>000921611719</t>
  </si>
  <si>
    <t>MATTERN, MATHIAS</t>
  </si>
  <si>
    <t>20220301</t>
  </si>
  <si>
    <t>037</t>
  </si>
  <si>
    <t>107879365</t>
  </si>
  <si>
    <t>107888445-SU-MATTHEW DAUGHERTY</t>
  </si>
  <si>
    <t>000920723118</t>
  </si>
  <si>
    <t>CROSSETT, DEANNA</t>
  </si>
  <si>
    <t>20140101</t>
  </si>
  <si>
    <t>135</t>
  </si>
  <si>
    <t>107888445</t>
  </si>
  <si>
    <t>107928670-SU-TIMOTHY HODGMAN</t>
  </si>
  <si>
    <t>069121</t>
  </si>
  <si>
    <t>000804490522</t>
  </si>
  <si>
    <t>STUENKEL, THOMAS</t>
  </si>
  <si>
    <t>107928670</t>
  </si>
  <si>
    <t>000890147974</t>
  </si>
  <si>
    <t>JOHNSON, RONALD</t>
  </si>
  <si>
    <t>000921487022</t>
  </si>
  <si>
    <t>GOSS, TIMOTHY</t>
  </si>
  <si>
    <t>20191101</t>
  </si>
  <si>
    <t>065</t>
  </si>
  <si>
    <t>064</t>
  </si>
  <si>
    <t>000921635724</t>
  </si>
  <si>
    <t>FISCHER, STEVEN</t>
  </si>
  <si>
    <t>000921708287</t>
  </si>
  <si>
    <t>TEKAMPE, DANIELLE</t>
  </si>
  <si>
    <t>IB1501</t>
  </si>
  <si>
    <t>000921774098</t>
  </si>
  <si>
    <t>STRUCHEN, KELSEY</t>
  </si>
  <si>
    <t>107928688-SU-GARY PORTUGAL</t>
  </si>
  <si>
    <t>069995</t>
  </si>
  <si>
    <t>000808526068</t>
  </si>
  <si>
    <t>BERNARDO, KEN</t>
  </si>
  <si>
    <t>000,051.30</t>
  </si>
  <si>
    <t>PD2</t>
  </si>
  <si>
    <t>107928688</t>
  </si>
  <si>
    <t>000808534987</t>
  </si>
  <si>
    <t>FINK, GAIL</t>
  </si>
  <si>
    <t>PDP</t>
  </si>
  <si>
    <t>000890120981</t>
  </si>
  <si>
    <t>EATON, KRISTIN</t>
  </si>
  <si>
    <t>000890206999</t>
  </si>
  <si>
    <t>HUSKE, DORIAN</t>
  </si>
  <si>
    <t>000890254820</t>
  </si>
  <si>
    <t>KAPLAN, KAREN</t>
  </si>
  <si>
    <t>000890371264</t>
  </si>
  <si>
    <t>BRODY, STEVEN</t>
  </si>
  <si>
    <t>000890657597</t>
  </si>
  <si>
    <t>BARRETO, YASER</t>
  </si>
  <si>
    <t>000920731496</t>
  </si>
  <si>
    <t>COHEN, STEVEN</t>
  </si>
  <si>
    <t>000920753040</t>
  </si>
  <si>
    <t>CLANTON, JUANITA</t>
  </si>
  <si>
    <t>000920756130</t>
  </si>
  <si>
    <t>HARMS, GREGORY</t>
  </si>
  <si>
    <t>000920842042</t>
  </si>
  <si>
    <t>BOONE, ERIN</t>
  </si>
  <si>
    <t>000920843183</t>
  </si>
  <si>
    <t>YUNKER, MARY</t>
  </si>
  <si>
    <t>000920856141</t>
  </si>
  <si>
    <t>TRAN, NHI</t>
  </si>
  <si>
    <t>000920869620</t>
  </si>
  <si>
    <t>VONDRASEK, THOMAS</t>
  </si>
  <si>
    <t>000920901616</t>
  </si>
  <si>
    <t>ARUNASALAM, NEHRU</t>
  </si>
  <si>
    <t>000920933743</t>
  </si>
  <si>
    <t>MADENBERG, ANDREW</t>
  </si>
  <si>
    <t>000920983142</t>
  </si>
  <si>
    <t>PATEL, SURESHKUMAR</t>
  </si>
  <si>
    <t>000921014126</t>
  </si>
  <si>
    <t>GLAYSHER, ROBERT</t>
  </si>
  <si>
    <t>000921034787</t>
  </si>
  <si>
    <t>CAPLAN, DAVID</t>
  </si>
  <si>
    <t>000921086560</t>
  </si>
  <si>
    <t>KULIK JOHNSON, EVA</t>
  </si>
  <si>
    <t>000921106627</t>
  </si>
  <si>
    <t>MOORE, MITCHELL</t>
  </si>
  <si>
    <t>20150701</t>
  </si>
  <si>
    <t>117</t>
  </si>
  <si>
    <t>000921123556</t>
  </si>
  <si>
    <t>TAC, MARIOLA</t>
  </si>
  <si>
    <t>000921238046</t>
  </si>
  <si>
    <t>WENBERG, KAREN</t>
  </si>
  <si>
    <t>000921244967</t>
  </si>
  <si>
    <t>BEAULIEU, GABRIELA</t>
  </si>
  <si>
    <t>000921264987</t>
  </si>
  <si>
    <t>ORTHEY, THOMAS</t>
  </si>
  <si>
    <t>000921296122</t>
  </si>
  <si>
    <t>BANKER, RUPESH</t>
  </si>
  <si>
    <t>000921302645</t>
  </si>
  <si>
    <t>SPENCE, JENNIFER</t>
  </si>
  <si>
    <t>000921309084</t>
  </si>
  <si>
    <t>STERGIOU, JOHN</t>
  </si>
  <si>
    <t>000921312795</t>
  </si>
  <si>
    <t>LEWIS, JAIME</t>
  </si>
  <si>
    <t>000921321833</t>
  </si>
  <si>
    <t>PESINA, MARLON JOE</t>
  </si>
  <si>
    <t>000921337456</t>
  </si>
  <si>
    <t>VARGAS, DANIEL</t>
  </si>
  <si>
    <t>20170201</t>
  </si>
  <si>
    <t>098</t>
  </si>
  <si>
    <t>000921337457</t>
  </si>
  <si>
    <t>VARGAS, ELPIDIO</t>
  </si>
  <si>
    <t>000921339940</t>
  </si>
  <si>
    <t>WEAVER, MATTHEW</t>
  </si>
  <si>
    <t>000921343338</t>
  </si>
  <si>
    <t>SINGH, PRABHJOT</t>
  </si>
  <si>
    <t>20170301</t>
  </si>
  <si>
    <t>097</t>
  </si>
  <si>
    <t>000921344567</t>
  </si>
  <si>
    <t>SCHULTZ, LISA</t>
  </si>
  <si>
    <t>000921347604</t>
  </si>
  <si>
    <t>ALPER, MARK</t>
  </si>
  <si>
    <t>000921368213</t>
  </si>
  <si>
    <t>NAKHLEH, SIHAM</t>
  </si>
  <si>
    <t>000921372246</t>
  </si>
  <si>
    <t>EAVES, BRIAN</t>
  </si>
  <si>
    <t>000,025.00-</t>
  </si>
  <si>
    <t>000921377954</t>
  </si>
  <si>
    <t>MONTOYA, JOSE</t>
  </si>
  <si>
    <t>000921387647</t>
  </si>
  <si>
    <t>BEKOE, FLORENCE</t>
  </si>
  <si>
    <t>000,029.75</t>
  </si>
  <si>
    <t>000,001.19</t>
  </si>
  <si>
    <t>000921394151</t>
  </si>
  <si>
    <t>JAIME, EDUARDO</t>
  </si>
  <si>
    <t>000921407195</t>
  </si>
  <si>
    <t>GOTTLIEB, DIANE</t>
  </si>
  <si>
    <t>000921431227</t>
  </si>
  <si>
    <t>TENZINGER, DIANE</t>
  </si>
  <si>
    <t>20231201</t>
  </si>
  <si>
    <t>016</t>
  </si>
  <si>
    <t>000921476427</t>
  </si>
  <si>
    <t>SOWLAT, IRIS</t>
  </si>
  <si>
    <t>000921489948</t>
  </si>
  <si>
    <t>HNAT, SANDRA</t>
  </si>
  <si>
    <t>000921491009</t>
  </si>
  <si>
    <t>LEHRMAN, ROSS</t>
  </si>
  <si>
    <t>20191201</t>
  </si>
  <si>
    <t>000921491139</t>
  </si>
  <si>
    <t>KOLOMS, SARAH</t>
  </si>
  <si>
    <t>20200201</t>
  </si>
  <si>
    <t>000921496727</t>
  </si>
  <si>
    <t>LINDSEY, DARRELL</t>
  </si>
  <si>
    <t>000921496742</t>
  </si>
  <si>
    <t>MULANI, ASIYA</t>
  </si>
  <si>
    <t>000921502674</t>
  </si>
  <si>
    <t>CISNEROS, ALEX</t>
  </si>
  <si>
    <t>000921510733</t>
  </si>
  <si>
    <t>STEEN, MARGARET</t>
  </si>
  <si>
    <t>000921525689</t>
  </si>
  <si>
    <t>BEVERLEY, AMANDA</t>
  </si>
  <si>
    <t>000921537511</t>
  </si>
  <si>
    <t>BATKA, KATHLEEN</t>
  </si>
  <si>
    <t>000921540812</t>
  </si>
  <si>
    <t>JOHNSON, HEATHER</t>
  </si>
  <si>
    <t>038</t>
  </si>
  <si>
    <t>000921542136</t>
  </si>
  <si>
    <t>HERMODSON, STUART</t>
  </si>
  <si>
    <t>000921554788</t>
  </si>
  <si>
    <t>COLEMAN, JALEN</t>
  </si>
  <si>
    <t>000921563142</t>
  </si>
  <si>
    <t>HARRIS, GLORIA</t>
  </si>
  <si>
    <t>20210401</t>
  </si>
  <si>
    <t>000921566860</t>
  </si>
  <si>
    <t>ANDERSON, EDNALYN</t>
  </si>
  <si>
    <t>000921568641</t>
  </si>
  <si>
    <t>MARTINEZ, BRANDON</t>
  </si>
  <si>
    <t>000921571775</t>
  </si>
  <si>
    <t>INCISI, AUGENIJA</t>
  </si>
  <si>
    <t>000921576876</t>
  </si>
  <si>
    <t>OLKER, DALE</t>
  </si>
  <si>
    <t>000921576971</t>
  </si>
  <si>
    <t>SINGH, MANDEEP</t>
  </si>
  <si>
    <t>000921581876</t>
  </si>
  <si>
    <t>WARD, JESSE</t>
  </si>
  <si>
    <t>000921587989</t>
  </si>
  <si>
    <t>WILBERG, KAREN</t>
  </si>
  <si>
    <t>000921595294</t>
  </si>
  <si>
    <t>HNAT, TYLER</t>
  </si>
  <si>
    <t>000921596021</t>
  </si>
  <si>
    <t>HUDSON, WILLIAM</t>
  </si>
  <si>
    <t>000921597480</t>
  </si>
  <si>
    <t>PATEL, NILAM</t>
  </si>
  <si>
    <t>000921599923</t>
  </si>
  <si>
    <t>GLICKMAN, KATE</t>
  </si>
  <si>
    <t>000921602893</t>
  </si>
  <si>
    <t>PATTISON, TIMOTHY</t>
  </si>
  <si>
    <t>20220201</t>
  </si>
  <si>
    <t>000921609449</t>
  </si>
  <si>
    <t>SILVA, TERESA</t>
  </si>
  <si>
    <t>000921612575</t>
  </si>
  <si>
    <t>KOZIOL, JOSHUA</t>
  </si>
  <si>
    <t>20220501</t>
  </si>
  <si>
    <t>035</t>
  </si>
  <si>
    <t>000921613480</t>
  </si>
  <si>
    <t>MONTOYA, JOHANNA</t>
  </si>
  <si>
    <t>000921618235</t>
  </si>
  <si>
    <t>RHYNER, MARTA</t>
  </si>
  <si>
    <t>000921621668</t>
  </si>
  <si>
    <t>BIGALKE, JULIE</t>
  </si>
  <si>
    <t>000921622438</t>
  </si>
  <si>
    <t>GARDNER, GINA</t>
  </si>
  <si>
    <t>000921626737</t>
  </si>
  <si>
    <t>CHAO, JOSE</t>
  </si>
  <si>
    <t>000921627135</t>
  </si>
  <si>
    <t>PITARGUE, IMELDA</t>
  </si>
  <si>
    <t>000921627521</t>
  </si>
  <si>
    <t>FRIED, JEFFERY</t>
  </si>
  <si>
    <t>000921629608</t>
  </si>
  <si>
    <t>SILVERSTEIN, MITCHELL</t>
  </si>
  <si>
    <t>000921644790</t>
  </si>
  <si>
    <t>VARGAS, ANGEL</t>
  </si>
  <si>
    <t>000921646053</t>
  </si>
  <si>
    <t>BOYLE, GREGORY</t>
  </si>
  <si>
    <t>000921647863</t>
  </si>
  <si>
    <t>GALICIA SALAS, MARIA</t>
  </si>
  <si>
    <t>000921659289</t>
  </si>
  <si>
    <t>VAVRINCHIK, PAUL</t>
  </si>
  <si>
    <t>20230601</t>
  </si>
  <si>
    <t>000921663223</t>
  </si>
  <si>
    <t>BUOSCIO, SUSAN</t>
  </si>
  <si>
    <t>000921667480</t>
  </si>
  <si>
    <t>LOOD, JANA</t>
  </si>
  <si>
    <t>000921668515</t>
  </si>
  <si>
    <t>GOLDFARB, JORDAN</t>
  </si>
  <si>
    <t>000921672098</t>
  </si>
  <si>
    <t>SCARBRO, ARTHUR</t>
  </si>
  <si>
    <t>20231001</t>
  </si>
  <si>
    <t>018</t>
  </si>
  <si>
    <t>000921676193</t>
  </si>
  <si>
    <t>HOLDEN, ALEXIS</t>
  </si>
  <si>
    <t>20231004</t>
  </si>
  <si>
    <t>000921676615</t>
  </si>
  <si>
    <t>LOPEZ, LAURA</t>
  </si>
  <si>
    <t>20230930</t>
  </si>
  <si>
    <t>000921680588</t>
  </si>
  <si>
    <t>MAY, THOMAS</t>
  </si>
  <si>
    <t>000921680843</t>
  </si>
  <si>
    <t>KALDIS, CHRISTOS</t>
  </si>
  <si>
    <t>000921686718</t>
  </si>
  <si>
    <t>SANSWEET, MICHAEL</t>
  </si>
  <si>
    <t>000921701460</t>
  </si>
  <si>
    <t>KONTOPOULOS, PETER</t>
  </si>
  <si>
    <t>000921703386</t>
  </si>
  <si>
    <t>MOJICA, DOMINIC</t>
  </si>
  <si>
    <t>000921712325</t>
  </si>
  <si>
    <t>BERNARDO, JASON</t>
  </si>
  <si>
    <t>000921714710</t>
  </si>
  <si>
    <t>RYHERD, LORETTA</t>
  </si>
  <si>
    <t>000921715402</t>
  </si>
  <si>
    <t>FRANCO, HENRY</t>
  </si>
  <si>
    <t>000921733363</t>
  </si>
  <si>
    <t>MILLER, SANDRA</t>
  </si>
  <si>
    <t>000921747583</t>
  </si>
  <si>
    <t>KOTI, IBOLYA</t>
  </si>
  <si>
    <t>000921752169</t>
  </si>
  <si>
    <t>NGUYEN, LIEN</t>
  </si>
  <si>
    <t>000921753145</t>
  </si>
  <si>
    <t>EATON, EMMA</t>
  </si>
  <si>
    <t>000921753401</t>
  </si>
  <si>
    <t>DANIEL, NORA</t>
  </si>
  <si>
    <t>000921755338</t>
  </si>
  <si>
    <t>SINGH, JASKIRAT</t>
  </si>
  <si>
    <t>000921755413</t>
  </si>
  <si>
    <t>CAPEK, MATTHEW</t>
  </si>
  <si>
    <t>000921755738</t>
  </si>
  <si>
    <t>SCHOENEMAN, MICHELE</t>
  </si>
  <si>
    <t>000921756621</t>
  </si>
  <si>
    <t>KONTOPOULOS, KIM</t>
  </si>
  <si>
    <t>000921757164</t>
  </si>
  <si>
    <t>FINK, ELLIOT</t>
  </si>
  <si>
    <t>000921758847</t>
  </si>
  <si>
    <t>ZAWACKI, ANDREW</t>
  </si>
  <si>
    <t>000921759382</t>
  </si>
  <si>
    <t>FINK, ETHAN</t>
  </si>
  <si>
    <t>000921763994</t>
  </si>
  <si>
    <t>BIELSKI, AMELIA</t>
  </si>
  <si>
    <t>000921768367</t>
  </si>
  <si>
    <t>VOLLMANN, ALLISON</t>
  </si>
  <si>
    <t>000921773766</t>
  </si>
  <si>
    <t>PHILLIPS, MICHAEL</t>
  </si>
  <si>
    <t>000924089354</t>
  </si>
  <si>
    <t>STEVENS, ANTHONY</t>
  </si>
  <si>
    <t>000957132147</t>
  </si>
  <si>
    <t>WEBB, WILLIAM</t>
  </si>
  <si>
    <t>000,352.54</t>
  </si>
  <si>
    <t>20250315</t>
  </si>
  <si>
    <t>20241015</t>
  </si>
  <si>
    <t>ME8</t>
  </si>
  <si>
    <t>0.0500</t>
  </si>
  <si>
    <t>000,017.63</t>
  </si>
  <si>
    <t>000957132161</t>
  </si>
  <si>
    <t>WEBB, CAROL</t>
  </si>
  <si>
    <t>000,255.25</t>
  </si>
  <si>
    <t>000,025.53</t>
  </si>
  <si>
    <t>000957180862</t>
  </si>
  <si>
    <t>MILLER, MARGO</t>
  </si>
  <si>
    <t>000,203.74</t>
  </si>
  <si>
    <t>20250327</t>
  </si>
  <si>
    <t>20240727</t>
  </si>
  <si>
    <t>000,020.37</t>
  </si>
  <si>
    <t>IST30P</t>
  </si>
  <si>
    <t>000957183406</t>
  </si>
  <si>
    <t>REARDON, LAURA</t>
  </si>
  <si>
    <t>000,153.68</t>
  </si>
  <si>
    <t>000,015.37</t>
  </si>
  <si>
    <t>000957189455</t>
  </si>
  <si>
    <t>ROVELL, LAURIE</t>
  </si>
  <si>
    <t>000,220.05</t>
  </si>
  <si>
    <t>000,022.01</t>
  </si>
  <si>
    <t>000957192789</t>
  </si>
  <si>
    <t>000,153.24</t>
  </si>
  <si>
    <t>000,015.32</t>
  </si>
  <si>
    <t>000957196513</t>
  </si>
  <si>
    <t>ANGELETOS, HELEN</t>
  </si>
  <si>
    <t>000,329.94</t>
  </si>
  <si>
    <t>20250322</t>
  </si>
  <si>
    <t>20241122</t>
  </si>
  <si>
    <t>000,016.50</t>
  </si>
  <si>
    <t>IST31U</t>
  </si>
  <si>
    <t>000957198166</t>
  </si>
  <si>
    <t>WHEELER, SHIRLEY</t>
  </si>
  <si>
    <t>000,296.52</t>
  </si>
  <si>
    <t>ML8</t>
  </si>
  <si>
    <t>0.0900</t>
  </si>
  <si>
    <t>000,026.69</t>
  </si>
  <si>
    <t>000957201165</t>
  </si>
  <si>
    <t>ZIMMERMAN, DON</t>
  </si>
  <si>
    <t>000,226.47</t>
  </si>
  <si>
    <t>000,022.65</t>
  </si>
  <si>
    <t>000957201189</t>
  </si>
  <si>
    <t>000957202818</t>
  </si>
  <si>
    <t>DEFIGLIO, PETER</t>
  </si>
  <si>
    <t>000,181.94</t>
  </si>
  <si>
    <t>0.1250</t>
  </si>
  <si>
    <t>000,022.74</t>
  </si>
  <si>
    <t>000957202929</t>
  </si>
  <si>
    <t>ARENSON, SUSAN</t>
  </si>
  <si>
    <t>000,136.89</t>
  </si>
  <si>
    <t>000,017.11</t>
  </si>
  <si>
    <t>IST34U</t>
  </si>
  <si>
    <t>000957204785</t>
  </si>
  <si>
    <t>AGREST, GLENN</t>
  </si>
  <si>
    <t>000,182.37</t>
  </si>
  <si>
    <t>MLD</t>
  </si>
  <si>
    <t>0.2050</t>
  </si>
  <si>
    <t>000,037.39</t>
  </si>
  <si>
    <t>107928695-SU-ANDREW J CHOI</t>
  </si>
  <si>
    <t>000808522682</t>
  </si>
  <si>
    <t>ATKINS, DAVID</t>
  </si>
  <si>
    <t>107928695</t>
  </si>
  <si>
    <t>000890162118</t>
  </si>
  <si>
    <t>SAUERMAN, CLARA</t>
  </si>
  <si>
    <t>000890198388</t>
  </si>
  <si>
    <t>PALOIAN, DEANNA</t>
  </si>
  <si>
    <t>000920718654</t>
  </si>
  <si>
    <t>LIAO, ANGEL</t>
  </si>
  <si>
    <t>000920731862</t>
  </si>
  <si>
    <t>BALMACEDA, DOROTHY JOY</t>
  </si>
  <si>
    <t>134</t>
  </si>
  <si>
    <t>000920738743</t>
  </si>
  <si>
    <t>SIT, ANDREW</t>
  </si>
  <si>
    <t>000920747374</t>
  </si>
  <si>
    <t>SAKANOVIC, SALIH</t>
  </si>
  <si>
    <t>000920799638</t>
  </si>
  <si>
    <t>BERRENS, ODALYS</t>
  </si>
  <si>
    <t>20140301</t>
  </si>
  <si>
    <t>000920802168</t>
  </si>
  <si>
    <t>ADENIYI, ADEDAYO</t>
  </si>
  <si>
    <t>048</t>
  </si>
  <si>
    <t>000920806107</t>
  </si>
  <si>
    <t>KITTLAUS, ERIK</t>
  </si>
  <si>
    <t>20230401</t>
  </si>
  <si>
    <t>024</t>
  </si>
  <si>
    <t>000920807657</t>
  </si>
  <si>
    <t>RAJU, RAVENDER</t>
  </si>
  <si>
    <t>000920823109</t>
  </si>
  <si>
    <t>CURNOW, MICHAEL</t>
  </si>
  <si>
    <t>000920829633</t>
  </si>
  <si>
    <t>MANDALIOS, EMILIOS</t>
  </si>
  <si>
    <t>000920832176</t>
  </si>
  <si>
    <t>RODRIGUEZ, JESUS</t>
  </si>
  <si>
    <t>000920838667</t>
  </si>
  <si>
    <t>RATH, GARY</t>
  </si>
  <si>
    <t>000920858983</t>
  </si>
  <si>
    <t>BORAGAY, RAMIL</t>
  </si>
  <si>
    <t>000920947451</t>
  </si>
  <si>
    <t>HAXHI, ANDREA</t>
  </si>
  <si>
    <t>20160701</t>
  </si>
  <si>
    <t>105</t>
  </si>
  <si>
    <t>000920981538</t>
  </si>
  <si>
    <t>KELSH, MATTHEW</t>
  </si>
  <si>
    <t>000921014166</t>
  </si>
  <si>
    <t>LEISER, JOEY</t>
  </si>
  <si>
    <t>000921014688</t>
  </si>
  <si>
    <t>CROCKETT, REBECCA</t>
  </si>
  <si>
    <t>IG1500</t>
  </si>
  <si>
    <t>000921020388</t>
  </si>
  <si>
    <t>RODICA, NICKIE</t>
  </si>
  <si>
    <t>000921027219</t>
  </si>
  <si>
    <t>RUIZ, ROSALINDA</t>
  </si>
  <si>
    <t>000921033394</t>
  </si>
  <si>
    <t>SECKINGER, ERIC</t>
  </si>
  <si>
    <t>000921034873</t>
  </si>
  <si>
    <t>RIVERA, NORA</t>
  </si>
  <si>
    <t>000921041648</t>
  </si>
  <si>
    <t>CAMARDELLA, ANDREW</t>
  </si>
  <si>
    <t>000921044357</t>
  </si>
  <si>
    <t>GOLDA, SUSAN</t>
  </si>
  <si>
    <t>000921063478</t>
  </si>
  <si>
    <t>TRIBUZIO, GIUSEPPE</t>
  </si>
  <si>
    <t>000921065609</t>
  </si>
  <si>
    <t>CONWAY, ROBERT</t>
  </si>
  <si>
    <t>000921172606</t>
  </si>
  <si>
    <t>CRESSY, LAURA</t>
  </si>
  <si>
    <t>000921179348</t>
  </si>
  <si>
    <t>CATANGAY, WENDEL</t>
  </si>
  <si>
    <t>000921184910</t>
  </si>
  <si>
    <t>DICKSON, JOANN</t>
  </si>
  <si>
    <t>000921284503</t>
  </si>
  <si>
    <t>CORONA, BLANCA</t>
  </si>
  <si>
    <t>000921285702</t>
  </si>
  <si>
    <t>FARRALES, JENNIFER</t>
  </si>
  <si>
    <t>000921296679</t>
  </si>
  <si>
    <t>SISCAR, RUBY</t>
  </si>
  <si>
    <t>000921307815</t>
  </si>
  <si>
    <t>KLUGA, KATIE</t>
  </si>
  <si>
    <t>000921309629</t>
  </si>
  <si>
    <t>PIOTROWSKI, LUCY</t>
  </si>
  <si>
    <t>000921334668</t>
  </si>
  <si>
    <t>HIRSCH, LINDA</t>
  </si>
  <si>
    <t>000921354467</t>
  </si>
  <si>
    <t>TOBIAS, ANNA MARIE</t>
  </si>
  <si>
    <t>20210921</t>
  </si>
  <si>
    <t>000921373822</t>
  </si>
  <si>
    <t>TUDOR, GEORGE</t>
  </si>
  <si>
    <t>000,045.00</t>
  </si>
  <si>
    <t>000921395518</t>
  </si>
  <si>
    <t>KAPPELMAN, KATHLEEN</t>
  </si>
  <si>
    <t>000921409379</t>
  </si>
  <si>
    <t>GAYONDATO, GLENN</t>
  </si>
  <si>
    <t>20180201</t>
  </si>
  <si>
    <t>000921423475</t>
  </si>
  <si>
    <t>NGUYEN, VAN</t>
  </si>
  <si>
    <t>000921428727</t>
  </si>
  <si>
    <t>NOVAK, AMALIJA</t>
  </si>
  <si>
    <t>000921434825</t>
  </si>
  <si>
    <t>LIAO, AMY</t>
  </si>
  <si>
    <t>000921455757</t>
  </si>
  <si>
    <t>MIRASOL, LEONIDAS</t>
  </si>
  <si>
    <t>000921477927</t>
  </si>
  <si>
    <t>HARMON, KIMBERLY</t>
  </si>
  <si>
    <t>20190701</t>
  </si>
  <si>
    <t>069</t>
  </si>
  <si>
    <t>000921493684</t>
  </si>
  <si>
    <t>MIFLORES, QUEENIE</t>
  </si>
  <si>
    <t>000921496655</t>
  </si>
  <si>
    <t>HOROWITZ, PETER</t>
  </si>
  <si>
    <t>IG1403</t>
  </si>
  <si>
    <t>000921498630</t>
  </si>
  <si>
    <t>ISIP, JEANNETTE</t>
  </si>
  <si>
    <t>000921513013</t>
  </si>
  <si>
    <t>KANG, KAN</t>
  </si>
  <si>
    <t>000921580384</t>
  </si>
  <si>
    <t>BAILEY, MARK</t>
  </si>
  <si>
    <t>000921584687</t>
  </si>
  <si>
    <t>BORS, MALGORZATA</t>
  </si>
  <si>
    <t>20211001</t>
  </si>
  <si>
    <t>042</t>
  </si>
  <si>
    <t>000921586066</t>
  </si>
  <si>
    <t>CONFORTI, CECYLIA</t>
  </si>
  <si>
    <t>000921586372</t>
  </si>
  <si>
    <t>PANATTONI, RENEE</t>
  </si>
  <si>
    <t>000921595571</t>
  </si>
  <si>
    <t>ZOMBORI, GABOR</t>
  </si>
  <si>
    <t>000921597719</t>
  </si>
  <si>
    <t>RANN, ERIKA</t>
  </si>
  <si>
    <t>000921601561</t>
  </si>
  <si>
    <t>CARNET, DANIEL</t>
  </si>
  <si>
    <t>000921611747</t>
  </si>
  <si>
    <t>YAWORSKI, ASHLEY</t>
  </si>
  <si>
    <t>000921618660</t>
  </si>
  <si>
    <t>LEE, NATHANIEL</t>
  </si>
  <si>
    <t>20220801</t>
  </si>
  <si>
    <t>032</t>
  </si>
  <si>
    <t>000921626460</t>
  </si>
  <si>
    <t>VICALDO, RIKKI LITO</t>
  </si>
  <si>
    <t>20221201</t>
  </si>
  <si>
    <t>028</t>
  </si>
  <si>
    <t>000921626562</t>
  </si>
  <si>
    <t>TULETT, DAHLIA</t>
  </si>
  <si>
    <t>000921626735</t>
  </si>
  <si>
    <t>SWIFT, CAMILLE</t>
  </si>
  <si>
    <t>000921626778</t>
  </si>
  <si>
    <t>WANER, JAMES</t>
  </si>
  <si>
    <t>000921626795</t>
  </si>
  <si>
    <t>VANDAM, ERIKA</t>
  </si>
  <si>
    <t>000921626814</t>
  </si>
  <si>
    <t>WANER, ERIC</t>
  </si>
  <si>
    <t>000921626899</t>
  </si>
  <si>
    <t>KOTARBA, ROCHELLE</t>
  </si>
  <si>
    <t>000921627905</t>
  </si>
  <si>
    <t>FOURTOUNIS, PETER</t>
  </si>
  <si>
    <t>000921638023</t>
  </si>
  <si>
    <t>TOBIAS, RACHAEL MARIE</t>
  </si>
  <si>
    <t>000921665213</t>
  </si>
  <si>
    <t>BENNETT, GABRIELLE</t>
  </si>
  <si>
    <t>000921665441</t>
  </si>
  <si>
    <t>NOWAKOWSKI, KIMBERLY</t>
  </si>
  <si>
    <t>000921669678</t>
  </si>
  <si>
    <t>DESALVIO, SARAH</t>
  </si>
  <si>
    <t>000921671193</t>
  </si>
  <si>
    <t>HOFFMAN, GREY</t>
  </si>
  <si>
    <t>000921671201</t>
  </si>
  <si>
    <t>FERNANDEZ, APRIL JOHAENA</t>
  </si>
  <si>
    <t>000921672709</t>
  </si>
  <si>
    <t>OYEBIYI, SIDNEY</t>
  </si>
  <si>
    <t>000921678612</t>
  </si>
  <si>
    <t>NUTTLE, DANIEL</t>
  </si>
  <si>
    <t>000921678630</t>
  </si>
  <si>
    <t>TOBIAS, MEGAN</t>
  </si>
  <si>
    <t>000921680773</t>
  </si>
  <si>
    <t>HALL, BRYEN</t>
  </si>
  <si>
    <t>000921682749</t>
  </si>
  <si>
    <t>DEPUTY, ALLISON</t>
  </si>
  <si>
    <t>000921685824</t>
  </si>
  <si>
    <t>VALDECANAS, CHRISTINE DIOR</t>
  </si>
  <si>
    <t>000921686195</t>
  </si>
  <si>
    <t>WITT, MICHAEL</t>
  </si>
  <si>
    <t>000921688055</t>
  </si>
  <si>
    <t>WESTBROOK, JOHN</t>
  </si>
  <si>
    <t>000921688344</t>
  </si>
  <si>
    <t>YOON, SUN-HEE</t>
  </si>
  <si>
    <t>000921689866</t>
  </si>
  <si>
    <t>LYPINCHAN, KHAMLA</t>
  </si>
  <si>
    <t>000921700448</t>
  </si>
  <si>
    <t>BEDNAREK, PATRICIA</t>
  </si>
  <si>
    <t>000921701950</t>
  </si>
  <si>
    <t>MACDONALD, PETER</t>
  </si>
  <si>
    <t>000921702424</t>
  </si>
  <si>
    <t>MAGTOTO, EDUARDO</t>
  </si>
  <si>
    <t>000921709144</t>
  </si>
  <si>
    <t>SKENDER, DEBORAH</t>
  </si>
  <si>
    <t>000921715555</t>
  </si>
  <si>
    <t>DUFFY, TAYLOR</t>
  </si>
  <si>
    <t>000921717400</t>
  </si>
  <si>
    <t>FASULLO, GIOACCHINO</t>
  </si>
  <si>
    <t>000921719797</t>
  </si>
  <si>
    <t>NADER, RYAN</t>
  </si>
  <si>
    <t>000921720934</t>
  </si>
  <si>
    <t>GOLDEN, ERIN</t>
  </si>
  <si>
    <t>000921723282</t>
  </si>
  <si>
    <t>GOLDEN, BRIAN</t>
  </si>
  <si>
    <t>000921724369</t>
  </si>
  <si>
    <t>DEBARTOLO, DANIELA</t>
  </si>
  <si>
    <t>000921726220</t>
  </si>
  <si>
    <t>REIF, JUDITH</t>
  </si>
  <si>
    <t>000921727315</t>
  </si>
  <si>
    <t>PEDOTA, CORALYN</t>
  </si>
  <si>
    <t>000921728029</t>
  </si>
  <si>
    <t>PLUTA, ATTICUS</t>
  </si>
  <si>
    <t>000921728128</t>
  </si>
  <si>
    <t>KANG, JEANNE</t>
  </si>
  <si>
    <t>000921728986</t>
  </si>
  <si>
    <t>DUPAYA, KATHLEEN RUTH</t>
  </si>
  <si>
    <t>000921731126</t>
  </si>
  <si>
    <t>HAXHI, VASILIQI</t>
  </si>
  <si>
    <t>000921733050</t>
  </si>
  <si>
    <t>GONZALEZ, CHARLES</t>
  </si>
  <si>
    <t>000,150.00</t>
  </si>
  <si>
    <t>000921735744</t>
  </si>
  <si>
    <t>IMPEY, DAVID</t>
  </si>
  <si>
    <t>000921736838</t>
  </si>
  <si>
    <t>GORSKI, CHARLES</t>
  </si>
  <si>
    <t>000921737247</t>
  </si>
  <si>
    <t>SCAFA, GERALD</t>
  </si>
  <si>
    <t>000921738469</t>
  </si>
  <si>
    <t>PLANIC, DENNIS</t>
  </si>
  <si>
    <t>000921738512</t>
  </si>
  <si>
    <t>CIARDIELLO, THOMAS</t>
  </si>
  <si>
    <t>000921740024</t>
  </si>
  <si>
    <t>ZORIGT, MANDKHAI</t>
  </si>
  <si>
    <t>000921740188</t>
  </si>
  <si>
    <t>KOSMAS, SOTIRIS</t>
  </si>
  <si>
    <t>000921741159</t>
  </si>
  <si>
    <t>RAJU, ANISH</t>
  </si>
  <si>
    <t>000921743354</t>
  </si>
  <si>
    <t>SCIUPIDER, MAGDALENA</t>
  </si>
  <si>
    <t>000921744359</t>
  </si>
  <si>
    <t>PTASZEK, RACHAEL</t>
  </si>
  <si>
    <t>000921745063</t>
  </si>
  <si>
    <t>OWENS, DERREL</t>
  </si>
  <si>
    <t>000921746655</t>
  </si>
  <si>
    <t>SCHMITZ, JOHN</t>
  </si>
  <si>
    <t>000921746887</t>
  </si>
  <si>
    <t>STARK, MARTIN</t>
  </si>
  <si>
    <t>000921747592</t>
  </si>
  <si>
    <t>FURTH, JOHN</t>
  </si>
  <si>
    <t>000,120.00</t>
  </si>
  <si>
    <t>000921747803</t>
  </si>
  <si>
    <t>VANDERPLUYM, PATRICIA</t>
  </si>
  <si>
    <t>000921748118</t>
  </si>
  <si>
    <t>BROOKS, ROBERT</t>
  </si>
  <si>
    <t>000921748899</t>
  </si>
  <si>
    <t>RODRIGUEZ, TAMARA</t>
  </si>
  <si>
    <t>000921749422</t>
  </si>
  <si>
    <t>PIRTLE, JOHN</t>
  </si>
  <si>
    <t>000921749489</t>
  </si>
  <si>
    <t>GARCIA, ROEL</t>
  </si>
  <si>
    <t>000921750721</t>
  </si>
  <si>
    <t>DIAZ, JULIA</t>
  </si>
  <si>
    <t>000921751168</t>
  </si>
  <si>
    <t>MILLER, RACHEL</t>
  </si>
  <si>
    <t>000921751992</t>
  </si>
  <si>
    <t>YEE, STANLEY</t>
  </si>
  <si>
    <t>000921752115</t>
  </si>
  <si>
    <t>YIM, MOON</t>
  </si>
  <si>
    <t>000921755354</t>
  </si>
  <si>
    <t>PATEL, LAL</t>
  </si>
  <si>
    <t>000921755629</t>
  </si>
  <si>
    <t>TECSON, BRYAN</t>
  </si>
  <si>
    <t>000921758961</t>
  </si>
  <si>
    <t>HARRINGTON, JACOB</t>
  </si>
  <si>
    <t>000921759094</t>
  </si>
  <si>
    <t>HARRINGTON, ELENA</t>
  </si>
  <si>
    <t>000921765814</t>
  </si>
  <si>
    <t>DIERCKENS, MARIA</t>
  </si>
  <si>
    <t>000921773420</t>
  </si>
  <si>
    <t>DEMOPOULOS, NICK</t>
  </si>
  <si>
    <t>000921773760</t>
  </si>
  <si>
    <t>LIU, KARA</t>
  </si>
  <si>
    <t>000921774027</t>
  </si>
  <si>
    <t>LEWIS, ALAN</t>
  </si>
  <si>
    <t>000921775120</t>
  </si>
  <si>
    <t>ATILANO, JONATHAN</t>
  </si>
  <si>
    <t>000921777266</t>
  </si>
  <si>
    <t>000921777467</t>
  </si>
  <si>
    <t>MATTHEWS PLUTA, KELLY</t>
  </si>
  <si>
    <t>000921779030</t>
  </si>
  <si>
    <t>ANTON, VICKI</t>
  </si>
  <si>
    <t>000921779731</t>
  </si>
  <si>
    <t>SAMOYLOVICH, ARTHUR</t>
  </si>
  <si>
    <t>000925427510</t>
  </si>
  <si>
    <t>SHERMAN, MEGAN</t>
  </si>
  <si>
    <t>000957189549</t>
  </si>
  <si>
    <t>000,170.27</t>
  </si>
  <si>
    <t>000,017.03</t>
  </si>
  <si>
    <t>107928700-SU-STACEY A PORTUGAL</t>
  </si>
  <si>
    <t>000804454471</t>
  </si>
  <si>
    <t>WILSON, JEANNE</t>
  </si>
  <si>
    <t>107928700</t>
  </si>
  <si>
    <t>000804501244</t>
  </si>
  <si>
    <t>PRICE, NANCY</t>
  </si>
  <si>
    <t>MMA</t>
  </si>
  <si>
    <t>Flat Annual</t>
  </si>
  <si>
    <t>000,339.08</t>
  </si>
  <si>
    <t>000808518130</t>
  </si>
  <si>
    <t>STOKES, JOHN</t>
  </si>
  <si>
    <t>000921672504</t>
  </si>
  <si>
    <t>WILBURN, BREANNA</t>
  </si>
  <si>
    <t>000921761683</t>
  </si>
  <si>
    <t>ARNOUIL, KURT</t>
  </si>
  <si>
    <t>000957184029</t>
  </si>
  <si>
    <t>000,180.27</t>
  </si>
  <si>
    <t>000,018.03</t>
  </si>
  <si>
    <t>IST32U</t>
  </si>
  <si>
    <t>000957187034</t>
  </si>
  <si>
    <t>MENNA, RICHARD</t>
  </si>
  <si>
    <t>000,247.84</t>
  </si>
  <si>
    <t>0.1800</t>
  </si>
  <si>
    <t>000,044.61</t>
  </si>
  <si>
    <t>000957188926</t>
  </si>
  <si>
    <t>GELLAR, JAMES</t>
  </si>
  <si>
    <t>000,215.05</t>
  </si>
  <si>
    <t>000,038.71</t>
  </si>
  <si>
    <t>000957188930</t>
  </si>
  <si>
    <t>GELLAR, SHERI</t>
  </si>
  <si>
    <t>000,211.29</t>
  </si>
  <si>
    <t>000,038.03</t>
  </si>
  <si>
    <t>000957190953</t>
  </si>
  <si>
    <t>KOWALCZYK BUDZIAKOWS, B</t>
  </si>
  <si>
    <t>000,124.34</t>
  </si>
  <si>
    <t>000,022.38</t>
  </si>
  <si>
    <t>000957192007</t>
  </si>
  <si>
    <t>GIBBONS, JEANNE</t>
  </si>
  <si>
    <t>000,205.78</t>
  </si>
  <si>
    <t>000,020.58</t>
  </si>
  <si>
    <t>000957194826</t>
  </si>
  <si>
    <t>SILVER, PATRICIA</t>
  </si>
  <si>
    <t>000,208.96</t>
  </si>
  <si>
    <t>000,037.61</t>
  </si>
  <si>
    <t>107928712-SU-PAMELA SUE DEATON</t>
  </si>
  <si>
    <t>000890100174</t>
  </si>
  <si>
    <t>THOMPSON, JON</t>
  </si>
  <si>
    <t>107928712</t>
  </si>
  <si>
    <t>000890146317</t>
  </si>
  <si>
    <t>WARWICK, KATHLEEN</t>
  </si>
  <si>
    <t>000890192808</t>
  </si>
  <si>
    <t>MUIR, STEPHEN</t>
  </si>
  <si>
    <t>000890204026</t>
  </si>
  <si>
    <t>JONES, BRYCE</t>
  </si>
  <si>
    <t>000890547737</t>
  </si>
  <si>
    <t>WAINWRIGHT, PAIGE</t>
  </si>
  <si>
    <t>000890599429</t>
  </si>
  <si>
    <t>SHEPPARD, BRIAN</t>
  </si>
  <si>
    <t>000890606134</t>
  </si>
  <si>
    <t>WRIGHT, JOHN</t>
  </si>
  <si>
    <t>000890665955</t>
  </si>
  <si>
    <t>CARNAHAN, JACQUELINE</t>
  </si>
  <si>
    <t>000890672355</t>
  </si>
  <si>
    <t>BROADFIELD, DEBRA</t>
  </si>
  <si>
    <t>000890734933</t>
  </si>
  <si>
    <t>PALEN, MANDY</t>
  </si>
  <si>
    <t>000920713089</t>
  </si>
  <si>
    <t>BROWNING, ALICE</t>
  </si>
  <si>
    <t>000920716095</t>
  </si>
  <si>
    <t>SALZMAN, PAUL</t>
  </si>
  <si>
    <t>000,040.00-</t>
  </si>
  <si>
    <t>000920751356</t>
  </si>
  <si>
    <t>YODER, THOMAS</t>
  </si>
  <si>
    <t>000920781082</t>
  </si>
  <si>
    <t>SWANSON, EMILY</t>
  </si>
  <si>
    <t>000920790382</t>
  </si>
  <si>
    <t>HENDERSON, CONNETTE</t>
  </si>
  <si>
    <t>000920956771</t>
  </si>
  <si>
    <t>PARKER, LIONEL</t>
  </si>
  <si>
    <t>20141101</t>
  </si>
  <si>
    <t>125</t>
  </si>
  <si>
    <t>000920991258</t>
  </si>
  <si>
    <t>VITALE, CATERINA</t>
  </si>
  <si>
    <t>000921007680</t>
  </si>
  <si>
    <t>MILLER, JARRAD</t>
  </si>
  <si>
    <t>000921014479</t>
  </si>
  <si>
    <t>KRUG, JASON</t>
  </si>
  <si>
    <t>000921027309</t>
  </si>
  <si>
    <t>GOODELL, THOMAS</t>
  </si>
  <si>
    <t>000921033793</t>
  </si>
  <si>
    <t>JACOBS, ANDREW</t>
  </si>
  <si>
    <t>000921037019</t>
  </si>
  <si>
    <t>ENSIGN, KIMBERLY</t>
  </si>
  <si>
    <t>000921041755</t>
  </si>
  <si>
    <t>VITALE, GIANLUCA</t>
  </si>
  <si>
    <t>000921055258</t>
  </si>
  <si>
    <t>SMITH, KIMBERLY</t>
  </si>
  <si>
    <t>096</t>
  </si>
  <si>
    <t>000921060613</t>
  </si>
  <si>
    <t>MAPUGAY, JAIME</t>
  </si>
  <si>
    <t>000921115801</t>
  </si>
  <si>
    <t>DECKER, REED</t>
  </si>
  <si>
    <t>000921163146</t>
  </si>
  <si>
    <t>JIA, NING</t>
  </si>
  <si>
    <t>000921225070</t>
  </si>
  <si>
    <t>GARCIA-DAKER, MARGARITA</t>
  </si>
  <si>
    <t>000921233848</t>
  </si>
  <si>
    <t>PATTERSON, BRUCE</t>
  </si>
  <si>
    <t>000921237782</t>
  </si>
  <si>
    <t>ZERA, TRACI</t>
  </si>
  <si>
    <t>000921250107</t>
  </si>
  <si>
    <t>WILLIAMS, JOHN</t>
  </si>
  <si>
    <t>000921252130</t>
  </si>
  <si>
    <t>MCKINNEY, ANDREA</t>
  </si>
  <si>
    <t>000921277623</t>
  </si>
  <si>
    <t>WEY, JACKIE</t>
  </si>
  <si>
    <t>000921285003</t>
  </si>
  <si>
    <t>LEEDS, THOMAS</t>
  </si>
  <si>
    <t>000921302391</t>
  </si>
  <si>
    <t>MAUBACH, SHIRLEY</t>
  </si>
  <si>
    <t>000921316212</t>
  </si>
  <si>
    <t>LANE, PATRICIA</t>
  </si>
  <si>
    <t>000921329087</t>
  </si>
  <si>
    <t>HANNAM, BRADFORD</t>
  </si>
  <si>
    <t>000921337845</t>
  </si>
  <si>
    <t>DREW, MATTHEW</t>
  </si>
  <si>
    <t>000921345845</t>
  </si>
  <si>
    <t>STURDIVANT, RICARDO</t>
  </si>
  <si>
    <t>000921346365</t>
  </si>
  <si>
    <t>LANG, HUNTER</t>
  </si>
  <si>
    <t>000921349982</t>
  </si>
  <si>
    <t>HINES, JONATHAN</t>
  </si>
  <si>
    <t>000921352333</t>
  </si>
  <si>
    <t>BUFORD, MARCEY</t>
  </si>
  <si>
    <t>000921353220</t>
  </si>
  <si>
    <t>ELLESS, LAURIE</t>
  </si>
  <si>
    <t>000921353221</t>
  </si>
  <si>
    <t>ELLESS, ALEXANDER</t>
  </si>
  <si>
    <t>000921361140</t>
  </si>
  <si>
    <t>HOY, KATHERINE</t>
  </si>
  <si>
    <t>000921366675</t>
  </si>
  <si>
    <t>SHUMAKER, DARLA</t>
  </si>
  <si>
    <t>20171101</t>
  </si>
  <si>
    <t>089</t>
  </si>
  <si>
    <t>000,012.47</t>
  </si>
  <si>
    <t>000,000.50</t>
  </si>
  <si>
    <t>000921374211</t>
  </si>
  <si>
    <t>WHITE, THERESA</t>
  </si>
  <si>
    <t>000921376684</t>
  </si>
  <si>
    <t>MOBERG, MICHAEL</t>
  </si>
  <si>
    <t>20200501</t>
  </si>
  <si>
    <t>059</t>
  </si>
  <si>
    <t>000,020.00-</t>
  </si>
  <si>
    <t>000921385021</t>
  </si>
  <si>
    <t>CLINE, ASHLEY</t>
  </si>
  <si>
    <t>000921397044</t>
  </si>
  <si>
    <t>RAMSEY, TAMMY</t>
  </si>
  <si>
    <t>000921398434</t>
  </si>
  <si>
    <t>FORBES, JOHN</t>
  </si>
  <si>
    <t>000921402034</t>
  </si>
  <si>
    <t>SMITH, ELEKA</t>
  </si>
  <si>
    <t>000921410536</t>
  </si>
  <si>
    <t>PRICE, JULIA</t>
  </si>
  <si>
    <t>000921417397</t>
  </si>
  <si>
    <t>DVORAK, DANIEL</t>
  </si>
  <si>
    <t>20180501</t>
  </si>
  <si>
    <t>000921425856</t>
  </si>
  <si>
    <t>KEERAN, ALLISON</t>
  </si>
  <si>
    <t>000921443188</t>
  </si>
  <si>
    <t>LIND, JOSEPH</t>
  </si>
  <si>
    <t>000921449898</t>
  </si>
  <si>
    <t>FRITZEN, JON</t>
  </si>
  <si>
    <t>20200301</t>
  </si>
  <si>
    <t>061</t>
  </si>
  <si>
    <t>000921453082</t>
  </si>
  <si>
    <t>LIPPMANN, REBECCA</t>
  </si>
  <si>
    <t>000921458162</t>
  </si>
  <si>
    <t>NILES, DUSTIN</t>
  </si>
  <si>
    <t>000921458282</t>
  </si>
  <si>
    <t>CASSELMAN, DONALD</t>
  </si>
  <si>
    <t>074</t>
  </si>
  <si>
    <t>000921468915</t>
  </si>
  <si>
    <t>EDELMAN, ALAN</t>
  </si>
  <si>
    <t>20190301</t>
  </si>
  <si>
    <t>073</t>
  </si>
  <si>
    <t>072</t>
  </si>
  <si>
    <t>000921482539</t>
  </si>
  <si>
    <t>HART, MEGAN</t>
  </si>
  <si>
    <t>000921484954</t>
  </si>
  <si>
    <t>FERNANDEZ, CHRISTINE</t>
  </si>
  <si>
    <t>000921485403</t>
  </si>
  <si>
    <t>TERMUENDE, CYNTHIA</t>
  </si>
  <si>
    <t>000921490296</t>
  </si>
  <si>
    <t>DRAUDEN, MARK</t>
  </si>
  <si>
    <t>000921492711</t>
  </si>
  <si>
    <t>MILNER, ALLISON</t>
  </si>
  <si>
    <t>000921492749</t>
  </si>
  <si>
    <t>DVORAK, RUSSELL</t>
  </si>
  <si>
    <t>000921509319</t>
  </si>
  <si>
    <t>SUITERS, DEANNA</t>
  </si>
  <si>
    <t>000921514199</t>
  </si>
  <si>
    <t>QUACH, LAM</t>
  </si>
  <si>
    <t>000921515071</t>
  </si>
  <si>
    <t>STEWART, KRISTINE</t>
  </si>
  <si>
    <t>000921516857</t>
  </si>
  <si>
    <t>BAKER, MICHAEL</t>
  </si>
  <si>
    <t>20200401</t>
  </si>
  <si>
    <t>060</t>
  </si>
  <si>
    <t>000921526453</t>
  </si>
  <si>
    <t>JOHNSON, DEAN</t>
  </si>
  <si>
    <t>20200801</t>
  </si>
  <si>
    <t>056</t>
  </si>
  <si>
    <t>000921528619</t>
  </si>
  <si>
    <t>ALLEN, CORY</t>
  </si>
  <si>
    <t>000921529574</t>
  </si>
  <si>
    <t>WRIGHT, MILES</t>
  </si>
  <si>
    <t>000921538152</t>
  </si>
  <si>
    <t>JOHNSON, CALEB</t>
  </si>
  <si>
    <t>000921549113</t>
  </si>
  <si>
    <t>YESCHEK, STEVEN</t>
  </si>
  <si>
    <t>000921559868</t>
  </si>
  <si>
    <t>STRANDBERG, NATHAN</t>
  </si>
  <si>
    <t>000921567439</t>
  </si>
  <si>
    <t>ZEONE, MISTY</t>
  </si>
  <si>
    <t>000921576071</t>
  </si>
  <si>
    <t>GALLARDO, TANIA</t>
  </si>
  <si>
    <t>000921576503</t>
  </si>
  <si>
    <t>BENTON, JEFFREY</t>
  </si>
  <si>
    <t>000921582283</t>
  </si>
  <si>
    <t>LLOYD, GAGE</t>
  </si>
  <si>
    <t>000921586260</t>
  </si>
  <si>
    <t>HALLORAN, SARAH</t>
  </si>
  <si>
    <t>000921586800</t>
  </si>
  <si>
    <t>RECTOR, TARA</t>
  </si>
  <si>
    <t>000921588098</t>
  </si>
  <si>
    <t>REIS, CONNOR</t>
  </si>
  <si>
    <t>000921588374</t>
  </si>
  <si>
    <t>HINES, WILLIAM</t>
  </si>
  <si>
    <t>000921589183</t>
  </si>
  <si>
    <t>BEYER, JOHN</t>
  </si>
  <si>
    <t>000921601036</t>
  </si>
  <si>
    <t>LORTON, CANDUS</t>
  </si>
  <si>
    <t>000921606018</t>
  </si>
  <si>
    <t>BLOMMAERT, BRIAN</t>
  </si>
  <si>
    <t>000921612308</t>
  </si>
  <si>
    <t>HIGHLAND, ANDREA</t>
  </si>
  <si>
    <t>000921612417</t>
  </si>
  <si>
    <t>BOMA, MARY</t>
  </si>
  <si>
    <t>000921615201</t>
  </si>
  <si>
    <t>CURRY, ALEXA</t>
  </si>
  <si>
    <t>000921620688</t>
  </si>
  <si>
    <t>BALDWIN, STEPHEN</t>
  </si>
  <si>
    <t>000921624003</t>
  </si>
  <si>
    <t>GHYS-WILLIAMSON, JULIE</t>
  </si>
  <si>
    <t>000921627597</t>
  </si>
  <si>
    <t>BOLT, KIMBERLY</t>
  </si>
  <si>
    <t>000921632623</t>
  </si>
  <si>
    <t>BERNHOFT, TINA</t>
  </si>
  <si>
    <t>000921635174</t>
  </si>
  <si>
    <t>PETROVIC, JANINE</t>
  </si>
  <si>
    <t>000921640683</t>
  </si>
  <si>
    <t>ROBERTSON, ANGELA</t>
  </si>
  <si>
    <t>000921640871</t>
  </si>
  <si>
    <t>MCCULLOUGH, ELENA</t>
  </si>
  <si>
    <t>000921643615</t>
  </si>
  <si>
    <t>KATH, RHONDA</t>
  </si>
  <si>
    <t>000921645238</t>
  </si>
  <si>
    <t>KETTERER, CAITLIN</t>
  </si>
  <si>
    <t>000921645863</t>
  </si>
  <si>
    <t>WATSON, THOMAS</t>
  </si>
  <si>
    <t>000921651646</t>
  </si>
  <si>
    <t>REILLY, KATHERINE</t>
  </si>
  <si>
    <t>000921654677</t>
  </si>
  <si>
    <t>ANDERS, RUSSELL</t>
  </si>
  <si>
    <t>000921656811</t>
  </si>
  <si>
    <t>GRITZMACHER, DAVID</t>
  </si>
  <si>
    <t>000,087.24</t>
  </si>
  <si>
    <t>000921658237</t>
  </si>
  <si>
    <t>GREENHALGH, DIANA</t>
  </si>
  <si>
    <t>000921659141</t>
  </si>
  <si>
    <t>THOMPSON, TEHYA</t>
  </si>
  <si>
    <t>000921659241</t>
  </si>
  <si>
    <t>SMOCK, CHARLES</t>
  </si>
  <si>
    <t>000921660733</t>
  </si>
  <si>
    <t>BOSWELL, KIMBERLY</t>
  </si>
  <si>
    <t>000921663885</t>
  </si>
  <si>
    <t>ANDERSON, MARK</t>
  </si>
  <si>
    <t>000921670908</t>
  </si>
  <si>
    <t>MORGAN, SYDNEY</t>
  </si>
  <si>
    <t>000921670914</t>
  </si>
  <si>
    <t>MORGAN, SOPHIA</t>
  </si>
  <si>
    <t>000921672966</t>
  </si>
  <si>
    <t>SOHN, JEFFREY</t>
  </si>
  <si>
    <t>000921673371</t>
  </si>
  <si>
    <t>SPEDDING, BITTU</t>
  </si>
  <si>
    <t>000921674626</t>
  </si>
  <si>
    <t>CORKERY, KAELYN</t>
  </si>
  <si>
    <t>000921676406</t>
  </si>
  <si>
    <t>KING, KIANA</t>
  </si>
  <si>
    <t>000921680214</t>
  </si>
  <si>
    <t>REINERS, LYNETTE</t>
  </si>
  <si>
    <t>000921681159</t>
  </si>
  <si>
    <t>DINGES, VIRGINIA</t>
  </si>
  <si>
    <t>000921684651</t>
  </si>
  <si>
    <t>ELLIOTT, RYAN</t>
  </si>
  <si>
    <t>000921686621</t>
  </si>
  <si>
    <t>GREENWOOD, JACQUELINE</t>
  </si>
  <si>
    <t>000921687152</t>
  </si>
  <si>
    <t>HOFMANN, KRISTI</t>
  </si>
  <si>
    <t>000921689026</t>
  </si>
  <si>
    <t>SHAY, AMY</t>
  </si>
  <si>
    <t>000921690484</t>
  </si>
  <si>
    <t>POWELL, LANDON</t>
  </si>
  <si>
    <t>000921694832</t>
  </si>
  <si>
    <t>TAYLOR, BRENDA</t>
  </si>
  <si>
    <t>000921694934</t>
  </si>
  <si>
    <t>SEPICH, LAUREN</t>
  </si>
  <si>
    <t>000921695803</t>
  </si>
  <si>
    <t>FREEMAN, PAMELA</t>
  </si>
  <si>
    <t>000921697095</t>
  </si>
  <si>
    <t>SCHABER, NICHOLAS</t>
  </si>
  <si>
    <t>000921698867</t>
  </si>
  <si>
    <t>WELCH, ALEXANDRIA</t>
  </si>
  <si>
    <t>000921699022</t>
  </si>
  <si>
    <t>BULLA, ALICE</t>
  </si>
  <si>
    <t>000921699536</t>
  </si>
  <si>
    <t>KNEIPP, LAURA</t>
  </si>
  <si>
    <t>000921700143</t>
  </si>
  <si>
    <t>PRICE, SCOTT</t>
  </si>
  <si>
    <t>000921700943</t>
  </si>
  <si>
    <t>GRIFFIN, CHERYL</t>
  </si>
  <si>
    <t>000921701801</t>
  </si>
  <si>
    <t>MAGNUSON, CHERYL</t>
  </si>
  <si>
    <t>000921703179</t>
  </si>
  <si>
    <t>WEICHMAN, AUSTIN</t>
  </si>
  <si>
    <t>000921703370</t>
  </si>
  <si>
    <t>CROWELL, MICHELLE</t>
  </si>
  <si>
    <t>000921704349</t>
  </si>
  <si>
    <t>HINES, NATHANIEL</t>
  </si>
  <si>
    <t>000921706919</t>
  </si>
  <si>
    <t>MOTTELER, JERRY</t>
  </si>
  <si>
    <t>000921707548</t>
  </si>
  <si>
    <t>GERKE, CHRISTINA</t>
  </si>
  <si>
    <t>000921716068</t>
  </si>
  <si>
    <t>SULLIVAN, LINDSAY</t>
  </si>
  <si>
    <t>000921716171</t>
  </si>
  <si>
    <t>ECKERT, MARTHA</t>
  </si>
  <si>
    <t>000921719361</t>
  </si>
  <si>
    <t>TOOLEY, MONICA</t>
  </si>
  <si>
    <t>000921719863</t>
  </si>
  <si>
    <t>ATKINS, TIMOTHY</t>
  </si>
  <si>
    <t>000921720093</t>
  </si>
  <si>
    <t>FORBES, SCOTT</t>
  </si>
  <si>
    <t>000921720459</t>
  </si>
  <si>
    <t>KAEB, DANON</t>
  </si>
  <si>
    <t>000921721256</t>
  </si>
  <si>
    <t>TAGUE, NANCY</t>
  </si>
  <si>
    <t>000921721352</t>
  </si>
  <si>
    <t>GUTTSCHOW, LOGAN</t>
  </si>
  <si>
    <t>000921723632</t>
  </si>
  <si>
    <t>GUTTSCHOW, LAUREN</t>
  </si>
  <si>
    <t>000921723763</t>
  </si>
  <si>
    <t>DONOVAN, JAMES</t>
  </si>
  <si>
    <t>000921725502</t>
  </si>
  <si>
    <t>BACHMAN, CLAY</t>
  </si>
  <si>
    <t>000921726908</t>
  </si>
  <si>
    <t>JORGENSON, DANIEL</t>
  </si>
  <si>
    <t>000921729233</t>
  </si>
  <si>
    <t>BANGURA, TERRELL</t>
  </si>
  <si>
    <t>000921730642</t>
  </si>
  <si>
    <t>BAZZELL, TANIA</t>
  </si>
  <si>
    <t>000921731593</t>
  </si>
  <si>
    <t>REEVES, DAKOTAH</t>
  </si>
  <si>
    <t>000921735969</t>
  </si>
  <si>
    <t>EYRIE, MARZIPAN</t>
  </si>
  <si>
    <t>000921740609</t>
  </si>
  <si>
    <t>COLYOTT, KENNETH</t>
  </si>
  <si>
    <t>000921745110</t>
  </si>
  <si>
    <t>SCHULZ, MICHELLE</t>
  </si>
  <si>
    <t>000921746082</t>
  </si>
  <si>
    <t>HOBACK, MICHAEL</t>
  </si>
  <si>
    <t>000921746998</t>
  </si>
  <si>
    <t>CORBITT, ROSALIND</t>
  </si>
  <si>
    <t>000921747239</t>
  </si>
  <si>
    <t>BROWN, DELANEY</t>
  </si>
  <si>
    <t>000921747473</t>
  </si>
  <si>
    <t>BHASKAR, MEENU</t>
  </si>
  <si>
    <t>000921747895</t>
  </si>
  <si>
    <t>CRUMP, SCOTT</t>
  </si>
  <si>
    <t>000921748597</t>
  </si>
  <si>
    <t>KLEIN, IRA</t>
  </si>
  <si>
    <t>000921749211</t>
  </si>
  <si>
    <t>MORRIS, STEPHANIE</t>
  </si>
  <si>
    <t>000921749262</t>
  </si>
  <si>
    <t>STEIDINGER, LORI</t>
  </si>
  <si>
    <t>000921751692</t>
  </si>
  <si>
    <t>FINLEN, CARLA</t>
  </si>
  <si>
    <t>000921751727</t>
  </si>
  <si>
    <t>MARSHALL, STEPHANIE</t>
  </si>
  <si>
    <t>000921752202</t>
  </si>
  <si>
    <t>MAYO, ROBERT</t>
  </si>
  <si>
    <t>000921752609</t>
  </si>
  <si>
    <t>SCHISLER, KIMBER</t>
  </si>
  <si>
    <t>000921752640</t>
  </si>
  <si>
    <t>SOHN, ADAM</t>
  </si>
  <si>
    <t>000921752870</t>
  </si>
  <si>
    <t>BEDWELL, DAVID</t>
  </si>
  <si>
    <t>000921753446</t>
  </si>
  <si>
    <t>TAYLOR, LARRY</t>
  </si>
  <si>
    <t>000921755095</t>
  </si>
  <si>
    <t>DRESSER, KIMBERLY</t>
  </si>
  <si>
    <t>000921759307</t>
  </si>
  <si>
    <t>THOMPSON, WILLIAM</t>
  </si>
  <si>
    <t>000921759705</t>
  </si>
  <si>
    <t>GIBBONS, RILEY</t>
  </si>
  <si>
    <t>000921759734</t>
  </si>
  <si>
    <t>MERZ, DENISE</t>
  </si>
  <si>
    <t>000921760141</t>
  </si>
  <si>
    <t>VAUGHAN, LORI</t>
  </si>
  <si>
    <t>000921761905</t>
  </si>
  <si>
    <t>LINDER, JOSHUA</t>
  </si>
  <si>
    <t>000921762131</t>
  </si>
  <si>
    <t>MILLER, PENNY</t>
  </si>
  <si>
    <t>000921762136</t>
  </si>
  <si>
    <t>PETERSEN, KALYN</t>
  </si>
  <si>
    <t>000921763130</t>
  </si>
  <si>
    <t>MAZUREK, BRIANNE</t>
  </si>
  <si>
    <t>000921763465</t>
  </si>
  <si>
    <t>FROST, JOSHUA</t>
  </si>
  <si>
    <t>000921764312</t>
  </si>
  <si>
    <t>BOTTLES, MARY</t>
  </si>
  <si>
    <t>3-</t>
  </si>
  <si>
    <t>000921764505</t>
  </si>
  <si>
    <t>SINGH, SURJIT</t>
  </si>
  <si>
    <t>000,075.00-</t>
  </si>
  <si>
    <t>000921764774</t>
  </si>
  <si>
    <t>PARKER, BRIAN</t>
  </si>
  <si>
    <t>000921765449</t>
  </si>
  <si>
    <t>KING, DENNY</t>
  </si>
  <si>
    <t>000921765563</t>
  </si>
  <si>
    <t>MISSAKASAVAKE, THANADOBI</t>
  </si>
  <si>
    <t>000921766913</t>
  </si>
  <si>
    <t>MINK, FAITH</t>
  </si>
  <si>
    <t>000921767556</t>
  </si>
  <si>
    <t>SINGH, KARANVIR</t>
  </si>
  <si>
    <t>000921767605</t>
  </si>
  <si>
    <t>RATCLIFF, DENA</t>
  </si>
  <si>
    <t>000921768179</t>
  </si>
  <si>
    <t>CALLAHAN, KEN</t>
  </si>
  <si>
    <t>000921768491</t>
  </si>
  <si>
    <t>THOMPSON, KATHY</t>
  </si>
  <si>
    <t>000921775321</t>
  </si>
  <si>
    <t>WEBER, CLAIRE</t>
  </si>
  <si>
    <t>000921776240</t>
  </si>
  <si>
    <t>NORWOOD, MEREDITH</t>
  </si>
  <si>
    <t>000921777795</t>
  </si>
  <si>
    <t>SALZMAN, TAMMY</t>
  </si>
  <si>
    <t>20250131</t>
  </si>
  <si>
    <t>000921778284</t>
  </si>
  <si>
    <t>LUMAS, DARICO</t>
  </si>
  <si>
    <t>000921779798</t>
  </si>
  <si>
    <t>MAQUET, KORINNE</t>
  </si>
  <si>
    <t>000921779805</t>
  </si>
  <si>
    <t>MAQUET, KELLI</t>
  </si>
  <si>
    <t>000957000455</t>
  </si>
  <si>
    <t>MEYER, KAY</t>
  </si>
  <si>
    <t>000,128.29</t>
  </si>
  <si>
    <t>000,023.09</t>
  </si>
  <si>
    <t>000957126566</t>
  </si>
  <si>
    <t>WEBER, ROSEMARY</t>
  </si>
  <si>
    <t>000,190.08</t>
  </si>
  <si>
    <t>000,034.21</t>
  </si>
  <si>
    <t>000957177321</t>
  </si>
  <si>
    <t>LANGRAND, JOAN</t>
  </si>
  <si>
    <t>000,115.64</t>
  </si>
  <si>
    <t>000,020.82</t>
  </si>
  <si>
    <t>000957177416</t>
  </si>
  <si>
    <t>CURTIS, SUZANNE</t>
  </si>
  <si>
    <t>000,276.75</t>
  </si>
  <si>
    <t>000,024.91</t>
  </si>
  <si>
    <t>IST301</t>
  </si>
  <si>
    <t>000957178596</t>
  </si>
  <si>
    <t>ROBERTS, RONALD</t>
  </si>
  <si>
    <t>000,142.51-</t>
  </si>
  <si>
    <t>000,014.25-</t>
  </si>
  <si>
    <t>000,142.51</t>
  </si>
  <si>
    <t>000,014.25</t>
  </si>
  <si>
    <t>000,055.99</t>
  </si>
  <si>
    <t>20250212</t>
  </si>
  <si>
    <t>000,005.60</t>
  </si>
  <si>
    <t>000957179555</t>
  </si>
  <si>
    <t>JOHNSON, RICK</t>
  </si>
  <si>
    <t>000,132.92</t>
  </si>
  <si>
    <t>000,023.93</t>
  </si>
  <si>
    <t>000957180047</t>
  </si>
  <si>
    <t>MEYER, GRETCHEN</t>
  </si>
  <si>
    <t>000,148.40</t>
  </si>
  <si>
    <t>000,026.71</t>
  </si>
  <si>
    <t>000957180048</t>
  </si>
  <si>
    <t>MEYER, JAMES</t>
  </si>
  <si>
    <t>000,177.81</t>
  </si>
  <si>
    <t>000,032.01</t>
  </si>
  <si>
    <t>000957182178</t>
  </si>
  <si>
    <t>PHILLIPS KAMOWSKI, KELLY</t>
  </si>
  <si>
    <t>000957182209</t>
  </si>
  <si>
    <t>OCHILTREE, JANICE</t>
  </si>
  <si>
    <t>000,109.42</t>
  </si>
  <si>
    <t>000,019.70</t>
  </si>
  <si>
    <t>000957184011</t>
  </si>
  <si>
    <t>KRACHER, LAURA</t>
  </si>
  <si>
    <t>000957186206</t>
  </si>
  <si>
    <t>BOYD, VICKIE</t>
  </si>
  <si>
    <t>000,223.86</t>
  </si>
  <si>
    <t>000,022.39</t>
  </si>
  <si>
    <t>000957186310</t>
  </si>
  <si>
    <t>HINTON, MARC</t>
  </si>
  <si>
    <t>000,176.59</t>
  </si>
  <si>
    <t>000,031.79</t>
  </si>
  <si>
    <t>000957186453</t>
  </si>
  <si>
    <t>ARPASI, THOMAS</t>
  </si>
  <si>
    <t>000,222.72</t>
  </si>
  <si>
    <t>000,022.27</t>
  </si>
  <si>
    <t>000957186610</t>
  </si>
  <si>
    <t>SANDERS, MICHAEL</t>
  </si>
  <si>
    <t>000,174.46</t>
  </si>
  <si>
    <t>000,031.40</t>
  </si>
  <si>
    <t>000957186612</t>
  </si>
  <si>
    <t>SANDERS, YVONNE</t>
  </si>
  <si>
    <t>000,138.28</t>
  </si>
  <si>
    <t>000,024.89</t>
  </si>
  <si>
    <t>000957187822</t>
  </si>
  <si>
    <t>COLLINS, JIM</t>
  </si>
  <si>
    <t>000,142.92</t>
  </si>
  <si>
    <t>000,025.73</t>
  </si>
  <si>
    <t>000957188567</t>
  </si>
  <si>
    <t>MEYER, CATHRYN</t>
  </si>
  <si>
    <t>000957188880</t>
  </si>
  <si>
    <t>BURTON, BRENDA</t>
  </si>
  <si>
    <t>000,111.91</t>
  </si>
  <si>
    <t>000,020.14</t>
  </si>
  <si>
    <t>000957189095</t>
  </si>
  <si>
    <t>SINES, JOHN</t>
  </si>
  <si>
    <t>000,174.02</t>
  </si>
  <si>
    <t>000,017.40</t>
  </si>
  <si>
    <t>000957189937</t>
  </si>
  <si>
    <t>SCHERFF, JANICE</t>
  </si>
  <si>
    <t>000957193658</t>
  </si>
  <si>
    <t>RICHARDSON, KATHLEEN</t>
  </si>
  <si>
    <t>000,201.47</t>
  </si>
  <si>
    <t>000,020.15</t>
  </si>
  <si>
    <t>000957197855</t>
  </si>
  <si>
    <t>MILLER, VONNIE</t>
  </si>
  <si>
    <t>000,153.64</t>
  </si>
  <si>
    <t>000,027.66</t>
  </si>
  <si>
    <t>000957200943</t>
  </si>
  <si>
    <t>WILBER, RUSSELL</t>
  </si>
  <si>
    <t>000957201150</t>
  </si>
  <si>
    <t>WOODWORTH, LAMONT</t>
  </si>
  <si>
    <t>000,239.84</t>
  </si>
  <si>
    <t>000,043.17</t>
  </si>
  <si>
    <t>000957201955</t>
  </si>
  <si>
    <t>SANDERS, MARK</t>
  </si>
  <si>
    <t>000,167.55</t>
  </si>
  <si>
    <t>000,030.16</t>
  </si>
  <si>
    <t>000957203744</t>
  </si>
  <si>
    <t>BRANDT, JAMES</t>
  </si>
  <si>
    <t>000,125.77</t>
  </si>
  <si>
    <t>000,022.64</t>
  </si>
  <si>
    <t>000957203747</t>
  </si>
  <si>
    <t>BRANDT, MARY</t>
  </si>
  <si>
    <t>000,115.08</t>
  </si>
  <si>
    <t>000,020.71</t>
  </si>
  <si>
    <t>107928714-SU-RICARDO D SANTOS</t>
  </si>
  <si>
    <t>000920750023</t>
  </si>
  <si>
    <t>GOLDSTEIN, LORI</t>
  </si>
  <si>
    <t>107928714</t>
  </si>
  <si>
    <t>000920875325</t>
  </si>
  <si>
    <t>IWAN, LINDA</t>
  </si>
  <si>
    <t>000920905330</t>
  </si>
  <si>
    <t>BRANCH, TIMOTHY</t>
  </si>
  <si>
    <t>000920928420</t>
  </si>
  <si>
    <t>JOHANSON, JOAN</t>
  </si>
  <si>
    <t>000921081522</t>
  </si>
  <si>
    <t>KANE, MINDI</t>
  </si>
  <si>
    <t>000921112149</t>
  </si>
  <si>
    <t>FOLTZ, JEFFREY</t>
  </si>
  <si>
    <t>000921385663</t>
  </si>
  <si>
    <t>FAN, TOM</t>
  </si>
  <si>
    <t>000921498135</t>
  </si>
  <si>
    <t>ZULLO, MANDI</t>
  </si>
  <si>
    <t>000921499201</t>
  </si>
  <si>
    <t>CHUANG, WILLIAM</t>
  </si>
  <si>
    <t>000921506239</t>
  </si>
  <si>
    <t>MEDINA, JORGE</t>
  </si>
  <si>
    <t>000921549994</t>
  </si>
  <si>
    <t>MEDINA, MARIA</t>
  </si>
  <si>
    <t>000921556561</t>
  </si>
  <si>
    <t>WONG, CHARLES</t>
  </si>
  <si>
    <t>20210301</t>
  </si>
  <si>
    <t>000921563981</t>
  </si>
  <si>
    <t>KUSSMANN, DIANE</t>
  </si>
  <si>
    <t>000921595331</t>
  </si>
  <si>
    <t>GLASGO, JAMES</t>
  </si>
  <si>
    <t>000921604038</t>
  </si>
  <si>
    <t>DZHAL, IVAN</t>
  </si>
  <si>
    <t>000921625973</t>
  </si>
  <si>
    <t>HENRY, DIANE</t>
  </si>
  <si>
    <t>000921646054</t>
  </si>
  <si>
    <t>LENCZYCKI, MELISSA</t>
  </si>
  <si>
    <t>000921651233</t>
  </si>
  <si>
    <t>UR REHMAN, MOHIB</t>
  </si>
  <si>
    <t>000921669510</t>
  </si>
  <si>
    <t>SKOKAN, RICHARD</t>
  </si>
  <si>
    <t>000921669599</t>
  </si>
  <si>
    <t>SALES, ANGELENE BEATRI</t>
  </si>
  <si>
    <t>000921678645</t>
  </si>
  <si>
    <t>PUANGCO, DIOSDADO</t>
  </si>
  <si>
    <t>000921689456</t>
  </si>
  <si>
    <t>MCKNIGHT, JOY</t>
  </si>
  <si>
    <t>000921701331</t>
  </si>
  <si>
    <t>MAMAAT, ANNE PAULINE</t>
  </si>
  <si>
    <t>000921703965</t>
  </si>
  <si>
    <t>TREJO, ALEJANDRO</t>
  </si>
  <si>
    <t>000921706883</t>
  </si>
  <si>
    <t>ROSS, CREED</t>
  </si>
  <si>
    <t>000921712039</t>
  </si>
  <si>
    <t>NEAL, SEBASTIAN</t>
  </si>
  <si>
    <t>000921713365</t>
  </si>
  <si>
    <t>HARRIS, NEHEMIAH</t>
  </si>
  <si>
    <t>000921716847</t>
  </si>
  <si>
    <t>ESTANDA, FIDEL</t>
  </si>
  <si>
    <t>IS1501</t>
  </si>
  <si>
    <t>000921728151</t>
  </si>
  <si>
    <t>ALI, ZANOBIA</t>
  </si>
  <si>
    <t>000921749386</t>
  </si>
  <si>
    <t>MORALES, MARILYN</t>
  </si>
  <si>
    <t>000921756422</t>
  </si>
  <si>
    <t>THOMAS, CALEB</t>
  </si>
  <si>
    <t>000921762373</t>
  </si>
  <si>
    <t>CALABRESE, MIKE</t>
  </si>
  <si>
    <t>000921771894</t>
  </si>
  <si>
    <t>RADOVANOVIC, MILOS</t>
  </si>
  <si>
    <t>000921772500</t>
  </si>
  <si>
    <t>STRELKA, DAMIAN</t>
  </si>
  <si>
    <t>000957180084</t>
  </si>
  <si>
    <t>GONSIEWSKI, JEFFREY</t>
  </si>
  <si>
    <t>000,186.18</t>
  </si>
  <si>
    <t>000,033.51</t>
  </si>
  <si>
    <t>107928717-SU-FRANK E LISKOVEC</t>
  </si>
  <si>
    <t>069115</t>
  </si>
  <si>
    <t>000804473710</t>
  </si>
  <si>
    <t>OESTMANN, GENE</t>
  </si>
  <si>
    <t>MM4</t>
  </si>
  <si>
    <t>107928717</t>
  </si>
  <si>
    <t>000890208523</t>
  </si>
  <si>
    <t>LEPRI, MYRA</t>
  </si>
  <si>
    <t>000890262018</t>
  </si>
  <si>
    <t>AGUIRRE, SERGIO</t>
  </si>
  <si>
    <t>000890545645</t>
  </si>
  <si>
    <t>VACHULCIK, KAREN</t>
  </si>
  <si>
    <t>000,029.08</t>
  </si>
  <si>
    <t>000,001.16</t>
  </si>
  <si>
    <t>000890715455</t>
  </si>
  <si>
    <t>AGUIRRE, RENE</t>
  </si>
  <si>
    <t>000920719848</t>
  </si>
  <si>
    <t>CERNY-BRACHER, LORI</t>
  </si>
  <si>
    <t>000920760884</t>
  </si>
  <si>
    <t>LANNERS, RICHARD</t>
  </si>
  <si>
    <t>110</t>
  </si>
  <si>
    <t>000920775423</t>
  </si>
  <si>
    <t>BRAND, NAOMI</t>
  </si>
  <si>
    <t>000920784697</t>
  </si>
  <si>
    <t>RODENKIRCH, ANNE</t>
  </si>
  <si>
    <t>000920861836</t>
  </si>
  <si>
    <t>VUJICA, STJEPAN</t>
  </si>
  <si>
    <t>000920869125</t>
  </si>
  <si>
    <t>WIEDEL, ANTHONY</t>
  </si>
  <si>
    <t>000920927833</t>
  </si>
  <si>
    <t>ESSARY, ERICA</t>
  </si>
  <si>
    <t>000920932458</t>
  </si>
  <si>
    <t>SCHULBERG, BEATA</t>
  </si>
  <si>
    <t>000920943430</t>
  </si>
  <si>
    <t>SHANKER, NORMAN</t>
  </si>
  <si>
    <t>000921044671</t>
  </si>
  <si>
    <t>DEJESUS, ANNABELLE</t>
  </si>
  <si>
    <t>000921054464</t>
  </si>
  <si>
    <t>ROMANIZ, LORENZO</t>
  </si>
  <si>
    <t>000921060236</t>
  </si>
  <si>
    <t>BENDER, REBECCA</t>
  </si>
  <si>
    <t>000921153608</t>
  </si>
  <si>
    <t>FREUND, CHRISTINA</t>
  </si>
  <si>
    <t>000921179704</t>
  </si>
  <si>
    <t>GLOSA, KATIE</t>
  </si>
  <si>
    <t>000921182822</t>
  </si>
  <si>
    <t>MUNAO, JOHN</t>
  </si>
  <si>
    <t>000921243078</t>
  </si>
  <si>
    <t>BURNS, ROBERT</t>
  </si>
  <si>
    <t>20160301</t>
  </si>
  <si>
    <t>109</t>
  </si>
  <si>
    <t>000,071.94</t>
  </si>
  <si>
    <t>000,002.88</t>
  </si>
  <si>
    <t>000921252929</t>
  </si>
  <si>
    <t>PATEL, CHETAN</t>
  </si>
  <si>
    <t>000921267733</t>
  </si>
  <si>
    <t>PEKSA, JOZEF</t>
  </si>
  <si>
    <t>000921372537</t>
  </si>
  <si>
    <t>DWYER, CHRISTINA</t>
  </si>
  <si>
    <t>000921378016</t>
  </si>
  <si>
    <t>VORA, RUCHIR</t>
  </si>
  <si>
    <t>000921386444</t>
  </si>
  <si>
    <t>KULIK, JENNIFER</t>
  </si>
  <si>
    <t>000921399067</t>
  </si>
  <si>
    <t>KOUVALIS, AMALIA</t>
  </si>
  <si>
    <t>000921399306</t>
  </si>
  <si>
    <t>OSTOJICH, JASNA</t>
  </si>
  <si>
    <t>000921439239</t>
  </si>
  <si>
    <t>MUNDZIC, DONNA</t>
  </si>
  <si>
    <t>000921444050</t>
  </si>
  <si>
    <t>PATTON, KHALIL</t>
  </si>
  <si>
    <t>000921506116</t>
  </si>
  <si>
    <t>WRIGHT, MICHAEL</t>
  </si>
  <si>
    <t>000921544809</t>
  </si>
  <si>
    <t>ALAGHEBAND, TAGHI</t>
  </si>
  <si>
    <t>000921603355</t>
  </si>
  <si>
    <t>VASILJ, JELA</t>
  </si>
  <si>
    <t>000921605712</t>
  </si>
  <si>
    <t>HANNA, DAVID</t>
  </si>
  <si>
    <t>000921609465</t>
  </si>
  <si>
    <t>MUKHERJEE, JAYANTA</t>
  </si>
  <si>
    <t>000921614291</t>
  </si>
  <si>
    <t>STORNELLO, ANNAMARIE</t>
  </si>
  <si>
    <t>000921630535</t>
  </si>
  <si>
    <t>HERLIHY, LORILE</t>
  </si>
  <si>
    <t>000921637408</t>
  </si>
  <si>
    <t>NORRIS, JASON</t>
  </si>
  <si>
    <t>000921640271</t>
  </si>
  <si>
    <t>OVALLE VICUNA DE ENC, CARMEN</t>
  </si>
  <si>
    <t>000921641638</t>
  </si>
  <si>
    <t>FINK, PAMELA</t>
  </si>
  <si>
    <t>000921649131</t>
  </si>
  <si>
    <t>KAPUSTKA, JULIE</t>
  </si>
  <si>
    <t>000921655241</t>
  </si>
  <si>
    <t>METZ, MARILYN</t>
  </si>
  <si>
    <t>000921670999</t>
  </si>
  <si>
    <t>JOYCE, ANNE</t>
  </si>
  <si>
    <t>000921680480</t>
  </si>
  <si>
    <t>AHMED, FAROOQ</t>
  </si>
  <si>
    <t>000921686958</t>
  </si>
  <si>
    <t>VILLASENOR, OMAR</t>
  </si>
  <si>
    <t>000921699934</t>
  </si>
  <si>
    <t>CHAREWICZ, DAVID</t>
  </si>
  <si>
    <t>000921713629</t>
  </si>
  <si>
    <t>EWING, ISAIAH</t>
  </si>
  <si>
    <t>000921713715</t>
  </si>
  <si>
    <t>EWING, LISA</t>
  </si>
  <si>
    <t>000921720586</t>
  </si>
  <si>
    <t>NIEDZWIECKI, GEORGE</t>
  </si>
  <si>
    <t>000921737260</t>
  </si>
  <si>
    <t>MEYER, BRADLEY</t>
  </si>
  <si>
    <t>000921754198</t>
  </si>
  <si>
    <t>ZICK, AMANDA</t>
  </si>
  <si>
    <t>000921757617</t>
  </si>
  <si>
    <t>VOS, JOY</t>
  </si>
  <si>
    <t>000921760538</t>
  </si>
  <si>
    <t>FACCHINI, KRISTEN</t>
  </si>
  <si>
    <t>000921761596</t>
  </si>
  <si>
    <t>STROUSE, JOSEPH</t>
  </si>
  <si>
    <t>000921768375</t>
  </si>
  <si>
    <t>MARTIN, LUIS</t>
  </si>
  <si>
    <t>000921778978</t>
  </si>
  <si>
    <t>KOWALCZYK, LUKASZ</t>
  </si>
  <si>
    <t>000957198660</t>
  </si>
  <si>
    <t>WEISER, WENDY</t>
  </si>
  <si>
    <t>000,129.53</t>
  </si>
  <si>
    <t>000,012.95</t>
  </si>
  <si>
    <t>107928722-SU-RICHARD A YALE</t>
  </si>
  <si>
    <t>000890070450</t>
  </si>
  <si>
    <t>RONAN, MARTIN</t>
  </si>
  <si>
    <t>107928722</t>
  </si>
  <si>
    <t>000920791902</t>
  </si>
  <si>
    <t>COLELLA, SARAH</t>
  </si>
  <si>
    <t>000920819028</t>
  </si>
  <si>
    <t>KOHEN, BRURIA</t>
  </si>
  <si>
    <t>000920863815</t>
  </si>
  <si>
    <t>DISALVO, MARGARET</t>
  </si>
  <si>
    <t>000920907087</t>
  </si>
  <si>
    <t>ACHIMAS, ANDREA</t>
  </si>
  <si>
    <t>000921029346</t>
  </si>
  <si>
    <t>BERGGREN, LEE</t>
  </si>
  <si>
    <t>000921033174</t>
  </si>
  <si>
    <t>FISHMAN, HOWARD</t>
  </si>
  <si>
    <t>000921052920</t>
  </si>
  <si>
    <t>SZTUKOWSKI, ANDREW</t>
  </si>
  <si>
    <t>000921053033</t>
  </si>
  <si>
    <t>VOLE, ERCOLE</t>
  </si>
  <si>
    <t>000921085713</t>
  </si>
  <si>
    <t>ACHIMAS, MARIUS</t>
  </si>
  <si>
    <t>000921190036</t>
  </si>
  <si>
    <t>CAMNITZER, STEVEN</t>
  </si>
  <si>
    <t>000921272409</t>
  </si>
  <si>
    <t>CARPENTER, ANDREW</t>
  </si>
  <si>
    <t>20160601</t>
  </si>
  <si>
    <t>106</t>
  </si>
  <si>
    <t>000921382324</t>
  </si>
  <si>
    <t>MONTALTO, UBALDO</t>
  </si>
  <si>
    <t>000921453217</t>
  </si>
  <si>
    <t>MORRELL, TAMARA</t>
  </si>
  <si>
    <t>000921503760</t>
  </si>
  <si>
    <t>SOLOLA, EMMANUEL</t>
  </si>
  <si>
    <t>000921508269</t>
  </si>
  <si>
    <t>RATLIFF, JOHANNE</t>
  </si>
  <si>
    <t>000921512482</t>
  </si>
  <si>
    <t>ROSS, ERIC</t>
  </si>
  <si>
    <t>000921512523</t>
  </si>
  <si>
    <t>GARBACZ, CODY</t>
  </si>
  <si>
    <t>000921523821</t>
  </si>
  <si>
    <t>PLOETZ, DAWN</t>
  </si>
  <si>
    <t>000921529342</t>
  </si>
  <si>
    <t>LUDWIG, ANDREAS</t>
  </si>
  <si>
    <t>000921538664</t>
  </si>
  <si>
    <t>BOSCH, JOSEPH</t>
  </si>
  <si>
    <t>000921546978</t>
  </si>
  <si>
    <t>SALABOUNIS, MANUEL</t>
  </si>
  <si>
    <t>000921549883</t>
  </si>
  <si>
    <t>PETERS, SCOTT</t>
  </si>
  <si>
    <t>000921562319</t>
  </si>
  <si>
    <t>LEINONEN, DIANE</t>
  </si>
  <si>
    <t>000921571172</t>
  </si>
  <si>
    <t>KIRSHNER, SHELBY</t>
  </si>
  <si>
    <t>000921590339</t>
  </si>
  <si>
    <t>STEFANELLI, ANTHONY</t>
  </si>
  <si>
    <t>000921606777</t>
  </si>
  <si>
    <t>HOPPER, NICOLE</t>
  </si>
  <si>
    <t>000921609665</t>
  </si>
  <si>
    <t>KNOECKL, JOSEPH</t>
  </si>
  <si>
    <t>000921621857</t>
  </si>
  <si>
    <t>KLAPPERICH, DAWN</t>
  </si>
  <si>
    <t>000921623897</t>
  </si>
  <si>
    <t>RONAN, STEPHEN</t>
  </si>
  <si>
    <t>000921631997</t>
  </si>
  <si>
    <t>LUBBAT, LINA</t>
  </si>
  <si>
    <t>000921644463</t>
  </si>
  <si>
    <t>BOWERS, KELLYE</t>
  </si>
  <si>
    <t>000921651990</t>
  </si>
  <si>
    <t>LINDBLOOM, ERIN</t>
  </si>
  <si>
    <t>000921653408</t>
  </si>
  <si>
    <t>COHN, SOPHIA</t>
  </si>
  <si>
    <t>000921659302</t>
  </si>
  <si>
    <t>PHONEPRASITH, CHANSOUK</t>
  </si>
  <si>
    <t>000921669487</t>
  </si>
  <si>
    <t>KAUFMAN, MEGAN</t>
  </si>
  <si>
    <t>000921671307</t>
  </si>
  <si>
    <t>BOCK, JOSEPH</t>
  </si>
  <si>
    <t>000921679779</t>
  </si>
  <si>
    <t>LIEBLICK-SVARNIAS, MICHELE</t>
  </si>
  <si>
    <t>000921689366</t>
  </si>
  <si>
    <t>MYERS, KAREN</t>
  </si>
  <si>
    <t>000921695571</t>
  </si>
  <si>
    <t>YOUNG, SCOTT</t>
  </si>
  <si>
    <t>000921737365</t>
  </si>
  <si>
    <t>SMITH, KELLY</t>
  </si>
  <si>
    <t>000921737764</t>
  </si>
  <si>
    <t>STOTTER, SOPHIE</t>
  </si>
  <si>
    <t>000921749141</t>
  </si>
  <si>
    <t>CAPASSO, LINDA</t>
  </si>
  <si>
    <t>000921765577</t>
  </si>
  <si>
    <t>SKAGGS, JOHN</t>
  </si>
  <si>
    <t>000921765824</t>
  </si>
  <si>
    <t>REICIN, LORI</t>
  </si>
  <si>
    <t>000921769703</t>
  </si>
  <si>
    <t>SHABTAI, ZIVA</t>
  </si>
  <si>
    <t>000921771397</t>
  </si>
  <si>
    <t>SHABTAI, TAMAR</t>
  </si>
  <si>
    <t>000921775187</t>
  </si>
  <si>
    <t>POHLMAN, COURTNEY</t>
  </si>
  <si>
    <t>000921775272</t>
  </si>
  <si>
    <t>LOUW, NEVILLE</t>
  </si>
  <si>
    <t>000957180733</t>
  </si>
  <si>
    <t>GOTHELF, DEBBIE</t>
  </si>
  <si>
    <t>000957195628</t>
  </si>
  <si>
    <t>MAGID, PHILIP</t>
  </si>
  <si>
    <t>107928729-SU-JACOB D YALE</t>
  </si>
  <si>
    <t>000804453793</t>
  </si>
  <si>
    <t>TAYLOR, MARY</t>
  </si>
  <si>
    <t>107928729</t>
  </si>
  <si>
    <t>000808510400</t>
  </si>
  <si>
    <t>HOGAN, JOHN</t>
  </si>
  <si>
    <t>000890366239</t>
  </si>
  <si>
    <t>ZIEMEK, JAMES</t>
  </si>
  <si>
    <t>000890652589</t>
  </si>
  <si>
    <t>GERHARDT, MARK</t>
  </si>
  <si>
    <t>000920733925</t>
  </si>
  <si>
    <t>BURDICK, MEAGHAN</t>
  </si>
  <si>
    <t>000920818458</t>
  </si>
  <si>
    <t>BOCHLAS, GUST</t>
  </si>
  <si>
    <t>000,001.44</t>
  </si>
  <si>
    <t>000920838670</t>
  </si>
  <si>
    <t>TOMAN, DENISE</t>
  </si>
  <si>
    <t>000920859491</t>
  </si>
  <si>
    <t>ROWE, KELLY</t>
  </si>
  <si>
    <t>000920935083</t>
  </si>
  <si>
    <t>ZILIOLI, GREGORY</t>
  </si>
  <si>
    <t>000921032769</t>
  </si>
  <si>
    <t>MIKUTA, ELIZABETH</t>
  </si>
  <si>
    <t>000921182478</t>
  </si>
  <si>
    <t>VALENTI, LORI</t>
  </si>
  <si>
    <t>20151001</t>
  </si>
  <si>
    <t>113</t>
  </si>
  <si>
    <t>000921265079</t>
  </si>
  <si>
    <t>GIBBONS, HEIDI</t>
  </si>
  <si>
    <t>20170901</t>
  </si>
  <si>
    <t>091</t>
  </si>
  <si>
    <t>000921384956</t>
  </si>
  <si>
    <t>SHIPBAUGH, BROOKE</t>
  </si>
  <si>
    <t>000921426418</t>
  </si>
  <si>
    <t>KARAS, BARTLOMIEJ</t>
  </si>
  <si>
    <t>000921429882</t>
  </si>
  <si>
    <t>COLINA GARCIA, ELZER</t>
  </si>
  <si>
    <t>20181101</t>
  </si>
  <si>
    <t>077</t>
  </si>
  <si>
    <t>000921433010</t>
  </si>
  <si>
    <t>TATE, HARRISON</t>
  </si>
  <si>
    <t>000921444438</t>
  </si>
  <si>
    <t>TRAWINSKI, TODD</t>
  </si>
  <si>
    <t>000921448927</t>
  </si>
  <si>
    <t>HOLMAN, JAMES</t>
  </si>
  <si>
    <t>000921463570</t>
  </si>
  <si>
    <t>BLANGIARDO, ROSA</t>
  </si>
  <si>
    <t>000921490541</t>
  </si>
  <si>
    <t>CAVE, CONNIE</t>
  </si>
  <si>
    <t>000921491021</t>
  </si>
  <si>
    <t>BAUGNET, ANN</t>
  </si>
  <si>
    <t>000921494184</t>
  </si>
  <si>
    <t>SINGH, GAGAN</t>
  </si>
  <si>
    <t>000921495810</t>
  </si>
  <si>
    <t>KOSTRZEWSKI, ZBIGNIEW</t>
  </si>
  <si>
    <t>000921518750</t>
  </si>
  <si>
    <t>STILTNER, ROBERT</t>
  </si>
  <si>
    <t>000921525550</t>
  </si>
  <si>
    <t>SCHOPER, MARY</t>
  </si>
  <si>
    <t>000921541916</t>
  </si>
  <si>
    <t>OSBORN, RICK</t>
  </si>
  <si>
    <t>000921544055</t>
  </si>
  <si>
    <t>WILTGEN, LAWRENCE</t>
  </si>
  <si>
    <t>000921547422</t>
  </si>
  <si>
    <t>XHEKA, BUKRIA</t>
  </si>
  <si>
    <t>000921549026</t>
  </si>
  <si>
    <t>CHERNOFF, JOSHUA</t>
  </si>
  <si>
    <t>000921562490</t>
  </si>
  <si>
    <t>DUDZIENSKI, JOHN</t>
  </si>
  <si>
    <t>000921566557</t>
  </si>
  <si>
    <t>LUDWIG, OLIVIA</t>
  </si>
  <si>
    <t>000921589068</t>
  </si>
  <si>
    <t>GIBBS, ANGELA</t>
  </si>
  <si>
    <t>000921600102</t>
  </si>
  <si>
    <t>MANNING, CHARLES</t>
  </si>
  <si>
    <t>000921614967</t>
  </si>
  <si>
    <t>GARCIA, JOSEPH</t>
  </si>
  <si>
    <t>000921615656</t>
  </si>
  <si>
    <t>SMITH, JEREMIAH</t>
  </si>
  <si>
    <t>000921619921</t>
  </si>
  <si>
    <t>REES, STACEY</t>
  </si>
  <si>
    <t>031</t>
  </si>
  <si>
    <t>000921620919</t>
  </si>
  <si>
    <t>ZAMMAR, CHRISTOPHER</t>
  </si>
  <si>
    <t>000921622374</t>
  </si>
  <si>
    <t>HOCHSPRUNG, CHRISTINE</t>
  </si>
  <si>
    <t>000921622709</t>
  </si>
  <si>
    <t>LEONARD, BILL</t>
  </si>
  <si>
    <t>000921647081</t>
  </si>
  <si>
    <t>PAEZ, LEAH</t>
  </si>
  <si>
    <t>000921654253</t>
  </si>
  <si>
    <t>COHEN, SAMUEL</t>
  </si>
  <si>
    <t>000921658031</t>
  </si>
  <si>
    <t>KNOBLOCH, MICHELLE</t>
  </si>
  <si>
    <t>000921667756</t>
  </si>
  <si>
    <t>HACK, JOSEPH</t>
  </si>
  <si>
    <t>000921667820</t>
  </si>
  <si>
    <t>ALBRECHT, EMILY</t>
  </si>
  <si>
    <t>000921672394</t>
  </si>
  <si>
    <t>REED-VINKAVICH, DAWN</t>
  </si>
  <si>
    <t>000921677646</t>
  </si>
  <si>
    <t>JURAN, ROBIN</t>
  </si>
  <si>
    <t>000921687840</t>
  </si>
  <si>
    <t>LAVEN, BRETT</t>
  </si>
  <si>
    <t>000921694892</t>
  </si>
  <si>
    <t>MORA, ELIZABETH</t>
  </si>
  <si>
    <t>000921702310</t>
  </si>
  <si>
    <t>RODRIGUEZ-MAZARI, JESSICA</t>
  </si>
  <si>
    <t>000921708094</t>
  </si>
  <si>
    <t>NEWLING, ELIZABETH</t>
  </si>
  <si>
    <t>000921714712</t>
  </si>
  <si>
    <t>WILTGEN, RYAN</t>
  </si>
  <si>
    <t>000921715459</t>
  </si>
  <si>
    <t>WENGERSKI, ANITA</t>
  </si>
  <si>
    <t>000921715823</t>
  </si>
  <si>
    <t>HALL, RAYMOND</t>
  </si>
  <si>
    <t>000921727218</t>
  </si>
  <si>
    <t>HOGAN, MYA</t>
  </si>
  <si>
    <t>000921729211</t>
  </si>
  <si>
    <t>CAVI, REED</t>
  </si>
  <si>
    <t>000921732826</t>
  </si>
  <si>
    <t>BELLOCK, TERESA</t>
  </si>
  <si>
    <t>000921737301</t>
  </si>
  <si>
    <t>BRUCATO, BIANCA</t>
  </si>
  <si>
    <t>000921742098</t>
  </si>
  <si>
    <t>HILL, SARAH</t>
  </si>
  <si>
    <t>000921742876</t>
  </si>
  <si>
    <t>LEMICK, APRIL</t>
  </si>
  <si>
    <t>IG2802</t>
  </si>
  <si>
    <t>000921745594</t>
  </si>
  <si>
    <t>ANEES, SOMIA</t>
  </si>
  <si>
    <t>000921747273</t>
  </si>
  <si>
    <t>LEE, SUNG</t>
  </si>
  <si>
    <t>000921751625</t>
  </si>
  <si>
    <t>CIPRA, MARY</t>
  </si>
  <si>
    <t>000921760904</t>
  </si>
  <si>
    <t>FRANZEN, KEITH</t>
  </si>
  <si>
    <t>000921762372</t>
  </si>
  <si>
    <t>ORZECHOWSKI, ELIJAH</t>
  </si>
  <si>
    <t>000921763019</t>
  </si>
  <si>
    <t>PINK, MITCHELL</t>
  </si>
  <si>
    <t>000921774029</t>
  </si>
  <si>
    <t>FLENER, ADALYN</t>
  </si>
  <si>
    <t>000921774875</t>
  </si>
  <si>
    <t>RABIN, KYLE</t>
  </si>
  <si>
    <t>000921776082</t>
  </si>
  <si>
    <t>KAPLAN, CARLOS</t>
  </si>
  <si>
    <t>000921776092</t>
  </si>
  <si>
    <t>KAPLAN, ERIDANIA</t>
  </si>
  <si>
    <t>000921779313</t>
  </si>
  <si>
    <t>HEAVRIN, JOHN</t>
  </si>
  <si>
    <t>000957176531</t>
  </si>
  <si>
    <t>000,139.74</t>
  </si>
  <si>
    <t>000,025.15</t>
  </si>
  <si>
    <t>000957185740</t>
  </si>
  <si>
    <t>SCHUMERS, ANNETTE</t>
  </si>
  <si>
    <t>000,128.49</t>
  </si>
  <si>
    <t>000,023.13</t>
  </si>
  <si>
    <t>000957187919</t>
  </si>
  <si>
    <t>SPLINTER, SYLVIA</t>
  </si>
  <si>
    <t>000,238.74</t>
  </si>
  <si>
    <t>000,021.49</t>
  </si>
  <si>
    <t>000957192008</t>
  </si>
  <si>
    <t>TEMPLIN, SUSAN</t>
  </si>
  <si>
    <t>000957197789</t>
  </si>
  <si>
    <t>OSTALA, BARBARA</t>
  </si>
  <si>
    <t>000,138.16</t>
  </si>
  <si>
    <t>000,024.87</t>
  </si>
  <si>
    <t>000957201001</t>
  </si>
  <si>
    <t>WENGERSKI, STEVEN</t>
  </si>
  <si>
    <t>000957204986</t>
  </si>
  <si>
    <t>ALFORD, DENISE</t>
  </si>
  <si>
    <t>000,168.57</t>
  </si>
  <si>
    <t>000,034.56</t>
  </si>
  <si>
    <t>000957205224</t>
  </si>
  <si>
    <t>DONATI, BARBARA</t>
  </si>
  <si>
    <t>000,317.75</t>
  </si>
  <si>
    <t>0.0625</t>
  </si>
  <si>
    <t>000,019.86</t>
  </si>
  <si>
    <t>107928852-SU-CHRISTIAN TAUGNER</t>
  </si>
  <si>
    <t>000808511849</t>
  </si>
  <si>
    <t>GUSS, KAREN</t>
  </si>
  <si>
    <t>107928852</t>
  </si>
  <si>
    <t>000808516613</t>
  </si>
  <si>
    <t>KARLINSKI, DEBRA</t>
  </si>
  <si>
    <t>000890410489</t>
  </si>
  <si>
    <t>KITTLESON, JEANINE</t>
  </si>
  <si>
    <t>000890568876</t>
  </si>
  <si>
    <t>IANNOTTI, BILLIE</t>
  </si>
  <si>
    <t>000920865373</t>
  </si>
  <si>
    <t>STABLER, MAUREEN</t>
  </si>
  <si>
    <t>000920898622</t>
  </si>
  <si>
    <t>SIMMONS, PHILLIP</t>
  </si>
  <si>
    <t>000920915016</t>
  </si>
  <si>
    <t>SEIFRID, JOHN</t>
  </si>
  <si>
    <t>000921325526</t>
  </si>
  <si>
    <t>STEWART, GEORGIA</t>
  </si>
  <si>
    <t>000921364191</t>
  </si>
  <si>
    <t>MOTHERWAY, CURRAN</t>
  </si>
  <si>
    <t>000921389339</t>
  </si>
  <si>
    <t>CROSETTO, STEPHENIE</t>
  </si>
  <si>
    <t>000921453737</t>
  </si>
  <si>
    <t>CHLEBOWSKI, MICHELLE</t>
  </si>
  <si>
    <t>000921517589</t>
  </si>
  <si>
    <t>SABATINO, JASON</t>
  </si>
  <si>
    <t>000921550048</t>
  </si>
  <si>
    <t>PAOLINELLI, ROBERT</t>
  </si>
  <si>
    <t>000921555774</t>
  </si>
  <si>
    <t>ZIMMERMAN, JANET</t>
  </si>
  <si>
    <t>000921570298</t>
  </si>
  <si>
    <t>SCHEINMAN, JACS</t>
  </si>
  <si>
    <t>000921609075</t>
  </si>
  <si>
    <t>SABATINO, CRISTINA</t>
  </si>
  <si>
    <t>000921613300</t>
  </si>
  <si>
    <t>OKERNS, BRIAN</t>
  </si>
  <si>
    <t>000921624679</t>
  </si>
  <si>
    <t>KULAGA, JOSEPH</t>
  </si>
  <si>
    <t>000921649424</t>
  </si>
  <si>
    <t>TIMMONS, LARRY</t>
  </si>
  <si>
    <t>000921671680</t>
  </si>
  <si>
    <t>OCONNOR, SARAH</t>
  </si>
  <si>
    <t>000921674010</t>
  </si>
  <si>
    <t>DANTONIO, EMILY</t>
  </si>
  <si>
    <t>000921675138</t>
  </si>
  <si>
    <t>GOBLE, THOMAS</t>
  </si>
  <si>
    <t>000921693521</t>
  </si>
  <si>
    <t>PELLEGRINO, SAMMY</t>
  </si>
  <si>
    <t>000921707635</t>
  </si>
  <si>
    <t>FOREMAN, ANGELA</t>
  </si>
  <si>
    <t>000921718522</t>
  </si>
  <si>
    <t>ABLES, MICHELLE</t>
  </si>
  <si>
    <t>000921721880</t>
  </si>
  <si>
    <t>HARRIS, MAURICE</t>
  </si>
  <si>
    <t>000921728956</t>
  </si>
  <si>
    <t>SPENCER, ALLISON</t>
  </si>
  <si>
    <t>000921735222</t>
  </si>
  <si>
    <t>NOLAN, NINA</t>
  </si>
  <si>
    <t>000921737741</t>
  </si>
  <si>
    <t>LAPNIEWSKI, JENNIFER</t>
  </si>
  <si>
    <t>000921751126</t>
  </si>
  <si>
    <t>DUNGAN, KATHLEEN</t>
  </si>
  <si>
    <t>000921759851</t>
  </si>
  <si>
    <t>BURKE, TYLER</t>
  </si>
  <si>
    <t>000921772693</t>
  </si>
  <si>
    <t>PAVLATOS, DEMETRI</t>
  </si>
  <si>
    <t>000957177887</t>
  </si>
  <si>
    <t>000,150.41</t>
  </si>
  <si>
    <t>000,027.07</t>
  </si>
  <si>
    <t>000957182638</t>
  </si>
  <si>
    <t>000957187354</t>
  </si>
  <si>
    <t>GIACOPELLI, YOLANA</t>
  </si>
  <si>
    <t>000957190406</t>
  </si>
  <si>
    <t>LOHAN, DIRK</t>
  </si>
  <si>
    <t>000,276.86</t>
  </si>
  <si>
    <t>000,024.92</t>
  </si>
  <si>
    <t>000957193583</t>
  </si>
  <si>
    <t>MONEGATO, JOHN</t>
  </si>
  <si>
    <t>000,386.94</t>
  </si>
  <si>
    <t>000,019.35</t>
  </si>
  <si>
    <t>000957195975</t>
  </si>
  <si>
    <t>WEITZMAN, DIANE</t>
  </si>
  <si>
    <t>000,203.06</t>
  </si>
  <si>
    <t>000,036.55</t>
  </si>
  <si>
    <t>000957196267</t>
  </si>
  <si>
    <t>HILL, MARY</t>
  </si>
  <si>
    <t>000,189.13</t>
  </si>
  <si>
    <t>000,018.91</t>
  </si>
  <si>
    <t>000957196323</t>
  </si>
  <si>
    <t>HARRISON, BETTY</t>
  </si>
  <si>
    <t>000,194.06</t>
  </si>
  <si>
    <t>000,034.93</t>
  </si>
  <si>
    <t>000957196355</t>
  </si>
  <si>
    <t>HILL, THOMAS</t>
  </si>
  <si>
    <t>000,226.75</t>
  </si>
  <si>
    <t>000,022.68</t>
  </si>
  <si>
    <t>000957199460</t>
  </si>
  <si>
    <t>NELSON, FRED</t>
  </si>
  <si>
    <t>000,254.73</t>
  </si>
  <si>
    <t>000,022.93</t>
  </si>
  <si>
    <t>000957200323</t>
  </si>
  <si>
    <t>RAYMOND, CHAROLETTE</t>
  </si>
  <si>
    <t>000,311.47</t>
  </si>
  <si>
    <t>000,028.03</t>
  </si>
  <si>
    <t>107928853-SU-BARRY L SCHUMANN</t>
  </si>
  <si>
    <t>000921083457</t>
  </si>
  <si>
    <t>MOLNAR, ANNE</t>
  </si>
  <si>
    <t>107928853</t>
  </si>
  <si>
    <t>000921143709</t>
  </si>
  <si>
    <t>LORTS, MARCI</t>
  </si>
  <si>
    <t>000921535672</t>
  </si>
  <si>
    <t>GERAGHTY, CHRISTINE</t>
  </si>
  <si>
    <t>000921573663</t>
  </si>
  <si>
    <t>STRUNK, NATHANAEL</t>
  </si>
  <si>
    <t>000921574058</t>
  </si>
  <si>
    <t>ENGEL, ELLIE</t>
  </si>
  <si>
    <t>000921604268</t>
  </si>
  <si>
    <t>BUSSEY, KRIS</t>
  </si>
  <si>
    <t>000921611263</t>
  </si>
  <si>
    <t>ATILANO, ADRIANA</t>
  </si>
  <si>
    <t>000921650117</t>
  </si>
  <si>
    <t>MANN, NICHOLAS</t>
  </si>
  <si>
    <t>000921720485</t>
  </si>
  <si>
    <t>PONTIKIS, CHRISTINE</t>
  </si>
  <si>
    <t>000921723906</t>
  </si>
  <si>
    <t>FOSTER, MELISSA</t>
  </si>
  <si>
    <t>000921731241</t>
  </si>
  <si>
    <t>FABIANI, ANNA</t>
  </si>
  <si>
    <t>000921732281</t>
  </si>
  <si>
    <t>BRUNNER, RICHARD</t>
  </si>
  <si>
    <t>000921735463</t>
  </si>
  <si>
    <t>MUSILLAMI, PATRICIA</t>
  </si>
  <si>
    <t>000921749845</t>
  </si>
  <si>
    <t>BOFFA, MARTINO</t>
  </si>
  <si>
    <t>000921752189</t>
  </si>
  <si>
    <t>BAYSINGER, PATRICK</t>
  </si>
  <si>
    <t>000921761599</t>
  </si>
  <si>
    <t>BETTENDORF, LORI</t>
  </si>
  <si>
    <t>107928856-SU-JEFFREY E HORN</t>
  </si>
  <si>
    <t>000804469274</t>
  </si>
  <si>
    <t>DAVIS, DAWSON</t>
  </si>
  <si>
    <t>000,036.20</t>
  </si>
  <si>
    <t>107928856</t>
  </si>
  <si>
    <t>000804480783</t>
  </si>
  <si>
    <t>MITCHELL, SUSAN</t>
  </si>
  <si>
    <t>069992</t>
  </si>
  <si>
    <t>000807676876</t>
  </si>
  <si>
    <t>BENSING, DONALD</t>
  </si>
  <si>
    <t>000,081.40</t>
  </si>
  <si>
    <t>000,058.58</t>
  </si>
  <si>
    <t>000890561923</t>
  </si>
  <si>
    <t>KENT, CARL</t>
  </si>
  <si>
    <t>120</t>
  </si>
  <si>
    <t>000920991180</t>
  </si>
  <si>
    <t>ERICKSON, DARRIN</t>
  </si>
  <si>
    <t>000920999078</t>
  </si>
  <si>
    <t>KAITSCHUCK, STEVEN</t>
  </si>
  <si>
    <t>000921271341</t>
  </si>
  <si>
    <t>MONROE, BENJAMIN</t>
  </si>
  <si>
    <t>000921369740</t>
  </si>
  <si>
    <t>DUMPER, ROBERT</t>
  </si>
  <si>
    <t>000921396977</t>
  </si>
  <si>
    <t>ANDERSON, SARAH</t>
  </si>
  <si>
    <t>000921514651</t>
  </si>
  <si>
    <t>MUSSAR, JENNA</t>
  </si>
  <si>
    <t>000921559912</t>
  </si>
  <si>
    <t>SHAW, LASHARA</t>
  </si>
  <si>
    <t>000921682677</t>
  </si>
  <si>
    <t>GASEOR, TRACI</t>
  </si>
  <si>
    <t>000921737830</t>
  </si>
  <si>
    <t>ZACHMAN, JEFFREY</t>
  </si>
  <si>
    <t>000921749969</t>
  </si>
  <si>
    <t>PRICE, SUSAN</t>
  </si>
  <si>
    <t>000921779144</t>
  </si>
  <si>
    <t>PAYNE, RENEE</t>
  </si>
  <si>
    <t>20250501</t>
  </si>
  <si>
    <t>000957054078</t>
  </si>
  <si>
    <t>000,356.09</t>
  </si>
  <si>
    <t>20250115</t>
  </si>
  <si>
    <t>000,017.80</t>
  </si>
  <si>
    <t>000,356.09-</t>
  </si>
  <si>
    <t>000,017.80-</t>
  </si>
  <si>
    <t>20250215</t>
  </si>
  <si>
    <t>000957183257</t>
  </si>
  <si>
    <t>SMERECKY, JOHN</t>
  </si>
  <si>
    <t>000,147.68</t>
  </si>
  <si>
    <t>000,026.58</t>
  </si>
  <si>
    <t>IHD301</t>
  </si>
  <si>
    <t>000957189032</t>
  </si>
  <si>
    <t>DEFAZIO, LAURA</t>
  </si>
  <si>
    <t>000,046.76</t>
  </si>
  <si>
    <t>000,004.68</t>
  </si>
  <si>
    <t>107928863-SU-ANDREA PETRUNGARO</t>
  </si>
  <si>
    <t>000921042801</t>
  </si>
  <si>
    <t>CLEAVE, JOSHUA</t>
  </si>
  <si>
    <t>107928863</t>
  </si>
  <si>
    <t>000921382321</t>
  </si>
  <si>
    <t>SAXON, DAVID</t>
  </si>
  <si>
    <t>000921637697</t>
  </si>
  <si>
    <t>PAPADOPOULOS, DEMETRA</t>
  </si>
  <si>
    <t>000921748438</t>
  </si>
  <si>
    <t>SIPRUT, ANTONIA</t>
  </si>
  <si>
    <t>000921751940</t>
  </si>
  <si>
    <t>STARON, VIOLETTA</t>
  </si>
  <si>
    <t>000921758504</t>
  </si>
  <si>
    <t>MCCARTE, JENNIFER</t>
  </si>
  <si>
    <t>000921759663</t>
  </si>
  <si>
    <t>CERASANI, PAMELA</t>
  </si>
  <si>
    <t>000921764777</t>
  </si>
  <si>
    <t>MURAWSKI, MICHAEL</t>
  </si>
  <si>
    <t>000921765101</t>
  </si>
  <si>
    <t>LARKIN, BRANDON</t>
  </si>
  <si>
    <t>000921776147</t>
  </si>
  <si>
    <t>HUDZIK, TIMOTHY</t>
  </si>
  <si>
    <t>000921779244</t>
  </si>
  <si>
    <t>GARDNER, SCOTT</t>
  </si>
  <si>
    <t>107929170-SU-SAADIA S ABDUL</t>
  </si>
  <si>
    <t>000807936286</t>
  </si>
  <si>
    <t>KHALIL, MOHAMMED</t>
  </si>
  <si>
    <t>107929170</t>
  </si>
  <si>
    <t>000808510805</t>
  </si>
  <si>
    <t>BORRINO, ROBERTA</t>
  </si>
  <si>
    <t>000808513854</t>
  </si>
  <si>
    <t>NAVARRO, FRANCISCO</t>
  </si>
  <si>
    <t>000890142304</t>
  </si>
  <si>
    <t>RANIELI, MARY</t>
  </si>
  <si>
    <t>000890430268</t>
  </si>
  <si>
    <t>FRIEDMAN, IAN</t>
  </si>
  <si>
    <t>000890570747</t>
  </si>
  <si>
    <t>SHARMA, JEETENDRA</t>
  </si>
  <si>
    <t>000920934309</t>
  </si>
  <si>
    <t>PFISTER, STEPHANIE</t>
  </si>
  <si>
    <t>000921029606</t>
  </si>
  <si>
    <t>SMITH, JERRY</t>
  </si>
  <si>
    <t>000921200310</t>
  </si>
  <si>
    <t>ROESCH, DANIELLE</t>
  </si>
  <si>
    <t>000921280651</t>
  </si>
  <si>
    <t>ELMAZ, HASAN</t>
  </si>
  <si>
    <t>000921292424</t>
  </si>
  <si>
    <t>SIDDIQUI, NAEEM</t>
  </si>
  <si>
    <t>000921315563</t>
  </si>
  <si>
    <t>IOVANE, PATRICIA</t>
  </si>
  <si>
    <t>000921322323</t>
  </si>
  <si>
    <t>PAMPLONA, ERIC</t>
  </si>
  <si>
    <t>000921540321</t>
  </si>
  <si>
    <t>VAYNSHTEYN, PHILIP</t>
  </si>
  <si>
    <t>000921549744</t>
  </si>
  <si>
    <t>RICE, MICHAEL</t>
  </si>
  <si>
    <t>000921567778</t>
  </si>
  <si>
    <t>GAVIN, KATHLEEN</t>
  </si>
  <si>
    <t>000,071.46</t>
  </si>
  <si>
    <t>000921591179</t>
  </si>
  <si>
    <t>BLOOMFIELD, CYNTHIA</t>
  </si>
  <si>
    <t>000921609601</t>
  </si>
  <si>
    <t>SAYRE, MEGAN</t>
  </si>
  <si>
    <t>000921612005</t>
  </si>
  <si>
    <t>WEINER-CHARGO, MINDY</t>
  </si>
  <si>
    <t>20220331</t>
  </si>
  <si>
    <t>000921626440</t>
  </si>
  <si>
    <t>NGUYEN, VU</t>
  </si>
  <si>
    <t>000921633364</t>
  </si>
  <si>
    <t>BOYER, VICTOR</t>
  </si>
  <si>
    <t>000921634607</t>
  </si>
  <si>
    <t>ZEJER, TOMASZ</t>
  </si>
  <si>
    <t>000921640623</t>
  </si>
  <si>
    <t>WILLIAMS, LOGAN</t>
  </si>
  <si>
    <t>000921655802</t>
  </si>
  <si>
    <t>MANSOUR, MANSOUR</t>
  </si>
  <si>
    <t>000921658899</t>
  </si>
  <si>
    <t>WIDENER, SEAN</t>
  </si>
  <si>
    <t>000921665726</t>
  </si>
  <si>
    <t>LINDGREN, LAUREN</t>
  </si>
  <si>
    <t>000921679309</t>
  </si>
  <si>
    <t>HORNIK, DAVID</t>
  </si>
  <si>
    <t>000921679852</t>
  </si>
  <si>
    <t>MARTINEZ, ALEXIS</t>
  </si>
  <si>
    <t>000921683547</t>
  </si>
  <si>
    <t>HOOVER, ANDREA</t>
  </si>
  <si>
    <t>000921687552</t>
  </si>
  <si>
    <t>NAPOLETANO, MICHAEL</t>
  </si>
  <si>
    <t>000921690056</t>
  </si>
  <si>
    <t>SAMME, MATTHEW</t>
  </si>
  <si>
    <t>000921692051</t>
  </si>
  <si>
    <t>SCHNUPP, ROSEMARIE</t>
  </si>
  <si>
    <t>000921695547</t>
  </si>
  <si>
    <t>ABRAHAMS, DUREYAH</t>
  </si>
  <si>
    <t>000921712145</t>
  </si>
  <si>
    <t>ORIGER, LINDSAY</t>
  </si>
  <si>
    <t>000921712172</t>
  </si>
  <si>
    <t>ORIGER, DEANNA</t>
  </si>
  <si>
    <t>000921712180</t>
  </si>
  <si>
    <t>ORIGER, LOGAN</t>
  </si>
  <si>
    <t>000921714544</t>
  </si>
  <si>
    <t>KUBAL, MICHAEL</t>
  </si>
  <si>
    <t>000921735271</t>
  </si>
  <si>
    <t>LAVEAU, DAWN</t>
  </si>
  <si>
    <t>000921740652</t>
  </si>
  <si>
    <t>HASHIM, TAHA</t>
  </si>
  <si>
    <t>000921743680</t>
  </si>
  <si>
    <t>THORNTON, JORDEN</t>
  </si>
  <si>
    <t>20240821</t>
  </si>
  <si>
    <t>000921750393</t>
  </si>
  <si>
    <t>SMITH, JUDITH</t>
  </si>
  <si>
    <t>000921750683</t>
  </si>
  <si>
    <t>SHARMA, NAGESH</t>
  </si>
  <si>
    <t>000921760647</t>
  </si>
  <si>
    <t>SITKIEWICZ, SEAN</t>
  </si>
  <si>
    <t>000921762668</t>
  </si>
  <si>
    <t>STOKES, GRACE</t>
  </si>
  <si>
    <t>000921764010</t>
  </si>
  <si>
    <t>VARGAS, HEATHER</t>
  </si>
  <si>
    <t>000921767314</t>
  </si>
  <si>
    <t>SHAFIQ, ARSLAN</t>
  </si>
  <si>
    <t>000921769369</t>
  </si>
  <si>
    <t>KHAN, ADIL</t>
  </si>
  <si>
    <t>000921770452</t>
  </si>
  <si>
    <t>KHAN, AMER</t>
  </si>
  <si>
    <t>000921770955</t>
  </si>
  <si>
    <t>ARIANO, GIUSEPPE</t>
  </si>
  <si>
    <t>000921773402</t>
  </si>
  <si>
    <t>KILLINGER, JONATHAN</t>
  </si>
  <si>
    <t>000921773404</t>
  </si>
  <si>
    <t>ESQUIBEL, ELIZABETH</t>
  </si>
  <si>
    <t>000921775352</t>
  </si>
  <si>
    <t>MARCHESE, VITO</t>
  </si>
  <si>
    <t>000921776494</t>
  </si>
  <si>
    <t>ROBSON, JON PAUL</t>
  </si>
  <si>
    <t>000921779853</t>
  </si>
  <si>
    <t>HAQ, AMATULLAH</t>
  </si>
  <si>
    <t>000957176895</t>
  </si>
  <si>
    <t>000957176901</t>
  </si>
  <si>
    <t>BORRINO, THOMAS</t>
  </si>
  <si>
    <t>000957198887</t>
  </si>
  <si>
    <t>000,259.35</t>
  </si>
  <si>
    <t>000,023.34</t>
  </si>
  <si>
    <t>000957199999</t>
  </si>
  <si>
    <t>MEGLIO, ANTONIO</t>
  </si>
  <si>
    <t>000,257.67</t>
  </si>
  <si>
    <t>000,025.77</t>
  </si>
  <si>
    <t>107929387-SU-STEPHANIE E DRAPAC</t>
  </si>
  <si>
    <t>000920893529</t>
  </si>
  <si>
    <t>LUCZAK, NANCY</t>
  </si>
  <si>
    <t>107929387</t>
  </si>
  <si>
    <t>000920914774</t>
  </si>
  <si>
    <t>MIDLICK, DAVID</t>
  </si>
  <si>
    <t>000920949489</t>
  </si>
  <si>
    <t>HANSON, JARVIS</t>
  </si>
  <si>
    <t>000921260152</t>
  </si>
  <si>
    <t>ZAHUMENSKY, CATHY</t>
  </si>
  <si>
    <t>000921493526</t>
  </si>
  <si>
    <t>URBON, KELLEEN</t>
  </si>
  <si>
    <t>000921515574</t>
  </si>
  <si>
    <t>WAGNER, CHRISTINE</t>
  </si>
  <si>
    <t>000921603746</t>
  </si>
  <si>
    <t>DUNGAN, GRANT</t>
  </si>
  <si>
    <t>000921649052</t>
  </si>
  <si>
    <t>BRIGGS, DAVID</t>
  </si>
  <si>
    <t>000921663718</t>
  </si>
  <si>
    <t>LENTINO, KARI</t>
  </si>
  <si>
    <t>000921685710</t>
  </si>
  <si>
    <t>SLIVOVSKY, JAMES</t>
  </si>
  <si>
    <t>000921698526</t>
  </si>
  <si>
    <t>OBERMANN, SUZANNE</t>
  </si>
  <si>
    <t>000921716008</t>
  </si>
  <si>
    <t>MCCORMICK, TERRI</t>
  </si>
  <si>
    <t>000921754814</t>
  </si>
  <si>
    <t>HASSAN, SANDRA</t>
  </si>
  <si>
    <t>000921756382</t>
  </si>
  <si>
    <t>LITHIO-BEILFUSS, JANICE</t>
  </si>
  <si>
    <t>000921771955</t>
  </si>
  <si>
    <t>FITZSIMMONS, JAN</t>
  </si>
  <si>
    <t>000921777292</t>
  </si>
  <si>
    <t>CHICZEWSKI, JOSEPH</t>
  </si>
  <si>
    <t>107929532-SU-NASANDELGER MUNKHJARGAL ZANA</t>
  </si>
  <si>
    <t>000920829671</t>
  </si>
  <si>
    <t>BOLDBAATAR, TAMIR</t>
  </si>
  <si>
    <t>107929532</t>
  </si>
  <si>
    <t>000921610346</t>
  </si>
  <si>
    <t>ENKHTEGSH, MINJSOR</t>
  </si>
  <si>
    <t>000921641771</t>
  </si>
  <si>
    <t>TUMURKHUYAG, GERELTUYA</t>
  </si>
  <si>
    <t>000921653564</t>
  </si>
  <si>
    <t>TSERENDOLGOR, MUNKHNARAN</t>
  </si>
  <si>
    <t>000921657856</t>
  </si>
  <si>
    <t>DELGERBUYAN, BATMUNKH</t>
  </si>
  <si>
    <t>000921675701</t>
  </si>
  <si>
    <t>MASHBAT, UNDRAGA</t>
  </si>
  <si>
    <t>000921678765</t>
  </si>
  <si>
    <t>GANSUKH, KHULAN</t>
  </si>
  <si>
    <t>000921686738</t>
  </si>
  <si>
    <t>PUREVDASH, TUMENJARGAL</t>
  </si>
  <si>
    <t>000921696760</t>
  </si>
  <si>
    <t>BADARCH, BUYANJARGAL</t>
  </si>
  <si>
    <t>000921698942</t>
  </si>
  <si>
    <t>MYAGMARSUREN, BAZARRAGCHAA</t>
  </si>
  <si>
    <t>000921700565</t>
  </si>
  <si>
    <t>GANSUKH, KHATANBOLD</t>
  </si>
  <si>
    <t>000921702794</t>
  </si>
  <si>
    <t>ZUNDUI, NARANZUL</t>
  </si>
  <si>
    <t>000921709712</t>
  </si>
  <si>
    <t>OTGONTSAGAAN, SUMBERDARIYA</t>
  </si>
  <si>
    <t>000921722448</t>
  </si>
  <si>
    <t>SAMBUUNYAM, KHANDARMAA</t>
  </si>
  <si>
    <t>000921722560</t>
  </si>
  <si>
    <t>BATBOLD, NINJIN</t>
  </si>
  <si>
    <t>000921724517</t>
  </si>
  <si>
    <t>BATBAYAR, MUNKHBAT</t>
  </si>
  <si>
    <t>000921735218</t>
  </si>
  <si>
    <t>CHOGDON, ENKHTUNGALAG</t>
  </si>
  <si>
    <t>000921735619</t>
  </si>
  <si>
    <t>CHIMEDTSEREN, GAN ERDENE</t>
  </si>
  <si>
    <t>000921736153</t>
  </si>
  <si>
    <t>ENKHBOLD, OTGONTUYA</t>
  </si>
  <si>
    <t>000921736429</t>
  </si>
  <si>
    <t>DAGVARENCHIN, ENKHBAYAR</t>
  </si>
  <si>
    <t>000921736594</t>
  </si>
  <si>
    <t>OCHIRBAT, ENKHBAYAR</t>
  </si>
  <si>
    <t>000921738851</t>
  </si>
  <si>
    <t>LUTBAATAR, YESUNTUMUR</t>
  </si>
  <si>
    <t>000921738996</t>
  </si>
  <si>
    <t>CHECHELNITSKIY, ARKADIY</t>
  </si>
  <si>
    <t>000921739573</t>
  </si>
  <si>
    <t>TOGMID, BATTSENGEL</t>
  </si>
  <si>
    <t>000921740632</t>
  </si>
  <si>
    <t>TSOGTBAATAR, BATBAATAR</t>
  </si>
  <si>
    <t>000921742014</t>
  </si>
  <si>
    <t>BALDAN, BATBAYAR</t>
  </si>
  <si>
    <t>000921744568</t>
  </si>
  <si>
    <t>GANBAT, ANKHZUL</t>
  </si>
  <si>
    <t>000921744861</t>
  </si>
  <si>
    <t>MUNKHBAATAR, DAVAAJARGAL</t>
  </si>
  <si>
    <t>000921745067</t>
  </si>
  <si>
    <t>TAIVANJARGAL, ONONGOO</t>
  </si>
  <si>
    <t>000921745105</t>
  </si>
  <si>
    <t>OTRYAD, ITGEL</t>
  </si>
  <si>
    <t>000921746276</t>
  </si>
  <si>
    <t>GANTULGA, OCH ERDEM</t>
  </si>
  <si>
    <t>000921746485</t>
  </si>
  <si>
    <t>BATKHUYAG, BUYANJARGAL</t>
  </si>
  <si>
    <t>000921746677</t>
  </si>
  <si>
    <t>BATZAYA, BULGANTUUL</t>
  </si>
  <si>
    <t>000921746749</t>
  </si>
  <si>
    <t>AYUSHJAV, BAT ULZII</t>
  </si>
  <si>
    <t>000921747266</t>
  </si>
  <si>
    <t>BATMUNKH, DULGUUN</t>
  </si>
  <si>
    <t>000921747344</t>
  </si>
  <si>
    <t>TSEND, MUNKHBAATAR</t>
  </si>
  <si>
    <t>000921747471</t>
  </si>
  <si>
    <t>BANZRAGCH, ALTANTSETSEG</t>
  </si>
  <si>
    <t>000921747764</t>
  </si>
  <si>
    <t>BAASANSUREN, AMARBAYASGALAN</t>
  </si>
  <si>
    <t>000921747768</t>
  </si>
  <si>
    <t>DORJKHAND, TSENGELMAA</t>
  </si>
  <si>
    <t>000921748281</t>
  </si>
  <si>
    <t>MIIMAYAN, OYUNTSETSEG</t>
  </si>
  <si>
    <t>000921748447</t>
  </si>
  <si>
    <t>BYAMBAJAV, ENKHTUYA</t>
  </si>
  <si>
    <t>000921748537</t>
  </si>
  <si>
    <t>BATSAIKHAN, SUVD</t>
  </si>
  <si>
    <t>000921748561</t>
  </si>
  <si>
    <t>BYARUUZAN, TSERENKHAND</t>
  </si>
  <si>
    <t>000921748847</t>
  </si>
  <si>
    <t>NAMSRAI, OTGONBAATAR</t>
  </si>
  <si>
    <t>000921749087</t>
  </si>
  <si>
    <t>MYAGMARSUREN, SELENGE</t>
  </si>
  <si>
    <t>000921749763</t>
  </si>
  <si>
    <t>JUMDAA, OYUN</t>
  </si>
  <si>
    <t>000921750193</t>
  </si>
  <si>
    <t>BORKHUU, OTGONBAT</t>
  </si>
  <si>
    <t>000921750291</t>
  </si>
  <si>
    <t>DORJ, BATMANDAKH</t>
  </si>
  <si>
    <t>000921750363</t>
  </si>
  <si>
    <t>MUNKHBAYAR, ERBOLD</t>
  </si>
  <si>
    <t>000921750380</t>
  </si>
  <si>
    <t>SEREENEN, MUNKHJARGAL</t>
  </si>
  <si>
    <t>000921751082</t>
  </si>
  <si>
    <t>BIIRAA, BATKHISHIG</t>
  </si>
  <si>
    <t>000921751638</t>
  </si>
  <si>
    <t>TSOGBAYAR, ENKHBAT</t>
  </si>
  <si>
    <t>000921751641</t>
  </si>
  <si>
    <t>ARIYAJAV, DELGER</t>
  </si>
  <si>
    <t>000921752090</t>
  </si>
  <si>
    <t>GANBAATAR, BATKHISHIG</t>
  </si>
  <si>
    <t>000921752496</t>
  </si>
  <si>
    <t>GAAJAV, URANBYAMBAA</t>
  </si>
  <si>
    <t>000921752531</t>
  </si>
  <si>
    <t>MUNKHULZII, MANLAIBAATAR</t>
  </si>
  <si>
    <t>000921753994</t>
  </si>
  <si>
    <t>ADIYADORJ, MUNKHBAYAR</t>
  </si>
  <si>
    <t>000921754199</t>
  </si>
  <si>
    <t>BATJARGAL, BAYARTSETSEG</t>
  </si>
  <si>
    <t>000921755395</t>
  </si>
  <si>
    <t>SHARAVDORJ, BAYARMAA</t>
  </si>
  <si>
    <t>000921755686</t>
  </si>
  <si>
    <t>BAVUUDORJ, BATTUYA</t>
  </si>
  <si>
    <t>000921756543</t>
  </si>
  <si>
    <t>BATBAYAR, UGUUMUR</t>
  </si>
  <si>
    <t>000921758975</t>
  </si>
  <si>
    <t>MUNKHBAYAR, JARGALSAIKHAN</t>
  </si>
  <si>
    <t>000921759225</t>
  </si>
  <si>
    <t>BINDERIYA, ANKHBAYAR</t>
  </si>
  <si>
    <t>000921760507</t>
  </si>
  <si>
    <t>DALAI, BAYARSAIKHAN</t>
  </si>
  <si>
    <t>000921761589</t>
  </si>
  <si>
    <t>MUNKHTOGOO, ERDENEBAT</t>
  </si>
  <si>
    <t>000921761622</t>
  </si>
  <si>
    <t>YAGAANBAATAR, ODONTUYA</t>
  </si>
  <si>
    <t>000921761807</t>
  </si>
  <si>
    <t>NINA, ERDENE OCHIR</t>
  </si>
  <si>
    <t>000921762274</t>
  </si>
  <si>
    <t>BATBAYAR, SARUULTUGS</t>
  </si>
  <si>
    <t>000921768201</t>
  </si>
  <si>
    <t>BUDJAV, BOLORMAA</t>
  </si>
  <si>
    <t>000921768634</t>
  </si>
  <si>
    <t>BADARCHIN, MUNKHSAIKHAN</t>
  </si>
  <si>
    <t>000921768673</t>
  </si>
  <si>
    <t>TOGTOKHBAYAR, LKHAGVASUREN</t>
  </si>
  <si>
    <t>000921769118</t>
  </si>
  <si>
    <t>BUYANRAVJIKH, ORGILERDENE</t>
  </si>
  <si>
    <t>000921769768</t>
  </si>
  <si>
    <t>SANJAA, ODBILEG</t>
  </si>
  <si>
    <t>000921771418</t>
  </si>
  <si>
    <t>GANBOLD, SOYOLMAA</t>
  </si>
  <si>
    <t>000921776567</t>
  </si>
  <si>
    <t>RINCHINDORJ, YERUULT</t>
  </si>
  <si>
    <t>000921777103</t>
  </si>
  <si>
    <t>TUMURCHUGDUR, GANTSETSEG</t>
  </si>
  <si>
    <t>000921777265</t>
  </si>
  <si>
    <t>BAATAR, ENKH-ORCHLON</t>
  </si>
  <si>
    <t>000921778415</t>
  </si>
  <si>
    <t>DAMBADARJAA, TUGULDUR</t>
  </si>
  <si>
    <t>000921778754</t>
  </si>
  <si>
    <t>RAVDAN, GANZORIG</t>
  </si>
  <si>
    <t>000921778993</t>
  </si>
  <si>
    <t>NYAMTSEREN, BADAMTSETSEG</t>
  </si>
  <si>
    <t>000921779082</t>
  </si>
  <si>
    <t>ONKHOODOI, ODGEREL</t>
  </si>
  <si>
    <t>107929705-SU-HEATHER MARIE GESKE</t>
  </si>
  <si>
    <t>000921100154</t>
  </si>
  <si>
    <t>KING, ERICA</t>
  </si>
  <si>
    <t>107929705</t>
  </si>
  <si>
    <t>000921449290</t>
  </si>
  <si>
    <t>O'ROURKE, KIMBERLY</t>
  </si>
  <si>
    <t>000921585426</t>
  </si>
  <si>
    <t>JANNOTTA, CAROL</t>
  </si>
  <si>
    <t>000921743493</t>
  </si>
  <si>
    <t>MERKEL, JACOB</t>
  </si>
  <si>
    <t>000957178708</t>
  </si>
  <si>
    <t>TOTH, GERALYN</t>
  </si>
  <si>
    <t>000,013.69</t>
  </si>
  <si>
    <t>107929777-SU-ESTHER M HERRERA-LARSEN</t>
  </si>
  <si>
    <t>000808531931</t>
  </si>
  <si>
    <t>MARTINELLI, CATHY</t>
  </si>
  <si>
    <t>107929777</t>
  </si>
  <si>
    <t>000920913321</t>
  </si>
  <si>
    <t>CARBAJAL, MARGARITO</t>
  </si>
  <si>
    <t>000921480992</t>
  </si>
  <si>
    <t>CHAVAN, SANGITA</t>
  </si>
  <si>
    <t>000921493746</t>
  </si>
  <si>
    <t>ADAIR, LAURA</t>
  </si>
  <si>
    <t>000921500141</t>
  </si>
  <si>
    <t>RODRIGUEZ, GRISELDA</t>
  </si>
  <si>
    <t>000921511219</t>
  </si>
  <si>
    <t>CRUZ, MARIA</t>
  </si>
  <si>
    <t>000921566146</t>
  </si>
  <si>
    <t>GUTIERREZ, JACQUELINA</t>
  </si>
  <si>
    <t>000921568365</t>
  </si>
  <si>
    <t>VANHOUTEN, GRETCHEN</t>
  </si>
  <si>
    <t>000921577108</t>
  </si>
  <si>
    <t>AGUERO, ERIKA</t>
  </si>
  <si>
    <t>000921613196</t>
  </si>
  <si>
    <t>DUNNE, MEGAN</t>
  </si>
  <si>
    <t>000921660934</t>
  </si>
  <si>
    <t>ROMERO, FEDERICO</t>
  </si>
  <si>
    <t>000921688165</t>
  </si>
  <si>
    <t>MOSTYN, JORDAN</t>
  </si>
  <si>
    <t>000921689009</t>
  </si>
  <si>
    <t>CHAVEZ, GABRIELA</t>
  </si>
  <si>
    <t>000921772181</t>
  </si>
  <si>
    <t>RICE, REBECCA</t>
  </si>
  <si>
    <t>000957201791</t>
  </si>
  <si>
    <t>SHER, FRANCA</t>
  </si>
  <si>
    <t>000,436.01</t>
  </si>
  <si>
    <t>MEU</t>
  </si>
  <si>
    <t>000,021.80</t>
  </si>
  <si>
    <t>107930733-SU-PAUL ROBINSON</t>
  </si>
  <si>
    <t>000808516864</t>
  </si>
  <si>
    <t>ZIEGLER, LARRY</t>
  </si>
  <si>
    <t>000,028.50</t>
  </si>
  <si>
    <t>107930733</t>
  </si>
  <si>
    <t>000,013.10</t>
  </si>
  <si>
    <t>000,027.70</t>
  </si>
  <si>
    <t>000921774585</t>
  </si>
  <si>
    <t>GALIOTO, ANTHONY</t>
  </si>
  <si>
    <t>000957087313</t>
  </si>
  <si>
    <t>SCHOENBERG, PATRICIA</t>
  </si>
  <si>
    <t>000,227.46</t>
  </si>
  <si>
    <t>000,020.47</t>
  </si>
  <si>
    <t>000957183023</t>
  </si>
  <si>
    <t>ZIEGLAR, LARRY</t>
  </si>
  <si>
    <t>000957192247</t>
  </si>
  <si>
    <t>KANDEL, ANDREA</t>
  </si>
  <si>
    <t>000,170.76</t>
  </si>
  <si>
    <t>000,017.08</t>
  </si>
  <si>
    <t>107931129-SU-MICHAEL DUNAVANT</t>
  </si>
  <si>
    <t>069112</t>
  </si>
  <si>
    <t>000804459238</t>
  </si>
  <si>
    <t>ECKLEY, JOHN</t>
  </si>
  <si>
    <t>107931129</t>
  </si>
  <si>
    <t>000804459242</t>
  </si>
  <si>
    <t>FARRELL, ELLEN</t>
  </si>
  <si>
    <t>000804462446</t>
  </si>
  <si>
    <t>COOLEY, KATHLEEN</t>
  </si>
  <si>
    <t>000808520534</t>
  </si>
  <si>
    <t>PRESSON, HOLLY</t>
  </si>
  <si>
    <t>000890119738</t>
  </si>
  <si>
    <t>SCHULTZ, CHARLES</t>
  </si>
  <si>
    <t>000921162486</t>
  </si>
  <si>
    <t>PATTERSON, SHANNON</t>
  </si>
  <si>
    <t>000,001.74</t>
  </si>
  <si>
    <t>000921611622</t>
  </si>
  <si>
    <t>ANDERSON, MOLLY</t>
  </si>
  <si>
    <t>000921760611</t>
  </si>
  <si>
    <t>MAGSOMBOL, NIEL</t>
  </si>
  <si>
    <t>000921762696</t>
  </si>
  <si>
    <t>MCBRIDE, STEVEN</t>
  </si>
  <si>
    <t>000921765149</t>
  </si>
  <si>
    <t>ELDER, ASHTIN</t>
  </si>
  <si>
    <t>000921769307</t>
  </si>
  <si>
    <t>MEYER, JAYSON</t>
  </si>
  <si>
    <t>000921772109</t>
  </si>
  <si>
    <t>KRAFT, ELLE</t>
  </si>
  <si>
    <t>000921772139</t>
  </si>
  <si>
    <t>SCHULTZ, JOSEPH</t>
  </si>
  <si>
    <t>000921772932</t>
  </si>
  <si>
    <t>PARUNGAO, HAILEY</t>
  </si>
  <si>
    <t>000921775596</t>
  </si>
  <si>
    <t>MOCK, ANDREW</t>
  </si>
  <si>
    <t>000921775834</t>
  </si>
  <si>
    <t>JOBE, JENNIFER</t>
  </si>
  <si>
    <t>000921776028</t>
  </si>
  <si>
    <t>BOUNDS, DARRICK</t>
  </si>
  <si>
    <t>000921777125</t>
  </si>
  <si>
    <t>VEGA, EVELYN</t>
  </si>
  <si>
    <t>000921777536</t>
  </si>
  <si>
    <t>RAGAINS, NICOLE</t>
  </si>
  <si>
    <t>000921777700</t>
  </si>
  <si>
    <t>MCKINNEY, TRENT</t>
  </si>
  <si>
    <t>000921778425</t>
  </si>
  <si>
    <t>NEAL, JOEL</t>
  </si>
  <si>
    <t>000921778830</t>
  </si>
  <si>
    <t>MURPHY JR, BILLY</t>
  </si>
  <si>
    <t>000921779167</t>
  </si>
  <si>
    <t>HENDERSON, JILLIAN</t>
  </si>
  <si>
    <t>000921779277</t>
  </si>
  <si>
    <t>BRAKSICK, JANET</t>
  </si>
  <si>
    <t>000921779942</t>
  </si>
  <si>
    <t>CARLSON, CHRISTOPHER</t>
  </si>
  <si>
    <t>000921779972</t>
  </si>
  <si>
    <t>RATHBUN, MICHELLE</t>
  </si>
  <si>
    <t>000957178893</t>
  </si>
  <si>
    <t>CORKILL, CAROL</t>
  </si>
  <si>
    <t>000957181213</t>
  </si>
  <si>
    <t>STONE, JEAN</t>
  </si>
  <si>
    <t>000957182456</t>
  </si>
  <si>
    <t>GULLERUD, ERIC</t>
  </si>
  <si>
    <t>000957183756</t>
  </si>
  <si>
    <t>BOBER, KATHLEEN</t>
  </si>
  <si>
    <t>000,147.19</t>
  </si>
  <si>
    <t>000,014.72</t>
  </si>
  <si>
    <t>000957184688</t>
  </si>
  <si>
    <t>BACKAS, PAULA</t>
  </si>
  <si>
    <t>000,159.58</t>
  </si>
  <si>
    <t>000,015.96</t>
  </si>
  <si>
    <t>000957185301</t>
  </si>
  <si>
    <t>HECKMAN, HANNELORE</t>
  </si>
  <si>
    <t>20250326</t>
  </si>
  <si>
    <t>20240926</t>
  </si>
  <si>
    <t>000957186406</t>
  </si>
  <si>
    <t>RUTLEDGE, SHARON</t>
  </si>
  <si>
    <t>000,177.31</t>
  </si>
  <si>
    <t>000,017.73</t>
  </si>
  <si>
    <t>000957186775</t>
  </si>
  <si>
    <t>HILTABRAND, ELISABETH</t>
  </si>
  <si>
    <t>000957187801</t>
  </si>
  <si>
    <t>DRUMMET, JOHN</t>
  </si>
  <si>
    <t>000,277.44</t>
  </si>
  <si>
    <t>20250319</t>
  </si>
  <si>
    <t>20241019</t>
  </si>
  <si>
    <t>000,027.74</t>
  </si>
  <si>
    <t>000957188465</t>
  </si>
  <si>
    <t>FEARMAN, DORIS</t>
  </si>
  <si>
    <t>000,127.19</t>
  </si>
  <si>
    <t>000,022.89</t>
  </si>
  <si>
    <t>000957191665</t>
  </si>
  <si>
    <t>SPARKS, GARY</t>
  </si>
  <si>
    <t>000,258.02</t>
  </si>
  <si>
    <t>000,025.80</t>
  </si>
  <si>
    <t>000957192877</t>
  </si>
  <si>
    <t>GRUBB, CAROLE</t>
  </si>
  <si>
    <t>000,296.16</t>
  </si>
  <si>
    <t>000,014.81</t>
  </si>
  <si>
    <t>000957193999</t>
  </si>
  <si>
    <t>WOLLENSCHLAGER, TRUDY</t>
  </si>
  <si>
    <t>000,268.64</t>
  </si>
  <si>
    <t>000,013.43</t>
  </si>
  <si>
    <t>000957196432</t>
  </si>
  <si>
    <t>BAUMHARDT, JEAN</t>
  </si>
  <si>
    <t>000,232.64</t>
  </si>
  <si>
    <t>000,023.26</t>
  </si>
  <si>
    <t>000957197466</t>
  </si>
  <si>
    <t>WILLIAMS, ROGER</t>
  </si>
  <si>
    <t>000,331.74</t>
  </si>
  <si>
    <t>000,016.59</t>
  </si>
  <si>
    <t>000957197523</t>
  </si>
  <si>
    <t>SCHLOEGEL, MARGARETE</t>
  </si>
  <si>
    <t>000,157.42</t>
  </si>
  <si>
    <t>000,015.74</t>
  </si>
  <si>
    <t>000957199091</t>
  </si>
  <si>
    <t>LAKEN, DANIEL</t>
  </si>
  <si>
    <t>000,208.62</t>
  </si>
  <si>
    <t>000,020.86</t>
  </si>
  <si>
    <t>107931179-SU-BRIAN CHRISTOPHER STROHMAN</t>
  </si>
  <si>
    <t>000808533968</t>
  </si>
  <si>
    <t>NELSON, NANCY</t>
  </si>
  <si>
    <t>107931179</t>
  </si>
  <si>
    <t>000920744066</t>
  </si>
  <si>
    <t>SHUTE, LAWRENCE</t>
  </si>
  <si>
    <t>000920796228</t>
  </si>
  <si>
    <t>ROBINSON, ADAM</t>
  </si>
  <si>
    <t>000920825168</t>
  </si>
  <si>
    <t>KASSAM, KABIR</t>
  </si>
  <si>
    <t>000921091850</t>
  </si>
  <si>
    <t>ROUSE, NICOLE</t>
  </si>
  <si>
    <t>000921478193</t>
  </si>
  <si>
    <t>INGERSOLL, LESLIE</t>
  </si>
  <si>
    <t>000921547998</t>
  </si>
  <si>
    <t>SHUTE, TINA</t>
  </si>
  <si>
    <t>000921663457</t>
  </si>
  <si>
    <t>CARL, FRANK</t>
  </si>
  <si>
    <t>000,001.08</t>
  </si>
  <si>
    <t>000921739499</t>
  </si>
  <si>
    <t>ADELMAN, MARC</t>
  </si>
  <si>
    <t>000921740792</t>
  </si>
  <si>
    <t>MELNICK, MICHAEL</t>
  </si>
  <si>
    <t>000921759477</t>
  </si>
  <si>
    <t>VELARDE, ANDRE</t>
  </si>
  <si>
    <t>000921773349</t>
  </si>
  <si>
    <t>BUHL, RICHARD</t>
  </si>
  <si>
    <t>000921773888</t>
  </si>
  <si>
    <t>KUMRA, UDEY</t>
  </si>
  <si>
    <t>000921778267</t>
  </si>
  <si>
    <t>LANGAN, THOMAS</t>
  </si>
  <si>
    <t>000921780125</t>
  </si>
  <si>
    <t>JUDKINS, DONOVAN</t>
  </si>
  <si>
    <t>000957199978</t>
  </si>
  <si>
    <t>KNIGHT, NANCY</t>
  </si>
  <si>
    <t>000,189.49</t>
  </si>
  <si>
    <t>000,018.95</t>
  </si>
  <si>
    <t>107931701-SU-THOMAS PARDUE</t>
  </si>
  <si>
    <t>000921138752</t>
  </si>
  <si>
    <t>MOORE, JUDITH</t>
  </si>
  <si>
    <t>107931701</t>
  </si>
  <si>
    <t>000921691987</t>
  </si>
  <si>
    <t>GAMLUCH BOLIVAR, REIMAN</t>
  </si>
  <si>
    <t>000921702671</t>
  </si>
  <si>
    <t>GONZALEZ ALBORNOZ, GRECHEL</t>
  </si>
  <si>
    <t>000921735115</t>
  </si>
  <si>
    <t>KAPANGA, SEAN</t>
  </si>
  <si>
    <t>000921779955</t>
  </si>
  <si>
    <t>CORDES, ASHLEN</t>
  </si>
  <si>
    <t>107932908-SU-CHAD J YALE</t>
  </si>
  <si>
    <t>000890193468</t>
  </si>
  <si>
    <t>WEISS, KATHY</t>
  </si>
  <si>
    <t>107932908</t>
  </si>
  <si>
    <t>000890582992</t>
  </si>
  <si>
    <t>GRAVINA, ANNA</t>
  </si>
  <si>
    <t>000921222785</t>
  </si>
  <si>
    <t>TANNER, LAURA</t>
  </si>
  <si>
    <t>000921258551</t>
  </si>
  <si>
    <t>TUMAN, KATELYN</t>
  </si>
  <si>
    <t>000921422828</t>
  </si>
  <si>
    <t>LUDLOW, JUDITH</t>
  </si>
  <si>
    <t>000921594843</t>
  </si>
  <si>
    <t>CROSS, DARREN</t>
  </si>
  <si>
    <t>000921614734</t>
  </si>
  <si>
    <t>ROSS, KELSEY</t>
  </si>
  <si>
    <t>000921632916</t>
  </si>
  <si>
    <t>METTAM, DOUGLAS</t>
  </si>
  <si>
    <t>000921649707</t>
  </si>
  <si>
    <t>CHAMBERS, JERIMY</t>
  </si>
  <si>
    <t>000921655451</t>
  </si>
  <si>
    <t>HO, CARLY</t>
  </si>
  <si>
    <t>000921655868</t>
  </si>
  <si>
    <t>COBEN, PATRICIA</t>
  </si>
  <si>
    <t>107934270-SU-TOM EDWARD SERIO</t>
  </si>
  <si>
    <t>000804466456</t>
  </si>
  <si>
    <t>WENZEL, DANIEL</t>
  </si>
  <si>
    <t>107934270</t>
  </si>
  <si>
    <t>000890314576</t>
  </si>
  <si>
    <t>DAVIS, JAMES</t>
  </si>
  <si>
    <t>000890646180</t>
  </si>
  <si>
    <t>BUSTARD, LINDA</t>
  </si>
  <si>
    <t>000921255409</t>
  </si>
  <si>
    <t>FREEMAN, MARKE</t>
  </si>
  <si>
    <t>000921430776</t>
  </si>
  <si>
    <t>STOEWER, TRACY</t>
  </si>
  <si>
    <t>000921502568</t>
  </si>
  <si>
    <t>CARTER, MEGAN</t>
  </si>
  <si>
    <t>000921608884</t>
  </si>
  <si>
    <t>CANONNE, SEBASTIEN</t>
  </si>
  <si>
    <t>000921625956</t>
  </si>
  <si>
    <t>ALLENDORF, KEITH</t>
  </si>
  <si>
    <t>000921654944</t>
  </si>
  <si>
    <t>GILLEY, AUSTIN</t>
  </si>
  <si>
    <t>000921685986</t>
  </si>
  <si>
    <t>SERIO, TOM</t>
  </si>
  <si>
    <t>000921704033</t>
  </si>
  <si>
    <t>WOJCZYNSKI, JOURDAN</t>
  </si>
  <si>
    <t>000921737642</t>
  </si>
  <si>
    <t>WERES, STEFAN</t>
  </si>
  <si>
    <t>000921759989</t>
  </si>
  <si>
    <t>DAVIS, CHARLES</t>
  </si>
  <si>
    <t>000921761471</t>
  </si>
  <si>
    <t>LANGFIELD, EMILY</t>
  </si>
  <si>
    <t>000921769734</t>
  </si>
  <si>
    <t>CAMPO, JACK</t>
  </si>
  <si>
    <t>000921779534</t>
  </si>
  <si>
    <t>GAVRAN, MONICA</t>
  </si>
  <si>
    <t>000957181119</t>
  </si>
  <si>
    <t>PIGNATIELLO, CARMEN</t>
  </si>
  <si>
    <t>000,149.84</t>
  </si>
  <si>
    <t>000,014.98</t>
  </si>
  <si>
    <t>000957181120</t>
  </si>
  <si>
    <t>PIGNATIELLO, KAREN</t>
  </si>
  <si>
    <t>000957181187</t>
  </si>
  <si>
    <t>KUR, LYN</t>
  </si>
  <si>
    <t>000957191991</t>
  </si>
  <si>
    <t>BORGESON, GLORY</t>
  </si>
  <si>
    <t>000957206187</t>
  </si>
  <si>
    <t>GAVRAN, GEORGE</t>
  </si>
  <si>
    <t>20250323</t>
  </si>
  <si>
    <t>20250123</t>
  </si>
  <si>
    <t>20250223</t>
  </si>
  <si>
    <t>107934277-SU-DALE JON WALENGA</t>
  </si>
  <si>
    <t>000808525883</t>
  </si>
  <si>
    <t>BRINKMEIER, GREGORY</t>
  </si>
  <si>
    <t>107934277</t>
  </si>
  <si>
    <t>000890114150</t>
  </si>
  <si>
    <t>BRINNICH, PETER</t>
  </si>
  <si>
    <t>000890282791</t>
  </si>
  <si>
    <t>ECONOM, BILL</t>
  </si>
  <si>
    <t>000920747803</t>
  </si>
  <si>
    <t>FUCHS, VICTORIA</t>
  </si>
  <si>
    <t>000920807404</t>
  </si>
  <si>
    <t>BURKE, KATHERINE</t>
  </si>
  <si>
    <t>20161001</t>
  </si>
  <si>
    <t>102</t>
  </si>
  <si>
    <t>000920809828</t>
  </si>
  <si>
    <t>LEACH, BRIAN</t>
  </si>
  <si>
    <t>000920917214</t>
  </si>
  <si>
    <t>LAING, MELISSA</t>
  </si>
  <si>
    <t>000920943059</t>
  </si>
  <si>
    <t>SAUNDERS, GINA</t>
  </si>
  <si>
    <t>000920943822</t>
  </si>
  <si>
    <t>STOREY, DENICE</t>
  </si>
  <si>
    <t>000921019452</t>
  </si>
  <si>
    <t>BRAR, NAGAR</t>
  </si>
  <si>
    <t>000921060189</t>
  </si>
  <si>
    <t>PATEL, BHARAT</t>
  </si>
  <si>
    <t>000921096589</t>
  </si>
  <si>
    <t>DAOUD, NICOLA</t>
  </si>
  <si>
    <t>000921147211</t>
  </si>
  <si>
    <t>USELDING, THOMAS</t>
  </si>
  <si>
    <t>000921258054</t>
  </si>
  <si>
    <t>COLLIER, DOUGLAS</t>
  </si>
  <si>
    <t>000921331639</t>
  </si>
  <si>
    <t>YOUNG, WILLIAM</t>
  </si>
  <si>
    <t>000921361689</t>
  </si>
  <si>
    <t>000921366382</t>
  </si>
  <si>
    <t>GALLO, MARY</t>
  </si>
  <si>
    <t>000921400018</t>
  </si>
  <si>
    <t>DUNN, SHERYL</t>
  </si>
  <si>
    <t>000921401598</t>
  </si>
  <si>
    <t>GALANES, NIKOLE</t>
  </si>
  <si>
    <t>20201001</t>
  </si>
  <si>
    <t>000921410093</t>
  </si>
  <si>
    <t>HALPER, FRANK</t>
  </si>
  <si>
    <t>000921425918</t>
  </si>
  <si>
    <t>OWEN, MICHAEL</t>
  </si>
  <si>
    <t>20180901</t>
  </si>
  <si>
    <t>079</t>
  </si>
  <si>
    <t>000921428698</t>
  </si>
  <si>
    <t>MORAR, CLARA</t>
  </si>
  <si>
    <t>20181001</t>
  </si>
  <si>
    <t>000921437252</t>
  </si>
  <si>
    <t>BILEK, HEATHER</t>
  </si>
  <si>
    <t>000921437502</t>
  </si>
  <si>
    <t>BUSCEMI, GIANNA</t>
  </si>
  <si>
    <t>000921480505</t>
  </si>
  <si>
    <t>BURGESS, NANCY</t>
  </si>
  <si>
    <t>000921491611</t>
  </si>
  <si>
    <t>TARNOWSKI, SHELBY</t>
  </si>
  <si>
    <t>000921495277</t>
  </si>
  <si>
    <t>UPADHYAY, JIGNESH</t>
  </si>
  <si>
    <t>000921524108</t>
  </si>
  <si>
    <t>TOW, JOHN</t>
  </si>
  <si>
    <t>000921531601</t>
  </si>
  <si>
    <t>DIDOMENIC, KRISTEN</t>
  </si>
  <si>
    <t>000921534217</t>
  </si>
  <si>
    <t>BAKER, MICHELLE</t>
  </si>
  <si>
    <t>000921549194</t>
  </si>
  <si>
    <t>GEBHARDT, LAURA</t>
  </si>
  <si>
    <t>000921550979</t>
  </si>
  <si>
    <t>LAUTERBACH, EMILY</t>
  </si>
  <si>
    <t>000921558157</t>
  </si>
  <si>
    <t>STANCY, MICHAEL</t>
  </si>
  <si>
    <t>049</t>
  </si>
  <si>
    <t>000921559300</t>
  </si>
  <si>
    <t>RUBINO, GIOVANNA</t>
  </si>
  <si>
    <t>000921560384</t>
  </si>
  <si>
    <t>ZIEGLER, DANNY</t>
  </si>
  <si>
    <t>000921564156</t>
  </si>
  <si>
    <t>RAMSER, RICHARD</t>
  </si>
  <si>
    <t>000921566575</t>
  </si>
  <si>
    <t>WILTERMOOD, RYAN</t>
  </si>
  <si>
    <t>000921569217</t>
  </si>
  <si>
    <t>BOTT, DANIEL</t>
  </si>
  <si>
    <t>000921572037</t>
  </si>
  <si>
    <t>KIDD, SUSAN</t>
  </si>
  <si>
    <t>000921583805</t>
  </si>
  <si>
    <t>FALKENTHAL, JUSTINE</t>
  </si>
  <si>
    <t>000921604912</t>
  </si>
  <si>
    <t>VOELLINGER, CAROL</t>
  </si>
  <si>
    <t>000921608326</t>
  </si>
  <si>
    <t>TODOROVIC, ALEKSANDRIJA</t>
  </si>
  <si>
    <t>000921614006</t>
  </si>
  <si>
    <t>PACHUTA, DOROTHY</t>
  </si>
  <si>
    <t>000921618617</t>
  </si>
  <si>
    <t>APOSTAL, JILL</t>
  </si>
  <si>
    <t>000921624894</t>
  </si>
  <si>
    <t>KINNUNEN, COLLEEN</t>
  </si>
  <si>
    <t>000921629549</t>
  </si>
  <si>
    <t>NEVA, DENNIS</t>
  </si>
  <si>
    <t>000921640725</t>
  </si>
  <si>
    <t>LOIACANO, DANIEL</t>
  </si>
  <si>
    <t>000921651490</t>
  </si>
  <si>
    <t>LEVI, EUGENE</t>
  </si>
  <si>
    <t>000921655328</t>
  </si>
  <si>
    <t>FEENEY, DANIEL</t>
  </si>
  <si>
    <t>000921657715</t>
  </si>
  <si>
    <t>PIKE, KATIE</t>
  </si>
  <si>
    <t>000921658559</t>
  </si>
  <si>
    <t>IAVARONE, JERRY</t>
  </si>
  <si>
    <t>000921661189</t>
  </si>
  <si>
    <t>CURRAN, KATHLEEN</t>
  </si>
  <si>
    <t>000921685609</t>
  </si>
  <si>
    <t>BROWN, DEBRA</t>
  </si>
  <si>
    <t>000921686296</t>
  </si>
  <si>
    <t>HANOVER, KIM</t>
  </si>
  <si>
    <t>000921707523</t>
  </si>
  <si>
    <t>NOIA, GRACE</t>
  </si>
  <si>
    <t>000921708948</t>
  </si>
  <si>
    <t>ADAMS, KAYLA</t>
  </si>
  <si>
    <t>000921711185</t>
  </si>
  <si>
    <t>CRONIN, MEGAN</t>
  </si>
  <si>
    <t>IG1504</t>
  </si>
  <si>
    <t>000921712330</t>
  </si>
  <si>
    <t>FRAWLEY, KATHRYN</t>
  </si>
  <si>
    <t>000,030.66</t>
  </si>
  <si>
    <t>000,001.84</t>
  </si>
  <si>
    <t>000921717671</t>
  </si>
  <si>
    <t>LAWSON, FRANK</t>
  </si>
  <si>
    <t>000921733676</t>
  </si>
  <si>
    <t>MILLER, KAREN</t>
  </si>
  <si>
    <t>000921741198</t>
  </si>
  <si>
    <t>SMILE, MIA</t>
  </si>
  <si>
    <t>000921749527</t>
  </si>
  <si>
    <t>SMITH, SANDRA</t>
  </si>
  <si>
    <t>IB2303</t>
  </si>
  <si>
    <t>000921750608</t>
  </si>
  <si>
    <t>EIDEN, JEAN</t>
  </si>
  <si>
    <t>000921752749</t>
  </si>
  <si>
    <t>TEMPLETON, ATREYU</t>
  </si>
  <si>
    <t>000921753448</t>
  </si>
  <si>
    <t>SEPSEY, DAVID</t>
  </si>
  <si>
    <t>000921753939</t>
  </si>
  <si>
    <t>WIDMARK, STUART</t>
  </si>
  <si>
    <t>000921761322</t>
  </si>
  <si>
    <t>SALAS BERNAL, EXDALIA</t>
  </si>
  <si>
    <t>000,090.00</t>
  </si>
  <si>
    <t>000921765817</t>
  </si>
  <si>
    <t>DROST, CHLOE</t>
  </si>
  <si>
    <t>000921766386</t>
  </si>
  <si>
    <t>SKOUBIS, WILLIAM</t>
  </si>
  <si>
    <t>IB2302</t>
  </si>
  <si>
    <t>000921770026</t>
  </si>
  <si>
    <t>BACH, MATTHEW</t>
  </si>
  <si>
    <t>000921771373</t>
  </si>
  <si>
    <t>MITARITONNA, ANGELA</t>
  </si>
  <si>
    <t>000921772983</t>
  </si>
  <si>
    <t>000921774856</t>
  </si>
  <si>
    <t>BERNAL, NATALIA</t>
  </si>
  <si>
    <t>000921775150</t>
  </si>
  <si>
    <t>JESSEN, ERIN</t>
  </si>
  <si>
    <t>000921775707</t>
  </si>
  <si>
    <t>HUXTABLE, LAURA</t>
  </si>
  <si>
    <t>000921775848</t>
  </si>
  <si>
    <t>HOWER, JOSEPH</t>
  </si>
  <si>
    <t>IB2305</t>
  </si>
  <si>
    <t>000921776253</t>
  </si>
  <si>
    <t>ALVAREZ GILES, LAURO</t>
  </si>
  <si>
    <t>000921779442</t>
  </si>
  <si>
    <t>DECOSTE, FRANCES</t>
  </si>
  <si>
    <t>000957180281</t>
  </si>
  <si>
    <t>SCHOLLE, DAVID</t>
  </si>
  <si>
    <t>000957181234</t>
  </si>
  <si>
    <t>RIEMER, DONNA</t>
  </si>
  <si>
    <t>000957182082</t>
  </si>
  <si>
    <t>BUFFO, DIANNE</t>
  </si>
  <si>
    <t>000,135.13-</t>
  </si>
  <si>
    <t>000,024.32-</t>
  </si>
  <si>
    <t>000,135.13</t>
  </si>
  <si>
    <t>000,024.32</t>
  </si>
  <si>
    <t>000957190088</t>
  </si>
  <si>
    <t>BONASERA, SABRINA</t>
  </si>
  <si>
    <t>000,158.77</t>
  </si>
  <si>
    <t>000,028.58</t>
  </si>
  <si>
    <t>000957199512</t>
  </si>
  <si>
    <t>PAPP, ABBY</t>
  </si>
  <si>
    <t>000,121.58</t>
  </si>
  <si>
    <t>000,021.88</t>
  </si>
  <si>
    <t>000957206103</t>
  </si>
  <si>
    <t>DE FRANCESCO, ANTONIO</t>
  </si>
  <si>
    <t>000,160.11</t>
  </si>
  <si>
    <t>000,020.01</t>
  </si>
  <si>
    <t>107934471-SU-JONATHAN ALOFF</t>
  </si>
  <si>
    <t>000921366539</t>
  </si>
  <si>
    <t>GALLEGO, KAROL</t>
  </si>
  <si>
    <t>107934471</t>
  </si>
  <si>
    <t>000921619207</t>
  </si>
  <si>
    <t>SUNDBERG, KELSEY</t>
  </si>
  <si>
    <t>000921752064</t>
  </si>
  <si>
    <t>PARKIN, TERRY</t>
  </si>
  <si>
    <t>000921754649</t>
  </si>
  <si>
    <t>ALOFF, JONATHAN</t>
  </si>
  <si>
    <t>000921758795</t>
  </si>
  <si>
    <t>GONZALEZ-ALONSO, ABRIL</t>
  </si>
  <si>
    <t>000921763571</t>
  </si>
  <si>
    <t>ALVAREZ, JENNIFER</t>
  </si>
  <si>
    <t>Enroll_Flat</t>
  </si>
  <si>
    <t>107934662-SU-GREGORY HANSFORD</t>
  </si>
  <si>
    <t>069122</t>
  </si>
  <si>
    <t>000804503567</t>
  </si>
  <si>
    <t>HARROUN, DOUGLAS</t>
  </si>
  <si>
    <t>000,260.83</t>
  </si>
  <si>
    <t>107934662</t>
  </si>
  <si>
    <t>000921679009</t>
  </si>
  <si>
    <t>THORNTON, DEL</t>
  </si>
  <si>
    <t>000921767270</t>
  </si>
  <si>
    <t>GOTH, CAMERON</t>
  </si>
  <si>
    <t>000957187508</t>
  </si>
  <si>
    <t>ELLMO, DIANA</t>
  </si>
  <si>
    <t>107935128-SU-JOSE TORRES</t>
  </si>
  <si>
    <t>000921710459</t>
  </si>
  <si>
    <t>SANDOVAL, LUIS</t>
  </si>
  <si>
    <t>107935128</t>
  </si>
  <si>
    <t>107935567-SU-RICHARD WUENSCH</t>
  </si>
  <si>
    <t>000804494676</t>
  </si>
  <si>
    <t>PAYNE, VELMA</t>
  </si>
  <si>
    <t>107935567</t>
  </si>
  <si>
    <t>000890162352</t>
  </si>
  <si>
    <t>JANUS, MARK</t>
  </si>
  <si>
    <t>000921633015</t>
  </si>
  <si>
    <t>ZARAZA, SUSAN</t>
  </si>
  <si>
    <t>000921646883</t>
  </si>
  <si>
    <t>MEDINA, NICHOLAS</t>
  </si>
  <si>
    <t>000957191690</t>
  </si>
  <si>
    <t>ACRI, DONALD</t>
  </si>
  <si>
    <t>000,292.59</t>
  </si>
  <si>
    <t>000,026.33</t>
  </si>
  <si>
    <t>000957203828</t>
  </si>
  <si>
    <t>GARCIA, MONINA</t>
  </si>
  <si>
    <t>000,027.58</t>
  </si>
  <si>
    <t>000957204283</t>
  </si>
  <si>
    <t>NATOLI, GLORIA</t>
  </si>
  <si>
    <t>000,348.01</t>
  </si>
  <si>
    <t>000,021.75</t>
  </si>
  <si>
    <t>107939694-SU-MICHAEL A SEMPREVIVO</t>
  </si>
  <si>
    <t>000921727262</t>
  </si>
  <si>
    <t>ROMAY, BIANCA</t>
  </si>
  <si>
    <t>107939694</t>
  </si>
  <si>
    <t>000957054077</t>
  </si>
  <si>
    <t>CASSIDY, DEBRA</t>
  </si>
  <si>
    <t>000,159.13</t>
  </si>
  <si>
    <t>000,028.64</t>
  </si>
  <si>
    <t>000957095574</t>
  </si>
  <si>
    <t>SCHAFFER, HARLAND</t>
  </si>
  <si>
    <t>000,158.80</t>
  </si>
  <si>
    <t>000957199488</t>
  </si>
  <si>
    <t>COOPER, BEULAH</t>
  </si>
  <si>
    <t>000,318.23</t>
  </si>
  <si>
    <t>000,015.91</t>
  </si>
  <si>
    <t>000957199518</t>
  </si>
  <si>
    <t>CARLSON, KURT</t>
  </si>
  <si>
    <t>000,246.51</t>
  </si>
  <si>
    <t>000,022.19</t>
  </si>
  <si>
    <t>000957199602</t>
  </si>
  <si>
    <t>LINHART, JANET</t>
  </si>
  <si>
    <t>000,153.65</t>
  </si>
  <si>
    <t>107941365-SU-PATSAMON THANADABOUTH</t>
  </si>
  <si>
    <t>000804472943</t>
  </si>
  <si>
    <t>MALIVARN, CHANHSOUK</t>
  </si>
  <si>
    <t>107941365</t>
  </si>
  <si>
    <t>000920939671</t>
  </si>
  <si>
    <t>KEO, PRANY</t>
  </si>
  <si>
    <t>000921095680</t>
  </si>
  <si>
    <t>PHORASAVONG, ANTHONY</t>
  </si>
  <si>
    <t>000921555974</t>
  </si>
  <si>
    <t>SATI, VIENGKEO</t>
  </si>
  <si>
    <t>000921778632</t>
  </si>
  <si>
    <t>KEOPANYA, KHAMSAVAT</t>
  </si>
  <si>
    <t>000957205263</t>
  </si>
  <si>
    <t>VONGCHAREUN, JOHNNY</t>
  </si>
  <si>
    <t>000,070.01</t>
  </si>
  <si>
    <t>000,008.75</t>
  </si>
  <si>
    <t>107943867-SU-STEVEN D WERNER</t>
  </si>
  <si>
    <t>000808538722</t>
  </si>
  <si>
    <t>KAPLAN, STEVEN</t>
  </si>
  <si>
    <t>000,010.00</t>
  </si>
  <si>
    <t>107943867</t>
  </si>
  <si>
    <t>000957190219</t>
  </si>
  <si>
    <t>STENN, KATHY</t>
  </si>
  <si>
    <t>107944695-SU-VICTOR FUENTES</t>
  </si>
  <si>
    <t>000921617380</t>
  </si>
  <si>
    <t>CABRERA, EVELYN</t>
  </si>
  <si>
    <t>107944695</t>
  </si>
  <si>
    <t>000921686258</t>
  </si>
  <si>
    <t>PERELMAN-HALL, JOSHUA</t>
  </si>
  <si>
    <t>000921724104</t>
  </si>
  <si>
    <t>BARRAUD, MARYLINE</t>
  </si>
  <si>
    <t>000921741677</t>
  </si>
  <si>
    <t>TAPIA DURAN, JESUS</t>
  </si>
  <si>
    <t>000921743474</t>
  </si>
  <si>
    <t>BOWMAN, MARIANNE</t>
  </si>
  <si>
    <t>000921757381</t>
  </si>
  <si>
    <t>RODRIGUEZ DAVILA, CELINA</t>
  </si>
  <si>
    <t>000921759933</t>
  </si>
  <si>
    <t>MENDOZA, MARLENE</t>
  </si>
  <si>
    <t>000921765929</t>
  </si>
  <si>
    <t>MASSA, LINDA</t>
  </si>
  <si>
    <t>000921778758</t>
  </si>
  <si>
    <t>PEREIRAS-LEIVE, MAXIMILIAN</t>
  </si>
  <si>
    <t>107945318-SU-MELISSA TATRO</t>
  </si>
  <si>
    <t>000890261732</t>
  </si>
  <si>
    <t>SIEGEL, ROBERT</t>
  </si>
  <si>
    <t>107945318</t>
  </si>
  <si>
    <t>000890662686</t>
  </si>
  <si>
    <t>MHO HAGAN, MARCIA</t>
  </si>
  <si>
    <t>000920752891</t>
  </si>
  <si>
    <t>NELSON, MARK</t>
  </si>
  <si>
    <t>IB2804</t>
  </si>
  <si>
    <t>000920827391</t>
  </si>
  <si>
    <t>COLE, ROBERT</t>
  </si>
  <si>
    <t>000920945535</t>
  </si>
  <si>
    <t>MAZZENGA, ALISSA</t>
  </si>
  <si>
    <t>000920963250</t>
  </si>
  <si>
    <t>KAZEMSOLTANI, POUNEH</t>
  </si>
  <si>
    <t>IB2501</t>
  </si>
  <si>
    <t>000921055011</t>
  </si>
  <si>
    <t>KOOPMAN, MITCH</t>
  </si>
  <si>
    <t>000921200779</t>
  </si>
  <si>
    <t>BARCLAY, SUSAN</t>
  </si>
  <si>
    <t>IG2500</t>
  </si>
  <si>
    <t>000921316205</t>
  </si>
  <si>
    <t>MUSSELMAN, MARC</t>
  </si>
  <si>
    <t>000921351845</t>
  </si>
  <si>
    <t>CHRISTENSON, KELLI</t>
  </si>
  <si>
    <t>000921494779</t>
  </si>
  <si>
    <t>TAYLOR, ALISSA</t>
  </si>
  <si>
    <t>000921498446</t>
  </si>
  <si>
    <t>COSTELLO, MONIQUE</t>
  </si>
  <si>
    <t>000921498605</t>
  </si>
  <si>
    <t>COSENTINO, NICOLE</t>
  </si>
  <si>
    <t>000921538499</t>
  </si>
  <si>
    <t>DEFRANK, ANGELA</t>
  </si>
  <si>
    <t>000921576096</t>
  </si>
  <si>
    <t>SAVINO, PAMELA</t>
  </si>
  <si>
    <t>000921627056</t>
  </si>
  <si>
    <t>CIOCH, KRYSTIANNE</t>
  </si>
  <si>
    <t>000921633094</t>
  </si>
  <si>
    <t>NICOSIA, JEANNA</t>
  </si>
  <si>
    <t>000921634283</t>
  </si>
  <si>
    <t>MAHONEY, CHRISTINE</t>
  </si>
  <si>
    <t>IB2803</t>
  </si>
  <si>
    <t>000921684783</t>
  </si>
  <si>
    <t>PARENTI, DOMINIC</t>
  </si>
  <si>
    <t>107949302-SU-ODMAA ENKHTUR</t>
  </si>
  <si>
    <t>000921615275</t>
  </si>
  <si>
    <t>SANJSUREN, MUNKHERDENE</t>
  </si>
  <si>
    <t>107949302</t>
  </si>
  <si>
    <t>000921755426</t>
  </si>
  <si>
    <t>ENKHTUR, ODMAA</t>
  </si>
  <si>
    <t>000921761404</t>
  </si>
  <si>
    <t>BALBAR, ENKHBAT</t>
  </si>
  <si>
    <t>000921769541</t>
  </si>
  <si>
    <t>ERDENE OCHIR, MUNKHSAIKHAN</t>
  </si>
  <si>
    <t>000921772995</t>
  </si>
  <si>
    <t>DAVAG, SUVDAA</t>
  </si>
  <si>
    <t>000921776531</t>
  </si>
  <si>
    <t>AYUSH, ENKHMURUN</t>
  </si>
  <si>
    <t>107951751-SU-BARRY GORDON BRENNER</t>
  </si>
  <si>
    <t>000921748119</t>
  </si>
  <si>
    <t>TONDELLI, TERRY</t>
  </si>
  <si>
    <t>107951751</t>
  </si>
  <si>
    <t>000921754273</t>
  </si>
  <si>
    <t>GARDNER, APRIL</t>
  </si>
  <si>
    <t>000921757425</t>
  </si>
  <si>
    <t>MARCOLINI, MENDBAYAR</t>
  </si>
  <si>
    <t>000921757733</t>
  </si>
  <si>
    <t>GAUTHIER, ALYXANDRA</t>
  </si>
  <si>
    <t>107951812-SU-TERI RENEE FOSTER</t>
  </si>
  <si>
    <t>000920796493</t>
  </si>
  <si>
    <t>CALLAHAN, MARTHA</t>
  </si>
  <si>
    <t>107951812</t>
  </si>
  <si>
    <t>000921749359</t>
  </si>
  <si>
    <t>FRANKEL, JOEL</t>
  </si>
  <si>
    <t>107953558-SU-NAVA LIVNE</t>
  </si>
  <si>
    <t>000808526973</t>
  </si>
  <si>
    <t>LIVNE, GIORA</t>
  </si>
  <si>
    <t>107953558</t>
  </si>
  <si>
    <t>000957194293</t>
  </si>
  <si>
    <t>000,197.58</t>
  </si>
  <si>
    <t>000,035.56</t>
  </si>
  <si>
    <t>107953967-SU-AMANDA J RODRIGUEZ</t>
  </si>
  <si>
    <t>000921629663</t>
  </si>
  <si>
    <t>ANUMULA, VENUMADHAV</t>
  </si>
  <si>
    <t>107953967</t>
  </si>
  <si>
    <t>000921632632</t>
  </si>
  <si>
    <t>CROWE, BRIAN</t>
  </si>
  <si>
    <t>107954203-SU-ANTHONY J HUNSBERGER</t>
  </si>
  <si>
    <t>000807842413</t>
  </si>
  <si>
    <t>GORMAN, NANCY</t>
  </si>
  <si>
    <t>20100101</t>
  </si>
  <si>
    <t>182</t>
  </si>
  <si>
    <t>107954203</t>
  </si>
  <si>
    <t>000807843709</t>
  </si>
  <si>
    <t>GORMAN, JACKIE</t>
  </si>
  <si>
    <t>000808529793</t>
  </si>
  <si>
    <t>MOE, NELS</t>
  </si>
  <si>
    <t>000808531036</t>
  </si>
  <si>
    <t>HOWARD, LINDA</t>
  </si>
  <si>
    <t>000808531568</t>
  </si>
  <si>
    <t>WOLF, PENNY</t>
  </si>
  <si>
    <t>000890111247</t>
  </si>
  <si>
    <t>TOMLIN, JEFFREY</t>
  </si>
  <si>
    <t>000890204280</t>
  </si>
  <si>
    <t>PETTENON, RICHARD</t>
  </si>
  <si>
    <t>000890408763</t>
  </si>
  <si>
    <t>SKILLIN, STACY</t>
  </si>
  <si>
    <t>000890475507</t>
  </si>
  <si>
    <t>CHARAPATA, PATRICIA</t>
  </si>
  <si>
    <t>20140601</t>
  </si>
  <si>
    <t>130</t>
  </si>
  <si>
    <t>129</t>
  </si>
  <si>
    <t>128</t>
  </si>
  <si>
    <t>000890603507</t>
  </si>
  <si>
    <t>ROCA, ROBERT</t>
  </si>
  <si>
    <t>000890612011</t>
  </si>
  <si>
    <t>NICASIO, VINCENT</t>
  </si>
  <si>
    <t>20140701</t>
  </si>
  <si>
    <t>000920713674</t>
  </si>
  <si>
    <t>RENDE, FRANK</t>
  </si>
  <si>
    <t>000920765817</t>
  </si>
  <si>
    <t>EMMETT, ROBERT</t>
  </si>
  <si>
    <t>000920773378</t>
  </si>
  <si>
    <t>VISO, NINO</t>
  </si>
  <si>
    <t>000920776236</t>
  </si>
  <si>
    <t>AVENDANO, NAOMI</t>
  </si>
  <si>
    <t>000920779843</t>
  </si>
  <si>
    <t>SPRADLIN, CHRISTINE</t>
  </si>
  <si>
    <t>000920792870</t>
  </si>
  <si>
    <t>LARDE, KENNETH</t>
  </si>
  <si>
    <t>000920862291</t>
  </si>
  <si>
    <t>KOPFER, ROBERT</t>
  </si>
  <si>
    <t>000920877651</t>
  </si>
  <si>
    <t>SANSORES, NATALIE</t>
  </si>
  <si>
    <t>000920879648</t>
  </si>
  <si>
    <t>EDER, MATTHEW</t>
  </si>
  <si>
    <t>000920884024</t>
  </si>
  <si>
    <t>EPCKE, WILLIAM</t>
  </si>
  <si>
    <t>000920885497</t>
  </si>
  <si>
    <t>CERVANTES, ANTONIO</t>
  </si>
  <si>
    <t>000920887150</t>
  </si>
  <si>
    <t>MOODLEY, JAYSEELAN</t>
  </si>
  <si>
    <t>000,108.28</t>
  </si>
  <si>
    <t>000,006.50</t>
  </si>
  <si>
    <t>000920937200</t>
  </si>
  <si>
    <t>FREY, MICHAEL</t>
  </si>
  <si>
    <t>000921018640</t>
  </si>
  <si>
    <t>POLLITZ, ROSEMARIE</t>
  </si>
  <si>
    <t>000921027671</t>
  </si>
  <si>
    <t>CROSSLEY, KEVIN</t>
  </si>
  <si>
    <t>000921033755</t>
  </si>
  <si>
    <t>HANAHAN, BARBARA</t>
  </si>
  <si>
    <t>000921048437</t>
  </si>
  <si>
    <t>CEBULSKI, THERESE</t>
  </si>
  <si>
    <t>000921083981</t>
  </si>
  <si>
    <t>EDGINTON, CHRISTOPHER</t>
  </si>
  <si>
    <t>000921109095</t>
  </si>
  <si>
    <t>GAMONES, TYRENE</t>
  </si>
  <si>
    <t>000921141003</t>
  </si>
  <si>
    <t>NELSON, SIOBHAN</t>
  </si>
  <si>
    <t>000921212612</t>
  </si>
  <si>
    <t>SILHA, DIANE</t>
  </si>
  <si>
    <t>000921230443</t>
  </si>
  <si>
    <t>BALLAS, LISA</t>
  </si>
  <si>
    <t>000921272187</t>
  </si>
  <si>
    <t>VENDITTI, STEVEN</t>
  </si>
  <si>
    <t>000921281898</t>
  </si>
  <si>
    <t>BIENER, TIMOTHY</t>
  </si>
  <si>
    <t>000921285255</t>
  </si>
  <si>
    <t>BENTLEY, THOMAS</t>
  </si>
  <si>
    <t>20160901</t>
  </si>
  <si>
    <t>000921318489</t>
  </si>
  <si>
    <t>SHEETS DE GRACIA, KAREN</t>
  </si>
  <si>
    <t>000921323837</t>
  </si>
  <si>
    <t>KONODI, KURT</t>
  </si>
  <si>
    <t>000921360562</t>
  </si>
  <si>
    <t>SCHOLTZ, JASON</t>
  </si>
  <si>
    <t>000921362789</t>
  </si>
  <si>
    <t>NOVAK, LISA</t>
  </si>
  <si>
    <t>000921398600</t>
  </si>
  <si>
    <t>MORROW, CYNTHIA</t>
  </si>
  <si>
    <t>000921414472</t>
  </si>
  <si>
    <t>AULIS, RODNEY</t>
  </si>
  <si>
    <t>083</t>
  </si>
  <si>
    <t>000921435591</t>
  </si>
  <si>
    <t>WILLNECKER, CHERYL</t>
  </si>
  <si>
    <t>000921437840</t>
  </si>
  <si>
    <t>QUINTANILLA, ALEJANDRO</t>
  </si>
  <si>
    <t>000921442441</t>
  </si>
  <si>
    <t>COHEN, NICOLE</t>
  </si>
  <si>
    <t>000921473605</t>
  </si>
  <si>
    <t>WILD, SHEILA</t>
  </si>
  <si>
    <t>000921476325</t>
  </si>
  <si>
    <t>ZOLDAK, ANASTASIA</t>
  </si>
  <si>
    <t>000921482123</t>
  </si>
  <si>
    <t>VAUGHAN, ROBYN</t>
  </si>
  <si>
    <t>000,071.29</t>
  </si>
  <si>
    <t>000,002.85</t>
  </si>
  <si>
    <t>000921491463</t>
  </si>
  <si>
    <t>NUNEZ, AURORA</t>
  </si>
  <si>
    <t>000921499974</t>
  </si>
  <si>
    <t>RANDALL, RYAN</t>
  </si>
  <si>
    <t>000921506111</t>
  </si>
  <si>
    <t>FARREN, LUCAS</t>
  </si>
  <si>
    <t>000921512188</t>
  </si>
  <si>
    <t>RASKEVICZ, ALPHONSE</t>
  </si>
  <si>
    <t>000921517353</t>
  </si>
  <si>
    <t>LEVINSON, DEBORAH</t>
  </si>
  <si>
    <t>000921526584</t>
  </si>
  <si>
    <t>GUZMAN, LISA</t>
  </si>
  <si>
    <t>000921574346</t>
  </si>
  <si>
    <t>VICORY, LORI</t>
  </si>
  <si>
    <t>000921574684</t>
  </si>
  <si>
    <t>KIRKLAND, ASHLEY</t>
  </si>
  <si>
    <t>000921589939</t>
  </si>
  <si>
    <t>HANSON, TRACY</t>
  </si>
  <si>
    <t>000921598121</t>
  </si>
  <si>
    <t>KELEGHAN, JENNIFER</t>
  </si>
  <si>
    <t>000921600843</t>
  </si>
  <si>
    <t>MACIAS, ANGELA</t>
  </si>
  <si>
    <t>000921613029</t>
  </si>
  <si>
    <t>FASANO, CHRISTINA</t>
  </si>
  <si>
    <t>000921618718</t>
  </si>
  <si>
    <t>ZWETTLER, MAMIE</t>
  </si>
  <si>
    <t>000921624301</t>
  </si>
  <si>
    <t>CROWE, LESLIE</t>
  </si>
  <si>
    <t>000921625641</t>
  </si>
  <si>
    <t>POTILECHIO, KENNETH</t>
  </si>
  <si>
    <t>000921637899</t>
  </si>
  <si>
    <t>EMOND, SCOTT</t>
  </si>
  <si>
    <t>000921644691</t>
  </si>
  <si>
    <t>DRAKE, ANGELA</t>
  </si>
  <si>
    <t>000921646298</t>
  </si>
  <si>
    <t>KELLY, ANNE</t>
  </si>
  <si>
    <t>000921652029</t>
  </si>
  <si>
    <t>FRACHEY, RICHARD</t>
  </si>
  <si>
    <t>000921652793</t>
  </si>
  <si>
    <t>COSTELLO, TRACY</t>
  </si>
  <si>
    <t>000921654306</t>
  </si>
  <si>
    <t>EIKLEBERRY, SHELLY</t>
  </si>
  <si>
    <t>000921656286</t>
  </si>
  <si>
    <t>THOMAS, MICHAEL</t>
  </si>
  <si>
    <t>000921656916</t>
  </si>
  <si>
    <t>GEHRINGER, CYNTHIA</t>
  </si>
  <si>
    <t>000921657874</t>
  </si>
  <si>
    <t>SORENSEN, DANIEL</t>
  </si>
  <si>
    <t>000921668352</t>
  </si>
  <si>
    <t>WINDERS, DIANE</t>
  </si>
  <si>
    <t>000921677938</t>
  </si>
  <si>
    <t>GUILLEN, ALEX</t>
  </si>
  <si>
    <t>000921679778</t>
  </si>
  <si>
    <t>VYBIRAL, KEVIN</t>
  </si>
  <si>
    <t>000921681063</t>
  </si>
  <si>
    <t>SCHNORR, KAREN</t>
  </si>
  <si>
    <t>000921692449</t>
  </si>
  <si>
    <t>ROWAN-LAKE, LINDA</t>
  </si>
  <si>
    <t>000921695630</t>
  </si>
  <si>
    <t>ELLERBY, MARILYN</t>
  </si>
  <si>
    <t>000921696798</t>
  </si>
  <si>
    <t>CWIOK, JOHN</t>
  </si>
  <si>
    <t>000921707925</t>
  </si>
  <si>
    <t>LAKIN, VALARIE</t>
  </si>
  <si>
    <t>000921726519</t>
  </si>
  <si>
    <t>CAUDILL, SANDRA</t>
  </si>
  <si>
    <t>000921727311</t>
  </si>
  <si>
    <t>GARCIA, JOSE</t>
  </si>
  <si>
    <t>000921733611</t>
  </si>
  <si>
    <t>MOLLOHAN, BRIDGET</t>
  </si>
  <si>
    <t>000921734718</t>
  </si>
  <si>
    <t>CAMARA, LULLETE</t>
  </si>
  <si>
    <t>000921735859</t>
  </si>
  <si>
    <t>MACDONALD, JENNIFER</t>
  </si>
  <si>
    <t>000921738169</t>
  </si>
  <si>
    <t>LEIN, LINDA</t>
  </si>
  <si>
    <t>000921743262</t>
  </si>
  <si>
    <t>GERAGHTY, BRIANA</t>
  </si>
  <si>
    <t>000921745254</t>
  </si>
  <si>
    <t>SILHA, CAMERON</t>
  </si>
  <si>
    <t>000921747510</t>
  </si>
  <si>
    <t>PETERS, NIKILETT</t>
  </si>
  <si>
    <t>000921747568</t>
  </si>
  <si>
    <t>PILOLLA, DEBRA</t>
  </si>
  <si>
    <t>000921747609</t>
  </si>
  <si>
    <t>THAUS, GINTARE</t>
  </si>
  <si>
    <t>000921748758</t>
  </si>
  <si>
    <t>LEHMAN, MELINDA</t>
  </si>
  <si>
    <t>000921749411</t>
  </si>
  <si>
    <t>HARRIS, DANIEL</t>
  </si>
  <si>
    <t>000921755936</t>
  </si>
  <si>
    <t>SILHA, MARJORIE</t>
  </si>
  <si>
    <t>000921763256</t>
  </si>
  <si>
    <t>ROCA, ALEXANDER</t>
  </si>
  <si>
    <t>000921765839</t>
  </si>
  <si>
    <t>MORROW, JENNIFER</t>
  </si>
  <si>
    <t>000921774851</t>
  </si>
  <si>
    <t>DONOFRIO, NICHOLAS</t>
  </si>
  <si>
    <t>000921776573</t>
  </si>
  <si>
    <t>STANTON, GEORGE</t>
  </si>
  <si>
    <t>000921776589</t>
  </si>
  <si>
    <t>VILLALOBOS, SCOTT</t>
  </si>
  <si>
    <t>000921777101</t>
  </si>
  <si>
    <t>LUNDEEN, ROBIN</t>
  </si>
  <si>
    <t>000921777250</t>
  </si>
  <si>
    <t>AMUNDSON, JENNIFER</t>
  </si>
  <si>
    <t>000921778274</t>
  </si>
  <si>
    <t>DIETER, WEBB</t>
  </si>
  <si>
    <t>000921779523</t>
  </si>
  <si>
    <t>ANSARI, HABIBUDDIN</t>
  </si>
  <si>
    <t>000921779895</t>
  </si>
  <si>
    <t>LUNDEEN, ROBERT</t>
  </si>
  <si>
    <t>000957193300</t>
  </si>
  <si>
    <t>FARNSWORTH, ROSEMARY</t>
  </si>
  <si>
    <t>000,182.65</t>
  </si>
  <si>
    <t>000,032.88</t>
  </si>
  <si>
    <t>000957194802</t>
  </si>
  <si>
    <t>000,288.86</t>
  </si>
  <si>
    <t>000,014.44</t>
  </si>
  <si>
    <t>000957194804</t>
  </si>
  <si>
    <t>GORMAN, JACK</t>
  </si>
  <si>
    <t>000,371.27</t>
  </si>
  <si>
    <t>000,018.56</t>
  </si>
  <si>
    <t>IST305</t>
  </si>
  <si>
    <t>000957196012</t>
  </si>
  <si>
    <t>BELTRAN, KATHLEEN</t>
  </si>
  <si>
    <t>000,267.76</t>
  </si>
  <si>
    <t>000,026.78</t>
  </si>
  <si>
    <t>000,267.76-</t>
  </si>
  <si>
    <t>000,026.78-</t>
  </si>
  <si>
    <t>000957197493</t>
  </si>
  <si>
    <t>BAKER, VERA</t>
  </si>
  <si>
    <t>000,353.67</t>
  </si>
  <si>
    <t>000,017.68</t>
  </si>
  <si>
    <t>000957197502</t>
  </si>
  <si>
    <t>SCHEIDECKER, BARBARA</t>
  </si>
  <si>
    <t>000,303.29</t>
  </si>
  <si>
    <t>000,015.16</t>
  </si>
  <si>
    <t>000957197648</t>
  </si>
  <si>
    <t>KOPECKY, BRUCE</t>
  </si>
  <si>
    <t>000,147.44</t>
  </si>
  <si>
    <t>000,026.54</t>
  </si>
  <si>
    <t>000957197833</t>
  </si>
  <si>
    <t>GAFFNEY, MARION</t>
  </si>
  <si>
    <t>000,229.10</t>
  </si>
  <si>
    <t>20241126</t>
  </si>
  <si>
    <t>000,020.62</t>
  </si>
  <si>
    <t>000957198740</t>
  </si>
  <si>
    <t>000957198773</t>
  </si>
  <si>
    <t>000957199024</t>
  </si>
  <si>
    <t>JOHNSON, TERRY</t>
  </si>
  <si>
    <t>20250303</t>
  </si>
  <si>
    <t>20241203</t>
  </si>
  <si>
    <t>000957199653</t>
  </si>
  <si>
    <t>ALLEN, RICHARD</t>
  </si>
  <si>
    <t>000,018.19</t>
  </si>
  <si>
    <t>000957200242</t>
  </si>
  <si>
    <t>SWETT, JAMES</t>
  </si>
  <si>
    <t>000,229.67</t>
  </si>
  <si>
    <t>000,041.34</t>
  </si>
  <si>
    <t>000957201158</t>
  </si>
  <si>
    <t>PITELKA, NELDA</t>
  </si>
  <si>
    <t>000,420.69</t>
  </si>
  <si>
    <t>000,021.03</t>
  </si>
  <si>
    <t>000957201883</t>
  </si>
  <si>
    <t>TRIZZINO, MARY</t>
  </si>
  <si>
    <t>000,135.58</t>
  </si>
  <si>
    <t>000,024.40</t>
  </si>
  <si>
    <t>000957203139</t>
  </si>
  <si>
    <t>PEARSON, KAY</t>
  </si>
  <si>
    <t>000957203142</t>
  </si>
  <si>
    <t>PEARSON, DENNIS</t>
  </si>
  <si>
    <t>000,296.19</t>
  </si>
  <si>
    <t>000,029.62</t>
  </si>
  <si>
    <t>000957204238</t>
  </si>
  <si>
    <t>THINNES, KATHERINE</t>
  </si>
  <si>
    <t>000957204451</t>
  </si>
  <si>
    <t>ORLANDI, CATHERINE</t>
  </si>
  <si>
    <t>000,026.34</t>
  </si>
  <si>
    <t>000957204738</t>
  </si>
  <si>
    <t>CRANE, BARBARA</t>
  </si>
  <si>
    <t>20250304</t>
  </si>
  <si>
    <t>20250104</t>
  </si>
  <si>
    <t>20250204</t>
  </si>
  <si>
    <t>000957205569</t>
  </si>
  <si>
    <t>SPELICH, LUCINDA</t>
  </si>
  <si>
    <t>000,178.17</t>
  </si>
  <si>
    <t>000,036.52</t>
  </si>
  <si>
    <t>000957206999</t>
  </si>
  <si>
    <t>MORROW, ROBERT</t>
  </si>
  <si>
    <t>000,028.65</t>
  </si>
  <si>
    <t>107961028-SU-CHRISTOPHER BROUSSEAU</t>
  </si>
  <si>
    <t>000921779838</t>
  </si>
  <si>
    <t>AUSTIN, ALDRIN</t>
  </si>
  <si>
    <t>107961028</t>
  </si>
  <si>
    <t>JASON R HOFFMANN</t>
  </si>
  <si>
    <t>GREGORY K TEIPEL</t>
  </si>
  <si>
    <t>RYAN J CALTAGIRONE</t>
  </si>
  <si>
    <t>EUGENE DANIEL ZANGARI</t>
  </si>
  <si>
    <t>COLLEEN J FINNIGAN</t>
  </si>
  <si>
    <t>MICHELA ROZMAN</t>
  </si>
  <si>
    <t>MATTHEW DAUGHERTY</t>
  </si>
  <si>
    <t>TIMOTHY HODGMAN</t>
  </si>
  <si>
    <t>GARY PORTUGAL</t>
  </si>
  <si>
    <t>ANDREW J CHOI</t>
  </si>
  <si>
    <t>STACEY A PORTUGAL</t>
  </si>
  <si>
    <t>PAMELA SUE DEATON</t>
  </si>
  <si>
    <t>RICARDO D SANTOS</t>
  </si>
  <si>
    <t>FRANK E LISKOVEC</t>
  </si>
  <si>
    <t>RICHARD A YALE</t>
  </si>
  <si>
    <t>JACOB D YALE</t>
  </si>
  <si>
    <t>CHRISTIAN TAUGNER</t>
  </si>
  <si>
    <t>BARRY L SCHUMANN</t>
  </si>
  <si>
    <t>JEFFREY E HORN</t>
  </si>
  <si>
    <t>ANDREA PETRUNGARO</t>
  </si>
  <si>
    <t>SAADIA S ABDUL</t>
  </si>
  <si>
    <t>STEPHANIE E DRAPAC</t>
  </si>
  <si>
    <t>NASANDELGER MUNKHJARGAL ZANA</t>
  </si>
  <si>
    <t>HEATHER MARIE GESKE</t>
  </si>
  <si>
    <t>ESTHER M HERRERA</t>
  </si>
  <si>
    <t>PAUL ROBINSON</t>
  </si>
  <si>
    <t>MICHAEL DUNAVANT</t>
  </si>
  <si>
    <t>BRIAN CHRISTOPHER STROHMAN</t>
  </si>
  <si>
    <t>THOMAS PARDUE</t>
  </si>
  <si>
    <t>CHAD J YALE</t>
  </si>
  <si>
    <t>TOM EDWARD SERIO</t>
  </si>
  <si>
    <t>DALE JON WALENGA</t>
  </si>
  <si>
    <t>JONATHAN ALOFF</t>
  </si>
  <si>
    <t>GREGORY HANSFORD</t>
  </si>
  <si>
    <t>JOSE TORRES</t>
  </si>
  <si>
    <t>RICHARD WUENSCH</t>
  </si>
  <si>
    <t>MICHAEL A SEMPREVIVO</t>
  </si>
  <si>
    <t>PATSAMON THANADABOUTH</t>
  </si>
  <si>
    <t>STEVEN D WERNER</t>
  </si>
  <si>
    <t>VICTOR FUENTES</t>
  </si>
  <si>
    <t>MELISSA TATRO</t>
  </si>
  <si>
    <t>ODMAA ENKHTUR</t>
  </si>
  <si>
    <t>BARRY GORDON BRENNER</t>
  </si>
  <si>
    <t>TERI RENEE FOSTER</t>
  </si>
  <si>
    <t>NAVA LIVNE</t>
  </si>
  <si>
    <t>AMANDA J RODRIGUEZ</t>
  </si>
  <si>
    <t>ANTHONY J HUNSBERGER</t>
  </si>
  <si>
    <t>CHRISTOPHER BROUSSEAU</t>
  </si>
  <si>
    <t>18828278SUB2</t>
  </si>
  <si>
    <t>BCBS of IL Dental</t>
  </si>
  <si>
    <t>BCBS of IL MS &gt;80 and U65</t>
  </si>
  <si>
    <t>BCBS of IL "Medicare Supplement Persons Aged 80 and Older and Under 65when sold 25 or more</t>
  </si>
  <si>
    <t>BCBS of IL MS Secure &gt;80 and U65</t>
  </si>
  <si>
    <t>BCBS of IL Medicare Supplement Persons Aged 65-79</t>
  </si>
  <si>
    <t>BCBS of IL "Medicare Supplement Persons Aged 65-79 (when sold 25 or more products the year prior) "</t>
  </si>
  <si>
    <t>BCBS of IL MS 65-79</t>
  </si>
  <si>
    <t>BCBS of IL "Medicare Supplement Secure Persons Aged 65-79when sold 25 or more</t>
  </si>
  <si>
    <t>BCBS of IL CD Tier 1</t>
  </si>
  <si>
    <t>BCBS of IL BC Pref</t>
  </si>
  <si>
    <t>BCBS of IL Blue Precision Tier 1</t>
  </si>
  <si>
    <t>BCBS of IL MAPD 2025*</t>
  </si>
  <si>
    <t>BCBS of IL BF Tier 1</t>
  </si>
  <si>
    <t>BCBS of IL PDP 2024</t>
  </si>
  <si>
    <t>[PMPM=2]</t>
  </si>
  <si>
    <t>[PMPM=3]</t>
  </si>
  <si>
    <t>[PMPM=4]</t>
  </si>
  <si>
    <t>[PMPM=5]</t>
  </si>
  <si>
    <t>[%/$=313][prorate=1/12]</t>
  </si>
  <si>
    <t>[%/$=313][prorate=10/12]</t>
  </si>
  <si>
    <t>[%/$=313][prorate=12/12]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</si>
</sst>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  <font>
      <sz val="8"/>
      <name val="Arial"/>
      <family val="2"/>
    </font>
    <font>
      <b/>
      <sz val="9"/>
      <name val="Arial"/>
      <family val="16"/>
      <charset val="1"/>
    </font>
    <font>
      <sz val="10"/>
      <name val="Arial"/>
      <family val="2"/>
    </font>
    <font>
      <sz val="9"/>
      <name val="ARIAL"/>
      <family val="16"/>
      <charset val="1"/>
    </font>
    <font>
      <sz val="12"/>
      <name val="Ebrima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9" fillId="3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horizontal="right"/>
    </xf>
    <xf numFmtId="0" fontId="10" fillId="4" borderId="0" xfId="0" applyFont="1" applyFill="1"/>
    <xf numFmtId="0" fontId="11" fillId="4" borderId="0" xfId="0" applyFont="1" applyFill="1" applyAlignment="1">
      <alignment horizontal="left" vertical="top"/>
    </xf>
    <xf numFmtId="0" fontId="10" fillId="4" borderId="0" xfId="0" applyFont="1" applyFill="1" applyAlignment="1">
      <alignment horizontal="left"/>
    </xf>
    <xf numFmtId="0" fontId="10" fillId="5" borderId="0" xfId="0" applyFont="1" applyFill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 vertical="top"/>
    </xf>
    <xf numFmtId="0" fontId="10" fillId="6" borderId="0" xfId="0" applyFont="1" applyFill="1"/>
    <xf numFmtId="0" fontId="10" fillId="6" borderId="0" xfId="0" applyFont="1" applyFill="1" applyAlignment="1">
      <alignment horizontal="left"/>
    </xf>
    <xf numFmtId="0" fontId="11" fillId="6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1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819"/>
  <sheetViews>
    <sheetView showGridLines="0" topLeftCell="K502" workbookViewId="0">
      <selection activeCell="P520" sqref="A520:XFD520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22" t="s">
        <v>0</v>
      </c>
      <c r="S3" s="22"/>
      <c r="T3" s="22"/>
    </row>
    <row r="4" spans="1:33" ht="6.75" customHeight="1" x14ac:dyDescent="0.2">
      <c r="A4" s="23" t="s">
        <v>1</v>
      </c>
      <c r="C4" s="24" t="s">
        <v>2</v>
      </c>
      <c r="D4" s="24"/>
      <c r="E4" s="24"/>
      <c r="F4" s="24"/>
      <c r="G4" s="24"/>
      <c r="H4" s="24"/>
      <c r="R4" s="22"/>
      <c r="S4" s="22"/>
      <c r="T4" s="22"/>
    </row>
    <row r="5" spans="1:33" ht="6.75" customHeight="1" x14ac:dyDescent="0.2">
      <c r="A5" s="23"/>
      <c r="C5" s="24"/>
      <c r="D5" s="24"/>
      <c r="E5" s="24"/>
      <c r="F5" s="24"/>
      <c r="G5" s="24"/>
      <c r="H5" s="24"/>
      <c r="R5" s="22"/>
      <c r="S5" s="22"/>
      <c r="T5" s="22"/>
    </row>
    <row r="6" spans="1:33" ht="33.75" customHeight="1" x14ac:dyDescent="0.2">
      <c r="Q6" s="25" t="s">
        <v>3</v>
      </c>
      <c r="R6" s="25"/>
      <c r="S6" s="25"/>
      <c r="T6" s="25"/>
    </row>
    <row r="7" spans="1:33" ht="7.5" customHeight="1" x14ac:dyDescent="0.2">
      <c r="A7" s="23" t="s">
        <v>4</v>
      </c>
      <c r="C7" s="24" t="s">
        <v>5</v>
      </c>
      <c r="D7" s="24"/>
      <c r="E7" s="24"/>
      <c r="F7" s="24"/>
      <c r="G7" s="24"/>
    </row>
    <row r="8" spans="1:33" ht="6" customHeight="1" x14ac:dyDescent="0.2">
      <c r="A8" s="23"/>
      <c r="C8" s="24"/>
      <c r="D8" s="24"/>
      <c r="E8" s="24"/>
      <c r="F8" s="24"/>
      <c r="G8" s="24"/>
    </row>
    <row r="9" spans="1:33" ht="13.5" customHeight="1" x14ac:dyDescent="0.2">
      <c r="A9" s="1" t="s">
        <v>6</v>
      </c>
      <c r="C9" s="24" t="s">
        <v>7</v>
      </c>
      <c r="D9" s="24"/>
    </row>
    <row r="10" spans="1:33" ht="12" customHeight="1" x14ac:dyDescent="0.2"/>
    <row r="11" spans="1:33" ht="25.5" customHeight="1" x14ac:dyDescent="0.2">
      <c r="A11" s="26" t="s">
        <v>8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</row>
    <row r="12" spans="1:33" ht="28.5" customHeight="1" x14ac:dyDescent="0.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</row>
    <row r="13" spans="1:33" ht="12.75" customHeight="1" x14ac:dyDescent="0.2">
      <c r="A13" s="27" t="s">
        <v>9</v>
      </c>
      <c r="B13" s="27" t="s">
        <v>10</v>
      </c>
      <c r="C13" s="27"/>
      <c r="D13" s="27" t="s">
        <v>11</v>
      </c>
      <c r="E13" s="27"/>
      <c r="F13" s="27" t="s">
        <v>12</v>
      </c>
      <c r="G13" s="27"/>
      <c r="H13" s="27"/>
      <c r="I13" s="27"/>
      <c r="J13" s="27" t="s">
        <v>13</v>
      </c>
      <c r="K13" s="27" t="s">
        <v>14</v>
      </c>
      <c r="L13" s="27" t="s">
        <v>15</v>
      </c>
      <c r="N13" s="27" t="s">
        <v>16</v>
      </c>
      <c r="O13" s="27"/>
      <c r="P13" s="27" t="s">
        <v>17</v>
      </c>
      <c r="Q13" s="27"/>
      <c r="R13" s="27"/>
      <c r="S13" s="27" t="s">
        <v>18</v>
      </c>
      <c r="T13" s="27" t="s">
        <v>19</v>
      </c>
      <c r="U13" s="27"/>
      <c r="V13" s="27" t="s">
        <v>20</v>
      </c>
      <c r="W13" s="27" t="s">
        <v>21</v>
      </c>
      <c r="X13" s="27" t="s">
        <v>22</v>
      </c>
      <c r="Y13" s="27" t="s">
        <v>23</v>
      </c>
      <c r="Z13" s="27"/>
      <c r="AA13" s="27" t="s">
        <v>24</v>
      </c>
      <c r="AB13" s="27" t="s">
        <v>25</v>
      </c>
      <c r="AC13" s="27" t="s">
        <v>26</v>
      </c>
      <c r="AD13" s="27" t="s">
        <v>27</v>
      </c>
      <c r="AE13" s="27" t="s">
        <v>28</v>
      </c>
      <c r="AF13" s="27" t="s">
        <v>29</v>
      </c>
      <c r="AG13" s="27" t="s">
        <v>30</v>
      </c>
    </row>
    <row r="14" spans="1:33" ht="14.25" customHeight="1" x14ac:dyDescent="0.2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</row>
    <row r="15" spans="1:33" ht="0.75" customHeight="1" x14ac:dyDescent="0.2">
      <c r="L15" s="27"/>
      <c r="N15" s="27"/>
      <c r="O15" s="27"/>
    </row>
    <row r="16" spans="1:33" ht="12.75" customHeight="1" x14ac:dyDescent="0.2">
      <c r="A16" s="2" t="s">
        <v>31</v>
      </c>
      <c r="B16" s="19" t="s">
        <v>32</v>
      </c>
      <c r="C16" s="19"/>
      <c r="D16" s="19"/>
      <c r="E16" s="20" t="s">
        <v>33</v>
      </c>
      <c r="F16" s="20"/>
      <c r="G16" s="21" t="s">
        <v>34</v>
      </c>
      <c r="H16" s="21"/>
      <c r="I16" s="21"/>
      <c r="J16" s="3" t="s">
        <v>35</v>
      </c>
      <c r="K16" s="4" t="s">
        <v>36</v>
      </c>
      <c r="L16" s="4" t="s">
        <v>37</v>
      </c>
      <c r="N16" s="21" t="s">
        <v>38</v>
      </c>
      <c r="O16" s="21"/>
      <c r="P16" s="21" t="s">
        <v>39</v>
      </c>
      <c r="Q16" s="21"/>
      <c r="R16" s="21"/>
      <c r="S16" s="3" t="s">
        <v>40</v>
      </c>
      <c r="T16" s="21" t="s">
        <v>41</v>
      </c>
      <c r="U16" s="21"/>
      <c r="V16" s="4" t="s">
        <v>42</v>
      </c>
      <c r="W16" s="4" t="s">
        <v>43</v>
      </c>
      <c r="X16" s="4" t="s">
        <v>44</v>
      </c>
      <c r="Y16" s="21" t="s">
        <v>45</v>
      </c>
      <c r="Z16" s="21"/>
      <c r="AA16" s="4" t="s">
        <v>46</v>
      </c>
      <c r="AB16" s="4" t="s">
        <v>47</v>
      </c>
      <c r="AD16" s="4" t="s">
        <v>41</v>
      </c>
      <c r="AE16" s="4" t="s">
        <v>48</v>
      </c>
      <c r="AF16" s="4" t="s">
        <v>41</v>
      </c>
      <c r="AG16" s="4" t="s">
        <v>49</v>
      </c>
    </row>
    <row r="17" spans="1:33" ht="14.25" customHeight="1" x14ac:dyDescent="0.2"/>
    <row r="18" spans="1:33" ht="16.5" customHeight="1" x14ac:dyDescent="0.2">
      <c r="A18" s="2" t="s">
        <v>31</v>
      </c>
      <c r="B18" s="19" t="s">
        <v>50</v>
      </c>
      <c r="C18" s="19"/>
      <c r="D18" s="19"/>
      <c r="E18" s="20" t="s">
        <v>33</v>
      </c>
      <c r="F18" s="20"/>
      <c r="G18" s="21" t="s">
        <v>34</v>
      </c>
      <c r="H18" s="21"/>
      <c r="I18" s="21"/>
      <c r="J18" s="3" t="s">
        <v>35</v>
      </c>
      <c r="K18" s="4" t="s">
        <v>51</v>
      </c>
      <c r="L18" s="4" t="s">
        <v>37</v>
      </c>
      <c r="N18" s="21" t="s">
        <v>52</v>
      </c>
      <c r="O18" s="21"/>
      <c r="P18" s="21" t="s">
        <v>53</v>
      </c>
      <c r="Q18" s="21"/>
      <c r="R18" s="21"/>
      <c r="S18" s="3" t="s">
        <v>40</v>
      </c>
      <c r="T18" s="21" t="s">
        <v>41</v>
      </c>
      <c r="U18" s="21"/>
      <c r="V18" s="4" t="s">
        <v>42</v>
      </c>
      <c r="W18" s="4" t="s">
        <v>54</v>
      </c>
      <c r="X18" s="4" t="s">
        <v>55</v>
      </c>
      <c r="Y18" s="21" t="s">
        <v>56</v>
      </c>
      <c r="Z18" s="21"/>
      <c r="AA18" s="4" t="s">
        <v>46</v>
      </c>
      <c r="AB18" s="4" t="s">
        <v>47</v>
      </c>
      <c r="AC18" s="4" t="s">
        <v>57</v>
      </c>
      <c r="AD18" s="4" t="s">
        <v>58</v>
      </c>
      <c r="AE18" s="4" t="s">
        <v>48</v>
      </c>
      <c r="AF18" s="4" t="s">
        <v>41</v>
      </c>
      <c r="AG18" s="4" t="s">
        <v>49</v>
      </c>
    </row>
    <row r="19" spans="1:33" ht="16.5" customHeight="1" x14ac:dyDescent="0.2">
      <c r="A19" s="2" t="s">
        <v>31</v>
      </c>
      <c r="B19" s="19" t="s">
        <v>50</v>
      </c>
      <c r="C19" s="19"/>
      <c r="D19" s="19"/>
      <c r="E19" s="20" t="s">
        <v>33</v>
      </c>
      <c r="F19" s="20"/>
      <c r="G19" s="21" t="s">
        <v>34</v>
      </c>
      <c r="H19" s="21"/>
      <c r="I19" s="21"/>
      <c r="J19" s="3" t="s">
        <v>35</v>
      </c>
      <c r="K19" s="4" t="s">
        <v>51</v>
      </c>
      <c r="L19" s="4" t="s">
        <v>37</v>
      </c>
      <c r="N19" s="21" t="s">
        <v>52</v>
      </c>
      <c r="O19" s="21"/>
      <c r="P19" s="21" t="s">
        <v>53</v>
      </c>
      <c r="Q19" s="21"/>
      <c r="R19" s="21"/>
      <c r="S19" s="3" t="s">
        <v>40</v>
      </c>
      <c r="T19" s="21" t="s">
        <v>41</v>
      </c>
      <c r="U19" s="21"/>
      <c r="V19" s="4" t="s">
        <v>59</v>
      </c>
      <c r="W19" s="4" t="s">
        <v>54</v>
      </c>
      <c r="X19" s="4" t="s">
        <v>60</v>
      </c>
      <c r="Y19" s="21" t="s">
        <v>56</v>
      </c>
      <c r="Z19" s="21"/>
      <c r="AA19" s="4" t="s">
        <v>46</v>
      </c>
      <c r="AB19" s="4" t="s">
        <v>47</v>
      </c>
      <c r="AC19" s="4" t="s">
        <v>57</v>
      </c>
      <c r="AD19" s="4" t="s">
        <v>58</v>
      </c>
      <c r="AE19" s="4" t="s">
        <v>48</v>
      </c>
      <c r="AF19" s="4" t="s">
        <v>41</v>
      </c>
      <c r="AG19" s="4" t="s">
        <v>49</v>
      </c>
    </row>
    <row r="20" spans="1:33" ht="16.5" customHeight="1" x14ac:dyDescent="0.2">
      <c r="A20" s="2" t="s">
        <v>31</v>
      </c>
      <c r="B20" s="19" t="s">
        <v>50</v>
      </c>
      <c r="C20" s="19"/>
      <c r="D20" s="19"/>
      <c r="E20" s="20" t="s">
        <v>33</v>
      </c>
      <c r="F20" s="20"/>
      <c r="G20" s="21" t="s">
        <v>34</v>
      </c>
      <c r="H20" s="21"/>
      <c r="I20" s="21"/>
      <c r="J20" s="3" t="s">
        <v>35</v>
      </c>
      <c r="K20" s="4" t="s">
        <v>61</v>
      </c>
      <c r="L20" s="4" t="s">
        <v>62</v>
      </c>
      <c r="N20" s="21" t="s">
        <v>63</v>
      </c>
      <c r="O20" s="21"/>
      <c r="P20" s="21" t="s">
        <v>64</v>
      </c>
      <c r="Q20" s="21"/>
      <c r="R20" s="21"/>
      <c r="S20" s="3" t="s">
        <v>40</v>
      </c>
      <c r="T20" s="21" t="s">
        <v>41</v>
      </c>
      <c r="U20" s="21"/>
      <c r="V20" s="4" t="s">
        <v>42</v>
      </c>
      <c r="W20" s="4" t="s">
        <v>54</v>
      </c>
      <c r="X20" s="4" t="s">
        <v>55</v>
      </c>
      <c r="Y20" s="21" t="s">
        <v>65</v>
      </c>
      <c r="Z20" s="21"/>
      <c r="AA20" s="4" t="s">
        <v>46</v>
      </c>
      <c r="AB20" s="4" t="s">
        <v>47</v>
      </c>
      <c r="AC20" s="4" t="s">
        <v>66</v>
      </c>
      <c r="AD20" s="4" t="s">
        <v>67</v>
      </c>
      <c r="AE20" s="4" t="s">
        <v>48</v>
      </c>
      <c r="AF20" s="4" t="s">
        <v>41</v>
      </c>
      <c r="AG20" s="4" t="s">
        <v>49</v>
      </c>
    </row>
    <row r="21" spans="1:33" ht="16.5" customHeight="1" x14ac:dyDescent="0.2">
      <c r="A21" s="2" t="s">
        <v>31</v>
      </c>
      <c r="B21" s="19" t="s">
        <v>50</v>
      </c>
      <c r="C21" s="19"/>
      <c r="D21" s="19"/>
      <c r="E21" s="20" t="s">
        <v>33</v>
      </c>
      <c r="F21" s="20"/>
      <c r="G21" s="21" t="s">
        <v>34</v>
      </c>
      <c r="H21" s="21"/>
      <c r="I21" s="21"/>
      <c r="J21" s="3" t="s">
        <v>35</v>
      </c>
      <c r="K21" s="4" t="s">
        <v>61</v>
      </c>
      <c r="L21" s="4" t="s">
        <v>68</v>
      </c>
      <c r="N21" s="21" t="s">
        <v>63</v>
      </c>
      <c r="O21" s="21"/>
      <c r="P21" s="21" t="s">
        <v>64</v>
      </c>
      <c r="Q21" s="21"/>
      <c r="R21" s="21"/>
      <c r="S21" s="3" t="s">
        <v>40</v>
      </c>
      <c r="T21" s="21" t="s">
        <v>41</v>
      </c>
      <c r="U21" s="21"/>
      <c r="V21" s="4" t="s">
        <v>42</v>
      </c>
      <c r="W21" s="4" t="s">
        <v>54</v>
      </c>
      <c r="X21" s="4" t="s">
        <v>55</v>
      </c>
      <c r="Y21" s="21" t="s">
        <v>65</v>
      </c>
      <c r="Z21" s="21"/>
      <c r="AA21" s="4" t="s">
        <v>46</v>
      </c>
      <c r="AB21" s="4" t="s">
        <v>47</v>
      </c>
      <c r="AC21" s="4" t="s">
        <v>66</v>
      </c>
      <c r="AD21" s="4" t="s">
        <v>69</v>
      </c>
      <c r="AE21" s="4" t="s">
        <v>48</v>
      </c>
      <c r="AF21" s="4" t="s">
        <v>41</v>
      </c>
      <c r="AG21" s="4" t="s">
        <v>49</v>
      </c>
    </row>
    <row r="22" spans="1:33" ht="16.5" customHeight="1" x14ac:dyDescent="0.2">
      <c r="A22" s="2" t="s">
        <v>31</v>
      </c>
      <c r="B22" s="19" t="s">
        <v>50</v>
      </c>
      <c r="C22" s="19"/>
      <c r="D22" s="19"/>
      <c r="E22" s="20" t="s">
        <v>33</v>
      </c>
      <c r="F22" s="20"/>
      <c r="G22" s="21" t="s">
        <v>34</v>
      </c>
      <c r="H22" s="21"/>
      <c r="I22" s="21"/>
      <c r="J22" s="3" t="s">
        <v>35</v>
      </c>
      <c r="K22" s="4" t="s">
        <v>61</v>
      </c>
      <c r="L22" s="4" t="s">
        <v>68</v>
      </c>
      <c r="N22" s="21" t="s">
        <v>63</v>
      </c>
      <c r="O22" s="21"/>
      <c r="P22" s="21" t="s">
        <v>64</v>
      </c>
      <c r="Q22" s="21"/>
      <c r="R22" s="21"/>
      <c r="S22" s="3" t="s">
        <v>40</v>
      </c>
      <c r="T22" s="21" t="s">
        <v>41</v>
      </c>
      <c r="U22" s="21"/>
      <c r="V22" s="4" t="s">
        <v>59</v>
      </c>
      <c r="W22" s="4" t="s">
        <v>54</v>
      </c>
      <c r="X22" s="4" t="s">
        <v>60</v>
      </c>
      <c r="Y22" s="21" t="s">
        <v>65</v>
      </c>
      <c r="Z22" s="21"/>
      <c r="AA22" s="4" t="s">
        <v>46</v>
      </c>
      <c r="AB22" s="4" t="s">
        <v>47</v>
      </c>
      <c r="AC22" s="4" t="s">
        <v>66</v>
      </c>
      <c r="AD22" s="4" t="s">
        <v>69</v>
      </c>
      <c r="AE22" s="4" t="s">
        <v>48</v>
      </c>
      <c r="AF22" s="4" t="s">
        <v>41</v>
      </c>
      <c r="AG22" s="4" t="s">
        <v>49</v>
      </c>
    </row>
    <row r="23" spans="1:33" ht="16.5" customHeight="1" x14ac:dyDescent="0.2">
      <c r="A23" s="2" t="s">
        <v>31</v>
      </c>
      <c r="B23" s="19" t="s">
        <v>50</v>
      </c>
      <c r="C23" s="19"/>
      <c r="D23" s="19"/>
      <c r="E23" s="20" t="s">
        <v>33</v>
      </c>
      <c r="F23" s="20"/>
      <c r="G23" s="21" t="s">
        <v>34</v>
      </c>
      <c r="H23" s="21"/>
      <c r="I23" s="21"/>
      <c r="J23" s="3" t="s">
        <v>35</v>
      </c>
      <c r="K23" s="4" t="s">
        <v>70</v>
      </c>
      <c r="L23" s="4" t="s">
        <v>37</v>
      </c>
      <c r="N23" s="21" t="s">
        <v>71</v>
      </c>
      <c r="O23" s="21"/>
      <c r="P23" s="21" t="s">
        <v>72</v>
      </c>
      <c r="Q23" s="21"/>
      <c r="R23" s="21"/>
      <c r="S23" s="3" t="s">
        <v>40</v>
      </c>
      <c r="T23" s="21" t="s">
        <v>41</v>
      </c>
      <c r="U23" s="21"/>
      <c r="V23" s="4" t="s">
        <v>42</v>
      </c>
      <c r="W23" s="4" t="s">
        <v>54</v>
      </c>
      <c r="X23" s="4" t="s">
        <v>55</v>
      </c>
      <c r="Y23" s="21" t="s">
        <v>65</v>
      </c>
      <c r="Z23" s="21"/>
      <c r="AA23" s="4" t="s">
        <v>46</v>
      </c>
      <c r="AB23" s="4" t="s">
        <v>47</v>
      </c>
      <c r="AC23" s="4" t="s">
        <v>66</v>
      </c>
      <c r="AD23" s="4" t="s">
        <v>73</v>
      </c>
      <c r="AE23" s="4" t="s">
        <v>48</v>
      </c>
      <c r="AF23" s="4" t="s">
        <v>41</v>
      </c>
      <c r="AG23" s="4" t="s">
        <v>49</v>
      </c>
    </row>
    <row r="24" spans="1:33" ht="16.5" customHeight="1" x14ac:dyDescent="0.2">
      <c r="A24" s="2" t="s">
        <v>31</v>
      </c>
      <c r="B24" s="19" t="s">
        <v>50</v>
      </c>
      <c r="C24" s="19"/>
      <c r="D24" s="19"/>
      <c r="E24" s="20" t="s">
        <v>33</v>
      </c>
      <c r="F24" s="20"/>
      <c r="G24" s="21" t="s">
        <v>34</v>
      </c>
      <c r="H24" s="21"/>
      <c r="I24" s="21"/>
      <c r="J24" s="3" t="s">
        <v>35</v>
      </c>
      <c r="K24" s="4" t="s">
        <v>74</v>
      </c>
      <c r="L24" s="4" t="s">
        <v>37</v>
      </c>
      <c r="N24" s="21" t="s">
        <v>75</v>
      </c>
      <c r="O24" s="21"/>
      <c r="P24" s="21" t="s">
        <v>76</v>
      </c>
      <c r="Q24" s="21"/>
      <c r="R24" s="21"/>
      <c r="S24" s="3" t="s">
        <v>40</v>
      </c>
      <c r="T24" s="21" t="s">
        <v>41</v>
      </c>
      <c r="U24" s="21"/>
      <c r="V24" s="4" t="s">
        <v>42</v>
      </c>
      <c r="W24" s="4" t="s">
        <v>77</v>
      </c>
      <c r="X24" s="4" t="s">
        <v>78</v>
      </c>
      <c r="Y24" s="21" t="s">
        <v>65</v>
      </c>
      <c r="Z24" s="21"/>
      <c r="AA24" s="4" t="s">
        <v>46</v>
      </c>
      <c r="AB24" s="4" t="s">
        <v>47</v>
      </c>
      <c r="AC24" s="4" t="s">
        <v>66</v>
      </c>
      <c r="AD24" s="4" t="s">
        <v>73</v>
      </c>
      <c r="AE24" s="4" t="s">
        <v>48</v>
      </c>
      <c r="AF24" s="4" t="s">
        <v>41</v>
      </c>
      <c r="AG24" s="4" t="s">
        <v>49</v>
      </c>
    </row>
    <row r="25" spans="1:33" ht="16.5" customHeight="1" x14ac:dyDescent="0.2">
      <c r="A25" s="2" t="s">
        <v>31</v>
      </c>
      <c r="B25" s="19" t="s">
        <v>50</v>
      </c>
      <c r="C25" s="19"/>
      <c r="D25" s="19"/>
      <c r="E25" s="20" t="s">
        <v>33</v>
      </c>
      <c r="F25" s="20"/>
      <c r="G25" s="21" t="s">
        <v>34</v>
      </c>
      <c r="H25" s="21"/>
      <c r="I25" s="21"/>
      <c r="J25" s="3" t="s">
        <v>35</v>
      </c>
      <c r="K25" s="4" t="s">
        <v>70</v>
      </c>
      <c r="L25" s="4" t="s">
        <v>37</v>
      </c>
      <c r="N25" s="21" t="s">
        <v>79</v>
      </c>
      <c r="O25" s="21"/>
      <c r="P25" s="21" t="s">
        <v>80</v>
      </c>
      <c r="Q25" s="21"/>
      <c r="R25" s="21"/>
      <c r="S25" s="3" t="s">
        <v>40</v>
      </c>
      <c r="T25" s="21" t="s">
        <v>41</v>
      </c>
      <c r="U25" s="21"/>
      <c r="V25" s="4" t="s">
        <v>42</v>
      </c>
      <c r="W25" s="4" t="s">
        <v>77</v>
      </c>
      <c r="X25" s="4" t="s">
        <v>78</v>
      </c>
      <c r="Y25" s="21" t="s">
        <v>65</v>
      </c>
      <c r="Z25" s="21"/>
      <c r="AA25" s="4" t="s">
        <v>46</v>
      </c>
      <c r="AB25" s="4" t="s">
        <v>47</v>
      </c>
      <c r="AC25" s="4" t="s">
        <v>81</v>
      </c>
      <c r="AD25" s="4" t="s">
        <v>41</v>
      </c>
      <c r="AE25" s="4" t="s">
        <v>48</v>
      </c>
      <c r="AF25" s="4" t="s">
        <v>41</v>
      </c>
      <c r="AG25" s="4" t="s">
        <v>49</v>
      </c>
    </row>
    <row r="26" spans="1:33" ht="16.5" customHeight="1" x14ac:dyDescent="0.2">
      <c r="A26" s="2" t="s">
        <v>31</v>
      </c>
      <c r="B26" s="19" t="s">
        <v>50</v>
      </c>
      <c r="C26" s="19"/>
      <c r="D26" s="19"/>
      <c r="E26" s="20" t="s">
        <v>33</v>
      </c>
      <c r="F26" s="20"/>
      <c r="G26" s="21" t="s">
        <v>34</v>
      </c>
      <c r="H26" s="21"/>
      <c r="I26" s="21"/>
      <c r="J26" s="3" t="s">
        <v>35</v>
      </c>
      <c r="K26" s="4" t="s">
        <v>82</v>
      </c>
      <c r="L26" s="4" t="s">
        <v>37</v>
      </c>
      <c r="N26" s="21" t="s">
        <v>83</v>
      </c>
      <c r="O26" s="21"/>
      <c r="P26" s="21" t="s">
        <v>84</v>
      </c>
      <c r="Q26" s="21"/>
      <c r="R26" s="21"/>
      <c r="S26" s="3" t="s">
        <v>40</v>
      </c>
      <c r="T26" s="21" t="s">
        <v>41</v>
      </c>
      <c r="U26" s="21"/>
      <c r="V26" s="4" t="s">
        <v>42</v>
      </c>
      <c r="W26" s="4" t="s">
        <v>85</v>
      </c>
      <c r="X26" s="4" t="s">
        <v>86</v>
      </c>
      <c r="Y26" s="21" t="s">
        <v>56</v>
      </c>
      <c r="Z26" s="21"/>
      <c r="AA26" s="4" t="s">
        <v>46</v>
      </c>
      <c r="AB26" s="4" t="s">
        <v>47</v>
      </c>
      <c r="AC26" s="4" t="s">
        <v>57</v>
      </c>
      <c r="AD26" s="4" t="s">
        <v>58</v>
      </c>
      <c r="AE26" s="4" t="s">
        <v>48</v>
      </c>
      <c r="AF26" s="4" t="s">
        <v>41</v>
      </c>
      <c r="AG26" s="4" t="s">
        <v>49</v>
      </c>
    </row>
    <row r="27" spans="1:33" ht="16.5" customHeight="1" x14ac:dyDescent="0.2">
      <c r="A27" s="2" t="s">
        <v>31</v>
      </c>
      <c r="B27" s="19" t="s">
        <v>50</v>
      </c>
      <c r="C27" s="19"/>
      <c r="D27" s="19"/>
      <c r="E27" s="20" t="s">
        <v>33</v>
      </c>
      <c r="F27" s="20"/>
      <c r="G27" s="21" t="s">
        <v>34</v>
      </c>
      <c r="H27" s="21"/>
      <c r="I27" s="21"/>
      <c r="J27" s="3" t="s">
        <v>35</v>
      </c>
      <c r="K27" s="4" t="s">
        <v>87</v>
      </c>
      <c r="L27" s="4" t="s">
        <v>37</v>
      </c>
      <c r="N27" s="21" t="s">
        <v>88</v>
      </c>
      <c r="O27" s="21"/>
      <c r="P27" s="21" t="s">
        <v>89</v>
      </c>
      <c r="Q27" s="21"/>
      <c r="R27" s="21"/>
      <c r="S27" s="3" t="s">
        <v>40</v>
      </c>
      <c r="T27" s="21" t="s">
        <v>41</v>
      </c>
      <c r="U27" s="21"/>
      <c r="V27" s="4" t="s">
        <v>42</v>
      </c>
      <c r="W27" s="4" t="s">
        <v>85</v>
      </c>
      <c r="X27" s="4" t="s">
        <v>86</v>
      </c>
      <c r="Y27" s="21" t="s">
        <v>56</v>
      </c>
      <c r="Z27" s="21"/>
      <c r="AA27" s="4" t="s">
        <v>46</v>
      </c>
      <c r="AB27" s="4" t="s">
        <v>47</v>
      </c>
      <c r="AC27" s="4" t="s">
        <v>57</v>
      </c>
      <c r="AD27" s="4" t="s">
        <v>58</v>
      </c>
      <c r="AE27" s="4" t="s">
        <v>48</v>
      </c>
      <c r="AF27" s="4" t="s">
        <v>41</v>
      </c>
      <c r="AG27" s="4" t="s">
        <v>49</v>
      </c>
    </row>
    <row r="28" spans="1:33" ht="16.5" customHeight="1" x14ac:dyDescent="0.2">
      <c r="A28" s="2" t="s">
        <v>31</v>
      </c>
      <c r="B28" s="19" t="s">
        <v>50</v>
      </c>
      <c r="C28" s="19"/>
      <c r="D28" s="19"/>
      <c r="E28" s="20" t="s">
        <v>33</v>
      </c>
      <c r="F28" s="20"/>
      <c r="G28" s="21" t="s">
        <v>34</v>
      </c>
      <c r="H28" s="21"/>
      <c r="I28" s="21"/>
      <c r="J28" s="3" t="s">
        <v>35</v>
      </c>
      <c r="K28" s="4" t="s">
        <v>82</v>
      </c>
      <c r="L28" s="4" t="s">
        <v>37</v>
      </c>
      <c r="N28" s="21" t="s">
        <v>90</v>
      </c>
      <c r="O28" s="21"/>
      <c r="P28" s="21" t="s">
        <v>91</v>
      </c>
      <c r="Q28" s="21"/>
      <c r="R28" s="21"/>
      <c r="S28" s="3" t="s">
        <v>40</v>
      </c>
      <c r="T28" s="21" t="s">
        <v>41</v>
      </c>
      <c r="U28" s="21"/>
      <c r="V28" s="4" t="s">
        <v>42</v>
      </c>
      <c r="W28" s="4" t="s">
        <v>85</v>
      </c>
      <c r="X28" s="4" t="s">
        <v>86</v>
      </c>
      <c r="Y28" s="21" t="s">
        <v>56</v>
      </c>
      <c r="Z28" s="21"/>
      <c r="AA28" s="4" t="s">
        <v>46</v>
      </c>
      <c r="AB28" s="4" t="s">
        <v>47</v>
      </c>
      <c r="AC28" s="4" t="s">
        <v>57</v>
      </c>
      <c r="AD28" s="4" t="s">
        <v>58</v>
      </c>
      <c r="AE28" s="4" t="s">
        <v>48</v>
      </c>
      <c r="AF28" s="4" t="s">
        <v>41</v>
      </c>
      <c r="AG28" s="4" t="s">
        <v>49</v>
      </c>
    </row>
    <row r="29" spans="1:33" ht="16.5" customHeight="1" x14ac:dyDescent="0.2">
      <c r="A29" s="2" t="s">
        <v>31</v>
      </c>
      <c r="B29" s="19" t="s">
        <v>50</v>
      </c>
      <c r="C29" s="19"/>
      <c r="D29" s="19"/>
      <c r="E29" s="20" t="s">
        <v>33</v>
      </c>
      <c r="F29" s="20"/>
      <c r="G29" s="21" t="s">
        <v>34</v>
      </c>
      <c r="H29" s="21"/>
      <c r="I29" s="21"/>
      <c r="J29" s="3" t="s">
        <v>35</v>
      </c>
      <c r="K29" s="4" t="s">
        <v>82</v>
      </c>
      <c r="L29" s="4" t="s">
        <v>37</v>
      </c>
      <c r="N29" s="21" t="s">
        <v>92</v>
      </c>
      <c r="O29" s="21"/>
      <c r="P29" s="21" t="s">
        <v>93</v>
      </c>
      <c r="Q29" s="21"/>
      <c r="R29" s="21"/>
      <c r="S29" s="3" t="s">
        <v>40</v>
      </c>
      <c r="T29" s="21" t="s">
        <v>41</v>
      </c>
      <c r="U29" s="21"/>
      <c r="V29" s="4" t="s">
        <v>42</v>
      </c>
      <c r="W29" s="4" t="s">
        <v>94</v>
      </c>
      <c r="X29" s="4" t="s">
        <v>95</v>
      </c>
      <c r="Y29" s="21" t="s">
        <v>56</v>
      </c>
      <c r="Z29" s="21"/>
      <c r="AA29" s="4" t="s">
        <v>46</v>
      </c>
      <c r="AB29" s="4" t="s">
        <v>47</v>
      </c>
      <c r="AC29" s="4" t="s">
        <v>57</v>
      </c>
      <c r="AD29" s="4" t="s">
        <v>58</v>
      </c>
      <c r="AE29" s="4" t="s">
        <v>48</v>
      </c>
      <c r="AF29" s="4" t="s">
        <v>41</v>
      </c>
      <c r="AG29" s="4" t="s">
        <v>49</v>
      </c>
    </row>
    <row r="30" spans="1:33" ht="16.5" customHeight="1" x14ac:dyDescent="0.2">
      <c r="A30" s="2" t="s">
        <v>31</v>
      </c>
      <c r="B30" s="19" t="s">
        <v>50</v>
      </c>
      <c r="C30" s="19"/>
      <c r="D30" s="19"/>
      <c r="E30" s="20" t="s">
        <v>33</v>
      </c>
      <c r="F30" s="20"/>
      <c r="G30" s="21" t="s">
        <v>34</v>
      </c>
      <c r="H30" s="21"/>
      <c r="I30" s="21"/>
      <c r="J30" s="3" t="s">
        <v>35</v>
      </c>
      <c r="K30" s="4" t="s">
        <v>51</v>
      </c>
      <c r="L30" s="4" t="s">
        <v>68</v>
      </c>
      <c r="N30" s="21" t="s">
        <v>96</v>
      </c>
      <c r="O30" s="21"/>
      <c r="P30" s="21" t="s">
        <v>97</v>
      </c>
      <c r="Q30" s="21"/>
      <c r="R30" s="21"/>
      <c r="S30" s="3" t="s">
        <v>40</v>
      </c>
      <c r="T30" s="21" t="s">
        <v>41</v>
      </c>
      <c r="U30" s="21"/>
      <c r="V30" s="4" t="s">
        <v>42</v>
      </c>
      <c r="W30" s="4" t="s">
        <v>94</v>
      </c>
      <c r="X30" s="4" t="s">
        <v>95</v>
      </c>
      <c r="Y30" s="21" t="s">
        <v>56</v>
      </c>
      <c r="Z30" s="21"/>
      <c r="AA30" s="4" t="s">
        <v>46</v>
      </c>
      <c r="AB30" s="4" t="s">
        <v>47</v>
      </c>
      <c r="AC30" s="4" t="s">
        <v>57</v>
      </c>
      <c r="AD30" s="4" t="s">
        <v>98</v>
      </c>
      <c r="AE30" s="4" t="s">
        <v>48</v>
      </c>
      <c r="AF30" s="4" t="s">
        <v>41</v>
      </c>
      <c r="AG30" s="4" t="s">
        <v>49</v>
      </c>
    </row>
    <row r="31" spans="1:33" ht="16.5" customHeight="1" x14ac:dyDescent="0.2">
      <c r="A31" s="2" t="s">
        <v>31</v>
      </c>
      <c r="B31" s="19" t="s">
        <v>50</v>
      </c>
      <c r="C31" s="19"/>
      <c r="D31" s="19"/>
      <c r="E31" s="20" t="s">
        <v>33</v>
      </c>
      <c r="F31" s="20"/>
      <c r="G31" s="21" t="s">
        <v>34</v>
      </c>
      <c r="H31" s="21"/>
      <c r="I31" s="21"/>
      <c r="J31" s="3" t="s">
        <v>35</v>
      </c>
      <c r="K31" s="4" t="s">
        <v>99</v>
      </c>
      <c r="L31" s="4" t="s">
        <v>37</v>
      </c>
      <c r="N31" s="21" t="s">
        <v>100</v>
      </c>
      <c r="O31" s="21"/>
      <c r="P31" s="21" t="s">
        <v>101</v>
      </c>
      <c r="Q31" s="21"/>
      <c r="R31" s="21"/>
      <c r="S31" s="3" t="s">
        <v>40</v>
      </c>
      <c r="T31" s="21" t="s">
        <v>41</v>
      </c>
      <c r="U31" s="21"/>
      <c r="V31" s="4" t="s">
        <v>42</v>
      </c>
      <c r="W31" s="4" t="s">
        <v>85</v>
      </c>
      <c r="X31" s="4" t="s">
        <v>86</v>
      </c>
      <c r="Y31" s="21" t="s">
        <v>56</v>
      </c>
      <c r="Z31" s="21"/>
      <c r="AA31" s="4" t="s">
        <v>46</v>
      </c>
      <c r="AB31" s="4" t="s">
        <v>47</v>
      </c>
      <c r="AC31" s="4" t="s">
        <v>57</v>
      </c>
      <c r="AD31" s="4" t="s">
        <v>58</v>
      </c>
      <c r="AE31" s="4" t="s">
        <v>48</v>
      </c>
      <c r="AF31" s="4" t="s">
        <v>41</v>
      </c>
      <c r="AG31" s="4" t="s">
        <v>49</v>
      </c>
    </row>
    <row r="32" spans="1:33" ht="16.5" customHeight="1" x14ac:dyDescent="0.2">
      <c r="A32" s="2" t="s">
        <v>31</v>
      </c>
      <c r="B32" s="19" t="s">
        <v>50</v>
      </c>
      <c r="C32" s="19"/>
      <c r="D32" s="19"/>
      <c r="E32" s="20" t="s">
        <v>33</v>
      </c>
      <c r="F32" s="20"/>
      <c r="G32" s="21" t="s">
        <v>34</v>
      </c>
      <c r="H32" s="21"/>
      <c r="I32" s="21"/>
      <c r="J32" s="3" t="s">
        <v>35</v>
      </c>
      <c r="K32" s="4" t="s">
        <v>82</v>
      </c>
      <c r="L32" s="4" t="s">
        <v>37</v>
      </c>
      <c r="N32" s="21" t="s">
        <v>102</v>
      </c>
      <c r="O32" s="21"/>
      <c r="P32" s="21" t="s">
        <v>103</v>
      </c>
      <c r="Q32" s="21"/>
      <c r="R32" s="21"/>
      <c r="S32" s="3" t="s">
        <v>40</v>
      </c>
      <c r="T32" s="21" t="s">
        <v>41</v>
      </c>
      <c r="U32" s="21"/>
      <c r="V32" s="4" t="s">
        <v>42</v>
      </c>
      <c r="W32" s="4" t="s">
        <v>104</v>
      </c>
      <c r="X32" s="4" t="s">
        <v>105</v>
      </c>
      <c r="Y32" s="21" t="s">
        <v>56</v>
      </c>
      <c r="Z32" s="21"/>
      <c r="AA32" s="4" t="s">
        <v>46</v>
      </c>
      <c r="AB32" s="4" t="s">
        <v>47</v>
      </c>
      <c r="AC32" s="4" t="s">
        <v>57</v>
      </c>
      <c r="AD32" s="4" t="s">
        <v>58</v>
      </c>
      <c r="AE32" s="4" t="s">
        <v>48</v>
      </c>
      <c r="AF32" s="4" t="s">
        <v>41</v>
      </c>
      <c r="AG32" s="4" t="s">
        <v>49</v>
      </c>
    </row>
    <row r="33" spans="1:33" ht="16.5" customHeight="1" x14ac:dyDescent="0.2">
      <c r="A33" s="2" t="s">
        <v>31</v>
      </c>
      <c r="B33" s="19" t="s">
        <v>50</v>
      </c>
      <c r="C33" s="19"/>
      <c r="D33" s="19"/>
      <c r="E33" s="20" t="s">
        <v>33</v>
      </c>
      <c r="F33" s="20"/>
      <c r="G33" s="21" t="s">
        <v>34</v>
      </c>
      <c r="H33" s="21"/>
      <c r="I33" s="21"/>
      <c r="J33" s="3" t="s">
        <v>35</v>
      </c>
      <c r="K33" s="4" t="s">
        <v>82</v>
      </c>
      <c r="L33" s="4" t="s">
        <v>37</v>
      </c>
      <c r="N33" s="21" t="s">
        <v>106</v>
      </c>
      <c r="O33" s="21"/>
      <c r="P33" s="21" t="s">
        <v>107</v>
      </c>
      <c r="Q33" s="21"/>
      <c r="R33" s="21"/>
      <c r="S33" s="3" t="s">
        <v>40</v>
      </c>
      <c r="T33" s="21" t="s">
        <v>41</v>
      </c>
      <c r="U33" s="21"/>
      <c r="V33" s="4" t="s">
        <v>42</v>
      </c>
      <c r="W33" s="4" t="s">
        <v>108</v>
      </c>
      <c r="X33" s="4" t="s">
        <v>109</v>
      </c>
      <c r="Y33" s="21" t="s">
        <v>56</v>
      </c>
      <c r="Z33" s="21"/>
      <c r="AA33" s="4" t="s">
        <v>46</v>
      </c>
      <c r="AB33" s="4" t="s">
        <v>47</v>
      </c>
      <c r="AC33" s="4" t="s">
        <v>57</v>
      </c>
      <c r="AD33" s="4" t="s">
        <v>58</v>
      </c>
      <c r="AE33" s="4" t="s">
        <v>48</v>
      </c>
      <c r="AF33" s="4" t="s">
        <v>41</v>
      </c>
      <c r="AG33" s="4" t="s">
        <v>49</v>
      </c>
    </row>
    <row r="34" spans="1:33" ht="16.5" customHeight="1" x14ac:dyDescent="0.2">
      <c r="A34" s="2" t="s">
        <v>31</v>
      </c>
      <c r="B34" s="19" t="s">
        <v>110</v>
      </c>
      <c r="C34" s="19"/>
      <c r="D34" s="19"/>
      <c r="E34" s="20" t="s">
        <v>33</v>
      </c>
      <c r="F34" s="20"/>
      <c r="G34" s="21" t="s">
        <v>34</v>
      </c>
      <c r="H34" s="21"/>
      <c r="I34" s="21"/>
      <c r="J34" s="3" t="s">
        <v>111</v>
      </c>
      <c r="K34" s="4" t="s">
        <v>112</v>
      </c>
      <c r="N34" s="21" t="s">
        <v>113</v>
      </c>
      <c r="O34" s="21"/>
      <c r="P34" s="21" t="s">
        <v>114</v>
      </c>
      <c r="Q34" s="21"/>
      <c r="R34" s="21"/>
      <c r="S34" s="3" t="s">
        <v>40</v>
      </c>
      <c r="T34" s="21" t="s">
        <v>115</v>
      </c>
      <c r="U34" s="21"/>
      <c r="V34" s="4" t="s">
        <v>42</v>
      </c>
      <c r="W34" s="4" t="s">
        <v>54</v>
      </c>
      <c r="X34" s="4" t="s">
        <v>55</v>
      </c>
      <c r="Y34" s="21" t="s">
        <v>116</v>
      </c>
      <c r="Z34" s="21"/>
      <c r="AA34" s="4" t="s">
        <v>46</v>
      </c>
      <c r="AB34" s="4" t="s">
        <v>117</v>
      </c>
      <c r="AC34" s="4" t="s">
        <v>118</v>
      </c>
      <c r="AD34" s="4" t="s">
        <v>119</v>
      </c>
      <c r="AE34" s="4" t="s">
        <v>48</v>
      </c>
      <c r="AF34" s="4" t="s">
        <v>41</v>
      </c>
      <c r="AG34" s="4" t="s">
        <v>49</v>
      </c>
    </row>
    <row r="35" spans="1:33" ht="16.5" customHeight="1" x14ac:dyDescent="0.2">
      <c r="A35" s="2" t="s">
        <v>31</v>
      </c>
      <c r="B35" s="19" t="s">
        <v>50</v>
      </c>
      <c r="C35" s="19"/>
      <c r="D35" s="19"/>
      <c r="E35" s="20" t="s">
        <v>33</v>
      </c>
      <c r="F35" s="20"/>
      <c r="G35" s="21" t="s">
        <v>34</v>
      </c>
      <c r="H35" s="21"/>
      <c r="I35" s="21"/>
      <c r="J35" s="3" t="s">
        <v>35</v>
      </c>
      <c r="K35" s="4" t="s">
        <v>120</v>
      </c>
      <c r="L35" s="4" t="s">
        <v>37</v>
      </c>
      <c r="N35" s="21" t="s">
        <v>121</v>
      </c>
      <c r="O35" s="21"/>
      <c r="P35" s="21" t="s">
        <v>122</v>
      </c>
      <c r="Q35" s="21"/>
      <c r="R35" s="21"/>
      <c r="S35" s="3" t="s">
        <v>40</v>
      </c>
      <c r="T35" s="21" t="s">
        <v>41</v>
      </c>
      <c r="U35" s="21"/>
      <c r="V35" s="4" t="s">
        <v>42</v>
      </c>
      <c r="W35" s="4" t="s">
        <v>54</v>
      </c>
      <c r="X35" s="4" t="s">
        <v>55</v>
      </c>
      <c r="Y35" s="21" t="s">
        <v>65</v>
      </c>
      <c r="Z35" s="21"/>
      <c r="AA35" s="4" t="s">
        <v>46</v>
      </c>
      <c r="AB35" s="4" t="s">
        <v>47</v>
      </c>
      <c r="AC35" s="4" t="s">
        <v>66</v>
      </c>
      <c r="AD35" s="4" t="s">
        <v>73</v>
      </c>
      <c r="AE35" s="4" t="s">
        <v>48</v>
      </c>
      <c r="AF35" s="4" t="s">
        <v>41</v>
      </c>
      <c r="AG35" s="4" t="s">
        <v>49</v>
      </c>
    </row>
    <row r="36" spans="1:33" ht="16.5" customHeight="1" x14ac:dyDescent="0.2">
      <c r="A36" s="2" t="s">
        <v>31</v>
      </c>
      <c r="B36" s="19" t="s">
        <v>50</v>
      </c>
      <c r="C36" s="19"/>
      <c r="D36" s="19"/>
      <c r="E36" s="20" t="s">
        <v>33</v>
      </c>
      <c r="F36" s="20"/>
      <c r="G36" s="21" t="s">
        <v>34</v>
      </c>
      <c r="H36" s="21"/>
      <c r="I36" s="21"/>
      <c r="J36" s="3" t="s">
        <v>35</v>
      </c>
      <c r="K36" s="4" t="s">
        <v>123</v>
      </c>
      <c r="L36" s="4" t="s">
        <v>37</v>
      </c>
      <c r="N36" s="21" t="s">
        <v>124</v>
      </c>
      <c r="O36" s="21"/>
      <c r="P36" s="21" t="s">
        <v>125</v>
      </c>
      <c r="Q36" s="21"/>
      <c r="R36" s="21"/>
      <c r="S36" s="3" t="s">
        <v>40</v>
      </c>
      <c r="T36" s="21" t="s">
        <v>41</v>
      </c>
      <c r="U36" s="21"/>
      <c r="V36" s="4" t="s">
        <v>42</v>
      </c>
      <c r="W36" s="4" t="s">
        <v>54</v>
      </c>
      <c r="X36" s="4" t="s">
        <v>55</v>
      </c>
      <c r="Y36" s="21" t="s">
        <v>65</v>
      </c>
      <c r="Z36" s="21"/>
      <c r="AA36" s="4" t="s">
        <v>46</v>
      </c>
      <c r="AB36" s="4" t="s">
        <v>47</v>
      </c>
      <c r="AC36" s="4" t="s">
        <v>66</v>
      </c>
      <c r="AD36" s="4" t="s">
        <v>73</v>
      </c>
      <c r="AE36" s="4" t="s">
        <v>48</v>
      </c>
      <c r="AF36" s="4" t="s">
        <v>41</v>
      </c>
      <c r="AG36" s="4" t="s">
        <v>49</v>
      </c>
    </row>
    <row r="37" spans="1:33" ht="16.5" customHeight="1" x14ac:dyDescent="0.2">
      <c r="A37" s="2" t="s">
        <v>31</v>
      </c>
      <c r="B37" s="19" t="s">
        <v>50</v>
      </c>
      <c r="C37" s="19"/>
      <c r="D37" s="19"/>
      <c r="E37" s="20" t="s">
        <v>33</v>
      </c>
      <c r="F37" s="20"/>
      <c r="G37" s="21" t="s">
        <v>34</v>
      </c>
      <c r="H37" s="21"/>
      <c r="I37" s="21"/>
      <c r="J37" s="3" t="s">
        <v>35</v>
      </c>
      <c r="K37" s="4" t="s">
        <v>82</v>
      </c>
      <c r="L37" s="4" t="s">
        <v>37</v>
      </c>
      <c r="N37" s="21" t="s">
        <v>126</v>
      </c>
      <c r="O37" s="21"/>
      <c r="P37" s="21" t="s">
        <v>127</v>
      </c>
      <c r="Q37" s="21"/>
      <c r="R37" s="21"/>
      <c r="S37" s="3" t="s">
        <v>40</v>
      </c>
      <c r="T37" s="21" t="s">
        <v>41</v>
      </c>
      <c r="U37" s="21"/>
      <c r="V37" s="4" t="s">
        <v>42</v>
      </c>
      <c r="W37" s="4" t="s">
        <v>54</v>
      </c>
      <c r="X37" s="4" t="s">
        <v>55</v>
      </c>
      <c r="Y37" s="21" t="s">
        <v>56</v>
      </c>
      <c r="Z37" s="21"/>
      <c r="AA37" s="4" t="s">
        <v>46</v>
      </c>
      <c r="AB37" s="4" t="s">
        <v>47</v>
      </c>
      <c r="AC37" s="4" t="s">
        <v>57</v>
      </c>
      <c r="AD37" s="4" t="s">
        <v>58</v>
      </c>
      <c r="AE37" s="4" t="s">
        <v>48</v>
      </c>
      <c r="AF37" s="4" t="s">
        <v>41</v>
      </c>
      <c r="AG37" s="4" t="s">
        <v>49</v>
      </c>
    </row>
    <row r="38" spans="1:33" ht="16.5" customHeight="1" x14ac:dyDescent="0.2">
      <c r="A38" s="2" t="s">
        <v>31</v>
      </c>
      <c r="B38" s="19" t="s">
        <v>50</v>
      </c>
      <c r="C38" s="19"/>
      <c r="D38" s="19"/>
      <c r="E38" s="20" t="s">
        <v>33</v>
      </c>
      <c r="F38" s="20"/>
      <c r="G38" s="21" t="s">
        <v>34</v>
      </c>
      <c r="H38" s="21"/>
      <c r="I38" s="21"/>
      <c r="J38" s="3" t="s">
        <v>35</v>
      </c>
      <c r="K38" s="4" t="s">
        <v>82</v>
      </c>
      <c r="L38" s="4" t="s">
        <v>37</v>
      </c>
      <c r="N38" s="21" t="s">
        <v>126</v>
      </c>
      <c r="O38" s="21"/>
      <c r="P38" s="21" t="s">
        <v>127</v>
      </c>
      <c r="Q38" s="21"/>
      <c r="R38" s="21"/>
      <c r="S38" s="3" t="s">
        <v>40</v>
      </c>
      <c r="T38" s="21" t="s">
        <v>41</v>
      </c>
      <c r="U38" s="21"/>
      <c r="V38" s="4" t="s">
        <v>59</v>
      </c>
      <c r="W38" s="4" t="s">
        <v>54</v>
      </c>
      <c r="X38" s="4" t="s">
        <v>60</v>
      </c>
      <c r="Y38" s="21" t="s">
        <v>56</v>
      </c>
      <c r="Z38" s="21"/>
      <c r="AA38" s="4" t="s">
        <v>46</v>
      </c>
      <c r="AB38" s="4" t="s">
        <v>47</v>
      </c>
      <c r="AC38" s="4" t="s">
        <v>57</v>
      </c>
      <c r="AD38" s="4" t="s">
        <v>58</v>
      </c>
      <c r="AE38" s="4" t="s">
        <v>48</v>
      </c>
      <c r="AF38" s="4" t="s">
        <v>41</v>
      </c>
      <c r="AG38" s="4" t="s">
        <v>49</v>
      </c>
    </row>
    <row r="39" spans="1:33" ht="16.5" customHeight="1" x14ac:dyDescent="0.2">
      <c r="A39" s="2" t="s">
        <v>31</v>
      </c>
      <c r="B39" s="19" t="s">
        <v>50</v>
      </c>
      <c r="C39" s="19"/>
      <c r="D39" s="19"/>
      <c r="E39" s="20" t="s">
        <v>33</v>
      </c>
      <c r="F39" s="20"/>
      <c r="G39" s="21" t="s">
        <v>34</v>
      </c>
      <c r="H39" s="21"/>
      <c r="I39" s="21"/>
      <c r="J39" s="3" t="s">
        <v>35</v>
      </c>
      <c r="K39" s="4" t="s">
        <v>82</v>
      </c>
      <c r="L39" s="4" t="s">
        <v>37</v>
      </c>
      <c r="N39" s="21" t="s">
        <v>128</v>
      </c>
      <c r="O39" s="21"/>
      <c r="P39" s="21" t="s">
        <v>129</v>
      </c>
      <c r="Q39" s="21"/>
      <c r="R39" s="21"/>
      <c r="S39" s="3" t="s">
        <v>40</v>
      </c>
      <c r="T39" s="21" t="s">
        <v>41</v>
      </c>
      <c r="U39" s="21"/>
      <c r="V39" s="4" t="s">
        <v>59</v>
      </c>
      <c r="W39" s="4" t="s">
        <v>130</v>
      </c>
      <c r="X39" s="4" t="s">
        <v>131</v>
      </c>
      <c r="Y39" s="21" t="s">
        <v>56</v>
      </c>
      <c r="Z39" s="21"/>
      <c r="AA39" s="4" t="s">
        <v>46</v>
      </c>
      <c r="AB39" s="4" t="s">
        <v>47</v>
      </c>
      <c r="AC39" s="4" t="s">
        <v>57</v>
      </c>
      <c r="AD39" s="4" t="s">
        <v>58</v>
      </c>
      <c r="AE39" s="4" t="s">
        <v>48</v>
      </c>
      <c r="AF39" s="4" t="s">
        <v>41</v>
      </c>
      <c r="AG39" s="4" t="s">
        <v>49</v>
      </c>
    </row>
    <row r="40" spans="1:33" ht="16.5" customHeight="1" x14ac:dyDescent="0.2">
      <c r="A40" s="2" t="s">
        <v>31</v>
      </c>
      <c r="B40" s="19" t="s">
        <v>50</v>
      </c>
      <c r="C40" s="19"/>
      <c r="D40" s="19"/>
      <c r="E40" s="20" t="s">
        <v>33</v>
      </c>
      <c r="F40" s="20"/>
      <c r="G40" s="21" t="s">
        <v>132</v>
      </c>
      <c r="H40" s="21"/>
      <c r="I40" s="21"/>
      <c r="J40" s="3" t="s">
        <v>35</v>
      </c>
      <c r="K40" s="4" t="s">
        <v>133</v>
      </c>
      <c r="L40" s="4" t="s">
        <v>37</v>
      </c>
      <c r="N40" s="21" t="s">
        <v>134</v>
      </c>
      <c r="O40" s="21"/>
      <c r="P40" s="21" t="s">
        <v>135</v>
      </c>
      <c r="Q40" s="21"/>
      <c r="R40" s="21"/>
      <c r="S40" s="3" t="s">
        <v>40</v>
      </c>
      <c r="T40" s="21" t="s">
        <v>41</v>
      </c>
      <c r="U40" s="21"/>
      <c r="V40" s="4" t="s">
        <v>42</v>
      </c>
      <c r="W40" s="4" t="s">
        <v>136</v>
      </c>
      <c r="X40" s="4" t="s">
        <v>137</v>
      </c>
      <c r="Y40" s="21" t="s">
        <v>138</v>
      </c>
      <c r="Z40" s="21"/>
      <c r="AA40" s="4" t="s">
        <v>46</v>
      </c>
      <c r="AB40" s="4" t="s">
        <v>47</v>
      </c>
      <c r="AC40" s="4" t="s">
        <v>139</v>
      </c>
      <c r="AD40" s="4" t="s">
        <v>140</v>
      </c>
      <c r="AE40" s="4" t="s">
        <v>48</v>
      </c>
      <c r="AF40" s="4" t="s">
        <v>41</v>
      </c>
      <c r="AG40" s="4" t="s">
        <v>141</v>
      </c>
    </row>
    <row r="41" spans="1:33" ht="16.5" customHeight="1" x14ac:dyDescent="0.2">
      <c r="A41" s="2" t="s">
        <v>31</v>
      </c>
      <c r="B41" s="19" t="s">
        <v>50</v>
      </c>
      <c r="C41" s="19"/>
      <c r="D41" s="19"/>
      <c r="E41" s="20" t="s">
        <v>33</v>
      </c>
      <c r="F41" s="20"/>
      <c r="G41" s="21" t="s">
        <v>132</v>
      </c>
      <c r="H41" s="21"/>
      <c r="I41" s="21"/>
      <c r="J41" s="3" t="s">
        <v>35</v>
      </c>
      <c r="K41" s="4" t="s">
        <v>99</v>
      </c>
      <c r="L41" s="4" t="s">
        <v>37</v>
      </c>
      <c r="N41" s="21" t="s">
        <v>142</v>
      </c>
      <c r="O41" s="21"/>
      <c r="P41" s="21" t="s">
        <v>143</v>
      </c>
      <c r="Q41" s="21"/>
      <c r="R41" s="21"/>
      <c r="S41" s="3" t="s">
        <v>40</v>
      </c>
      <c r="T41" s="21" t="s">
        <v>41</v>
      </c>
      <c r="U41" s="21"/>
      <c r="V41" s="4" t="s">
        <v>42</v>
      </c>
      <c r="W41" s="4" t="s">
        <v>144</v>
      </c>
      <c r="X41" s="4" t="s">
        <v>145</v>
      </c>
      <c r="Y41" s="21" t="s">
        <v>56</v>
      </c>
      <c r="Z41" s="21"/>
      <c r="AA41" s="4" t="s">
        <v>46</v>
      </c>
      <c r="AB41" s="4" t="s">
        <v>47</v>
      </c>
      <c r="AC41" s="4" t="s">
        <v>139</v>
      </c>
      <c r="AD41" s="4" t="s">
        <v>140</v>
      </c>
      <c r="AE41" s="4" t="s">
        <v>48</v>
      </c>
      <c r="AF41" s="4" t="s">
        <v>41</v>
      </c>
      <c r="AG41" s="4" t="s">
        <v>141</v>
      </c>
    </row>
    <row r="42" spans="1:33" ht="16.5" customHeight="1" x14ac:dyDescent="0.2">
      <c r="A42" s="2" t="s">
        <v>31</v>
      </c>
      <c r="B42" s="19" t="s">
        <v>50</v>
      </c>
      <c r="C42" s="19"/>
      <c r="D42" s="19"/>
      <c r="E42" s="20" t="s">
        <v>33</v>
      </c>
      <c r="F42" s="20"/>
      <c r="G42" s="21" t="s">
        <v>132</v>
      </c>
      <c r="H42" s="21"/>
      <c r="I42" s="21"/>
      <c r="J42" s="3" t="s">
        <v>35</v>
      </c>
      <c r="K42" s="4" t="s">
        <v>146</v>
      </c>
      <c r="L42" s="4" t="s">
        <v>68</v>
      </c>
      <c r="N42" s="21" t="s">
        <v>147</v>
      </c>
      <c r="O42" s="21"/>
      <c r="P42" s="21" t="s">
        <v>148</v>
      </c>
      <c r="Q42" s="21"/>
      <c r="R42" s="21"/>
      <c r="S42" s="3" t="s">
        <v>40</v>
      </c>
      <c r="T42" s="21" t="s">
        <v>41</v>
      </c>
      <c r="U42" s="21"/>
      <c r="V42" s="4" t="s">
        <v>42</v>
      </c>
      <c r="W42" s="4" t="s">
        <v>149</v>
      </c>
      <c r="X42" s="4" t="s">
        <v>150</v>
      </c>
      <c r="Y42" s="21" t="s">
        <v>138</v>
      </c>
      <c r="Z42" s="21"/>
      <c r="AA42" s="4" t="s">
        <v>46</v>
      </c>
      <c r="AB42" s="4" t="s">
        <v>47</v>
      </c>
      <c r="AC42" s="4" t="s">
        <v>139</v>
      </c>
      <c r="AD42" s="4" t="s">
        <v>151</v>
      </c>
      <c r="AE42" s="4" t="s">
        <v>48</v>
      </c>
      <c r="AF42" s="4" t="s">
        <v>41</v>
      </c>
      <c r="AG42" s="4" t="s">
        <v>141</v>
      </c>
    </row>
    <row r="43" spans="1:33" ht="16.5" customHeight="1" x14ac:dyDescent="0.2">
      <c r="A43" s="2" t="s">
        <v>31</v>
      </c>
      <c r="B43" s="19" t="s">
        <v>50</v>
      </c>
      <c r="C43" s="19"/>
      <c r="D43" s="19"/>
      <c r="E43" s="20" t="s">
        <v>33</v>
      </c>
      <c r="F43" s="20"/>
      <c r="G43" s="21" t="s">
        <v>132</v>
      </c>
      <c r="H43" s="21"/>
      <c r="I43" s="21"/>
      <c r="J43" s="3" t="s">
        <v>35</v>
      </c>
      <c r="K43" s="4" t="s">
        <v>152</v>
      </c>
      <c r="L43" s="4" t="s">
        <v>37</v>
      </c>
      <c r="N43" s="21" t="s">
        <v>153</v>
      </c>
      <c r="O43" s="21"/>
      <c r="P43" s="21" t="s">
        <v>154</v>
      </c>
      <c r="Q43" s="21"/>
      <c r="R43" s="21"/>
      <c r="S43" s="3" t="s">
        <v>40</v>
      </c>
      <c r="T43" s="21" t="s">
        <v>41</v>
      </c>
      <c r="U43" s="21"/>
      <c r="V43" s="4" t="s">
        <v>42</v>
      </c>
      <c r="W43" s="4" t="s">
        <v>43</v>
      </c>
      <c r="X43" s="4" t="s">
        <v>44</v>
      </c>
      <c r="Y43" s="21" t="s">
        <v>56</v>
      </c>
      <c r="Z43" s="21"/>
      <c r="AA43" s="4" t="s">
        <v>46</v>
      </c>
      <c r="AB43" s="4" t="s">
        <v>47</v>
      </c>
      <c r="AC43" s="4" t="s">
        <v>139</v>
      </c>
      <c r="AD43" s="4" t="s">
        <v>140</v>
      </c>
      <c r="AE43" s="4" t="s">
        <v>48</v>
      </c>
      <c r="AF43" s="4" t="s">
        <v>41</v>
      </c>
      <c r="AG43" s="4" t="s">
        <v>141</v>
      </c>
    </row>
    <row r="44" spans="1:33" ht="16.5" customHeight="1" x14ac:dyDescent="0.2">
      <c r="A44" s="2" t="s">
        <v>31</v>
      </c>
      <c r="B44" s="19" t="s">
        <v>50</v>
      </c>
      <c r="C44" s="19"/>
      <c r="D44" s="19"/>
      <c r="E44" s="20" t="s">
        <v>33</v>
      </c>
      <c r="F44" s="20"/>
      <c r="G44" s="21" t="s">
        <v>132</v>
      </c>
      <c r="H44" s="21"/>
      <c r="I44" s="21"/>
      <c r="J44" s="3" t="s">
        <v>35</v>
      </c>
      <c r="K44" s="4" t="s">
        <v>152</v>
      </c>
      <c r="L44" s="4" t="s">
        <v>37</v>
      </c>
      <c r="N44" s="21" t="s">
        <v>155</v>
      </c>
      <c r="O44" s="21"/>
      <c r="P44" s="21" t="s">
        <v>156</v>
      </c>
      <c r="Q44" s="21"/>
      <c r="R44" s="21"/>
      <c r="S44" s="3" t="s">
        <v>40</v>
      </c>
      <c r="T44" s="21" t="s">
        <v>41</v>
      </c>
      <c r="U44" s="21"/>
      <c r="V44" s="4" t="s">
        <v>42</v>
      </c>
      <c r="W44" s="4" t="s">
        <v>157</v>
      </c>
      <c r="X44" s="4" t="s">
        <v>158</v>
      </c>
      <c r="Y44" s="21" t="s">
        <v>56</v>
      </c>
      <c r="Z44" s="21"/>
      <c r="AA44" s="4" t="s">
        <v>46</v>
      </c>
      <c r="AB44" s="4" t="s">
        <v>47</v>
      </c>
      <c r="AC44" s="4" t="s">
        <v>139</v>
      </c>
      <c r="AD44" s="4" t="s">
        <v>140</v>
      </c>
      <c r="AE44" s="4" t="s">
        <v>48</v>
      </c>
      <c r="AF44" s="4" t="s">
        <v>41</v>
      </c>
      <c r="AG44" s="4" t="s">
        <v>141</v>
      </c>
    </row>
    <row r="45" spans="1:33" ht="16.5" customHeight="1" x14ac:dyDescent="0.2">
      <c r="A45" s="2" t="s">
        <v>31</v>
      </c>
      <c r="B45" s="19" t="s">
        <v>50</v>
      </c>
      <c r="C45" s="19"/>
      <c r="D45" s="19"/>
      <c r="E45" s="20" t="s">
        <v>33</v>
      </c>
      <c r="F45" s="20"/>
      <c r="G45" s="21" t="s">
        <v>132</v>
      </c>
      <c r="H45" s="21"/>
      <c r="I45" s="21"/>
      <c r="J45" s="3" t="s">
        <v>35</v>
      </c>
      <c r="K45" s="4" t="s">
        <v>133</v>
      </c>
      <c r="L45" s="4" t="s">
        <v>37</v>
      </c>
      <c r="N45" s="21" t="s">
        <v>159</v>
      </c>
      <c r="O45" s="21"/>
      <c r="P45" s="21" t="s">
        <v>160</v>
      </c>
      <c r="Q45" s="21"/>
      <c r="R45" s="21"/>
      <c r="S45" s="3" t="s">
        <v>40</v>
      </c>
      <c r="T45" s="21" t="s">
        <v>41</v>
      </c>
      <c r="U45" s="21"/>
      <c r="V45" s="4" t="s">
        <v>42</v>
      </c>
      <c r="W45" s="4" t="s">
        <v>161</v>
      </c>
      <c r="X45" s="4" t="s">
        <v>162</v>
      </c>
      <c r="Y45" s="21" t="s">
        <v>138</v>
      </c>
      <c r="Z45" s="21"/>
      <c r="AA45" s="4" t="s">
        <v>46</v>
      </c>
      <c r="AB45" s="4" t="s">
        <v>47</v>
      </c>
      <c r="AC45" s="4" t="s">
        <v>81</v>
      </c>
      <c r="AD45" s="4" t="s">
        <v>41</v>
      </c>
      <c r="AE45" s="4" t="s">
        <v>48</v>
      </c>
      <c r="AF45" s="4" t="s">
        <v>41</v>
      </c>
      <c r="AG45" s="4" t="s">
        <v>141</v>
      </c>
    </row>
    <row r="46" spans="1:33" ht="16.5" customHeight="1" x14ac:dyDescent="0.2">
      <c r="A46" s="2" t="s">
        <v>31</v>
      </c>
      <c r="B46" s="19" t="s">
        <v>50</v>
      </c>
      <c r="C46" s="19"/>
      <c r="D46" s="19"/>
      <c r="E46" s="20" t="s">
        <v>33</v>
      </c>
      <c r="F46" s="20"/>
      <c r="G46" s="21" t="s">
        <v>132</v>
      </c>
      <c r="H46" s="21"/>
      <c r="I46" s="21"/>
      <c r="J46" s="3" t="s">
        <v>35</v>
      </c>
      <c r="K46" s="4" t="s">
        <v>146</v>
      </c>
      <c r="L46" s="4" t="s">
        <v>37</v>
      </c>
      <c r="N46" s="21" t="s">
        <v>163</v>
      </c>
      <c r="O46" s="21"/>
      <c r="P46" s="21" t="s">
        <v>164</v>
      </c>
      <c r="Q46" s="21"/>
      <c r="R46" s="21"/>
      <c r="S46" s="3" t="s">
        <v>40</v>
      </c>
      <c r="T46" s="21" t="s">
        <v>41</v>
      </c>
      <c r="U46" s="21"/>
      <c r="V46" s="4" t="s">
        <v>42</v>
      </c>
      <c r="W46" s="4" t="s">
        <v>165</v>
      </c>
      <c r="X46" s="4" t="s">
        <v>166</v>
      </c>
      <c r="Y46" s="21" t="s">
        <v>138</v>
      </c>
      <c r="Z46" s="21"/>
      <c r="AA46" s="4" t="s">
        <v>46</v>
      </c>
      <c r="AB46" s="4" t="s">
        <v>47</v>
      </c>
      <c r="AC46" s="4" t="s">
        <v>139</v>
      </c>
      <c r="AD46" s="4" t="s">
        <v>140</v>
      </c>
      <c r="AE46" s="4" t="s">
        <v>48</v>
      </c>
      <c r="AF46" s="4" t="s">
        <v>41</v>
      </c>
      <c r="AG46" s="4" t="s">
        <v>141</v>
      </c>
    </row>
    <row r="47" spans="1:33" ht="16.5" customHeight="1" x14ac:dyDescent="0.2">
      <c r="A47" s="2" t="s">
        <v>31</v>
      </c>
      <c r="B47" s="19" t="s">
        <v>50</v>
      </c>
      <c r="C47" s="19"/>
      <c r="D47" s="19"/>
      <c r="E47" s="20" t="s">
        <v>33</v>
      </c>
      <c r="F47" s="20"/>
      <c r="G47" s="21" t="s">
        <v>132</v>
      </c>
      <c r="H47" s="21"/>
      <c r="I47" s="21"/>
      <c r="J47" s="3" t="s">
        <v>35</v>
      </c>
      <c r="K47" s="4" t="s">
        <v>82</v>
      </c>
      <c r="L47" s="4" t="s">
        <v>68</v>
      </c>
      <c r="N47" s="21" t="s">
        <v>167</v>
      </c>
      <c r="O47" s="21"/>
      <c r="P47" s="21" t="s">
        <v>168</v>
      </c>
      <c r="Q47" s="21"/>
      <c r="R47" s="21"/>
      <c r="S47" s="3" t="s">
        <v>40</v>
      </c>
      <c r="T47" s="21" t="s">
        <v>41</v>
      </c>
      <c r="U47" s="21"/>
      <c r="V47" s="4" t="s">
        <v>42</v>
      </c>
      <c r="W47" s="4" t="s">
        <v>54</v>
      </c>
      <c r="X47" s="4" t="s">
        <v>55</v>
      </c>
      <c r="Y47" s="21" t="s">
        <v>56</v>
      </c>
      <c r="Z47" s="21"/>
      <c r="AA47" s="4" t="s">
        <v>46</v>
      </c>
      <c r="AB47" s="4" t="s">
        <v>47</v>
      </c>
      <c r="AC47" s="4" t="s">
        <v>57</v>
      </c>
      <c r="AD47" s="4" t="s">
        <v>98</v>
      </c>
      <c r="AE47" s="4" t="s">
        <v>48</v>
      </c>
      <c r="AF47" s="4" t="s">
        <v>41</v>
      </c>
      <c r="AG47" s="4" t="s">
        <v>141</v>
      </c>
    </row>
    <row r="48" spans="1:33" ht="16.5" customHeight="1" x14ac:dyDescent="0.2">
      <c r="A48" s="2" t="s">
        <v>31</v>
      </c>
      <c r="B48" s="19" t="s">
        <v>50</v>
      </c>
      <c r="C48" s="19"/>
      <c r="D48" s="19"/>
      <c r="E48" s="20" t="s">
        <v>33</v>
      </c>
      <c r="F48" s="20"/>
      <c r="G48" s="21" t="s">
        <v>132</v>
      </c>
      <c r="H48" s="21"/>
      <c r="I48" s="21"/>
      <c r="J48" s="3" t="s">
        <v>35</v>
      </c>
      <c r="K48" s="4" t="s">
        <v>169</v>
      </c>
      <c r="L48" s="4" t="s">
        <v>37</v>
      </c>
      <c r="N48" s="21" t="s">
        <v>170</v>
      </c>
      <c r="O48" s="21"/>
      <c r="P48" s="21" t="s">
        <v>171</v>
      </c>
      <c r="Q48" s="21"/>
      <c r="R48" s="21"/>
      <c r="S48" s="3" t="s">
        <v>40</v>
      </c>
      <c r="T48" s="21" t="s">
        <v>41</v>
      </c>
      <c r="U48" s="21"/>
      <c r="V48" s="4" t="s">
        <v>59</v>
      </c>
      <c r="W48" s="4" t="s">
        <v>157</v>
      </c>
      <c r="X48" s="4" t="s">
        <v>172</v>
      </c>
      <c r="Y48" s="21" t="s">
        <v>56</v>
      </c>
      <c r="Z48" s="21"/>
      <c r="AA48" s="4" t="s">
        <v>46</v>
      </c>
      <c r="AB48" s="4" t="s">
        <v>47</v>
      </c>
      <c r="AC48" s="4" t="s">
        <v>139</v>
      </c>
      <c r="AD48" s="4" t="s">
        <v>140</v>
      </c>
      <c r="AE48" s="4" t="s">
        <v>48</v>
      </c>
      <c r="AF48" s="4" t="s">
        <v>41</v>
      </c>
      <c r="AG48" s="4" t="s">
        <v>141</v>
      </c>
    </row>
    <row r="49" spans="1:33" ht="16.5" customHeight="1" x14ac:dyDescent="0.2">
      <c r="A49" s="2" t="s">
        <v>31</v>
      </c>
      <c r="B49" s="19" t="s">
        <v>50</v>
      </c>
      <c r="C49" s="19"/>
      <c r="D49" s="19"/>
      <c r="E49" s="20" t="s">
        <v>33</v>
      </c>
      <c r="F49" s="20"/>
      <c r="G49" s="21" t="s">
        <v>132</v>
      </c>
      <c r="H49" s="21"/>
      <c r="I49" s="21"/>
      <c r="J49" s="3" t="s">
        <v>35</v>
      </c>
      <c r="K49" s="4" t="s">
        <v>152</v>
      </c>
      <c r="L49" s="4" t="s">
        <v>68</v>
      </c>
      <c r="N49" s="21" t="s">
        <v>173</v>
      </c>
      <c r="O49" s="21"/>
      <c r="P49" s="21" t="s">
        <v>174</v>
      </c>
      <c r="Q49" s="21"/>
      <c r="R49" s="21"/>
      <c r="S49" s="3" t="s">
        <v>40</v>
      </c>
      <c r="T49" s="21" t="s">
        <v>41</v>
      </c>
      <c r="U49" s="21"/>
      <c r="V49" s="4" t="s">
        <v>42</v>
      </c>
      <c r="W49" s="4" t="s">
        <v>161</v>
      </c>
      <c r="X49" s="4" t="s">
        <v>162</v>
      </c>
      <c r="Y49" s="21" t="s">
        <v>56</v>
      </c>
      <c r="Z49" s="21"/>
      <c r="AA49" s="4" t="s">
        <v>46</v>
      </c>
      <c r="AB49" s="4" t="s">
        <v>47</v>
      </c>
      <c r="AC49" s="4" t="s">
        <v>139</v>
      </c>
      <c r="AD49" s="4" t="s">
        <v>151</v>
      </c>
      <c r="AE49" s="4" t="s">
        <v>48</v>
      </c>
      <c r="AF49" s="4" t="s">
        <v>41</v>
      </c>
      <c r="AG49" s="4" t="s">
        <v>141</v>
      </c>
    </row>
    <row r="50" spans="1:33" ht="16.5" customHeight="1" x14ac:dyDescent="0.2">
      <c r="A50" s="2" t="s">
        <v>31</v>
      </c>
      <c r="B50" s="19" t="s">
        <v>50</v>
      </c>
      <c r="C50" s="19"/>
      <c r="D50" s="19"/>
      <c r="E50" s="20" t="s">
        <v>33</v>
      </c>
      <c r="F50" s="20"/>
      <c r="G50" s="21" t="s">
        <v>132</v>
      </c>
      <c r="H50" s="21"/>
      <c r="I50" s="21"/>
      <c r="J50" s="3" t="s">
        <v>35</v>
      </c>
      <c r="K50" s="4" t="s">
        <v>82</v>
      </c>
      <c r="L50" s="4" t="s">
        <v>37</v>
      </c>
      <c r="N50" s="21" t="s">
        <v>175</v>
      </c>
      <c r="O50" s="21"/>
      <c r="P50" s="21" t="s">
        <v>176</v>
      </c>
      <c r="Q50" s="21"/>
      <c r="R50" s="21"/>
      <c r="S50" s="3" t="s">
        <v>40</v>
      </c>
      <c r="T50" s="21" t="s">
        <v>41</v>
      </c>
      <c r="U50" s="21"/>
      <c r="V50" s="4" t="s">
        <v>42</v>
      </c>
      <c r="W50" s="4" t="s">
        <v>177</v>
      </c>
      <c r="X50" s="4" t="s">
        <v>178</v>
      </c>
      <c r="Y50" s="21" t="s">
        <v>56</v>
      </c>
      <c r="Z50" s="21"/>
      <c r="AA50" s="4" t="s">
        <v>46</v>
      </c>
      <c r="AB50" s="4" t="s">
        <v>47</v>
      </c>
      <c r="AC50" s="4" t="s">
        <v>139</v>
      </c>
      <c r="AD50" s="4" t="s">
        <v>140</v>
      </c>
      <c r="AE50" s="4" t="s">
        <v>48</v>
      </c>
      <c r="AF50" s="4" t="s">
        <v>41</v>
      </c>
      <c r="AG50" s="4" t="s">
        <v>141</v>
      </c>
    </row>
    <row r="51" spans="1:33" ht="16.5" customHeight="1" x14ac:dyDescent="0.2">
      <c r="A51" s="2" t="s">
        <v>31</v>
      </c>
      <c r="B51" s="19" t="s">
        <v>50</v>
      </c>
      <c r="C51" s="19"/>
      <c r="D51" s="19"/>
      <c r="E51" s="20" t="s">
        <v>33</v>
      </c>
      <c r="F51" s="20"/>
      <c r="G51" s="21" t="s">
        <v>132</v>
      </c>
      <c r="H51" s="21"/>
      <c r="I51" s="21"/>
      <c r="J51" s="3" t="s">
        <v>35</v>
      </c>
      <c r="K51" s="4" t="s">
        <v>74</v>
      </c>
      <c r="L51" s="4" t="s">
        <v>179</v>
      </c>
      <c r="N51" s="21" t="s">
        <v>180</v>
      </c>
      <c r="O51" s="21"/>
      <c r="P51" s="21" t="s">
        <v>181</v>
      </c>
      <c r="Q51" s="21"/>
      <c r="R51" s="21"/>
      <c r="S51" s="3" t="s">
        <v>40</v>
      </c>
      <c r="T51" s="21" t="s">
        <v>41</v>
      </c>
      <c r="U51" s="21"/>
      <c r="V51" s="4" t="s">
        <v>59</v>
      </c>
      <c r="W51" s="4" t="s">
        <v>182</v>
      </c>
      <c r="X51" s="4" t="s">
        <v>78</v>
      </c>
      <c r="Y51" s="21" t="s">
        <v>65</v>
      </c>
      <c r="Z51" s="21"/>
      <c r="AA51" s="4" t="s">
        <v>46</v>
      </c>
      <c r="AB51" s="4" t="s">
        <v>47</v>
      </c>
      <c r="AC51" s="4" t="s">
        <v>66</v>
      </c>
      <c r="AD51" s="4" t="s">
        <v>183</v>
      </c>
      <c r="AE51" s="4" t="s">
        <v>48</v>
      </c>
      <c r="AF51" s="4" t="s">
        <v>41</v>
      </c>
      <c r="AG51" s="4" t="s">
        <v>141</v>
      </c>
    </row>
    <row r="52" spans="1:33" ht="16.5" customHeight="1" x14ac:dyDescent="0.2">
      <c r="A52" s="2" t="s">
        <v>31</v>
      </c>
      <c r="B52" s="19" t="s">
        <v>50</v>
      </c>
      <c r="C52" s="19"/>
      <c r="D52" s="19"/>
      <c r="E52" s="20" t="s">
        <v>33</v>
      </c>
      <c r="F52" s="20"/>
      <c r="G52" s="21" t="s">
        <v>132</v>
      </c>
      <c r="H52" s="21"/>
      <c r="I52" s="21"/>
      <c r="J52" s="3" t="s">
        <v>35</v>
      </c>
      <c r="K52" s="4" t="s">
        <v>184</v>
      </c>
      <c r="L52" s="4" t="s">
        <v>68</v>
      </c>
      <c r="N52" s="21" t="s">
        <v>185</v>
      </c>
      <c r="O52" s="21"/>
      <c r="P52" s="21" t="s">
        <v>186</v>
      </c>
      <c r="Q52" s="21"/>
      <c r="R52" s="21"/>
      <c r="S52" s="3" t="s">
        <v>40</v>
      </c>
      <c r="T52" s="21" t="s">
        <v>41</v>
      </c>
      <c r="U52" s="21"/>
      <c r="V52" s="4" t="s">
        <v>42</v>
      </c>
      <c r="W52" s="4" t="s">
        <v>187</v>
      </c>
      <c r="X52" s="4" t="s">
        <v>188</v>
      </c>
      <c r="Y52" s="21" t="s">
        <v>65</v>
      </c>
      <c r="Z52" s="21"/>
      <c r="AA52" s="4" t="s">
        <v>46</v>
      </c>
      <c r="AB52" s="4" t="s">
        <v>47</v>
      </c>
      <c r="AC52" s="4" t="s">
        <v>57</v>
      </c>
      <c r="AD52" s="4" t="s">
        <v>98</v>
      </c>
      <c r="AE52" s="4" t="s">
        <v>48</v>
      </c>
      <c r="AF52" s="4" t="s">
        <v>41</v>
      </c>
      <c r="AG52" s="4" t="s">
        <v>141</v>
      </c>
    </row>
    <row r="53" spans="1:33" ht="16.5" customHeight="1" x14ac:dyDescent="0.2">
      <c r="A53" s="2" t="s">
        <v>31</v>
      </c>
      <c r="B53" s="19" t="s">
        <v>50</v>
      </c>
      <c r="C53" s="19"/>
      <c r="D53" s="19"/>
      <c r="E53" s="20" t="s">
        <v>33</v>
      </c>
      <c r="F53" s="20"/>
      <c r="G53" s="21" t="s">
        <v>132</v>
      </c>
      <c r="H53" s="21"/>
      <c r="I53" s="21"/>
      <c r="J53" s="3" t="s">
        <v>35</v>
      </c>
      <c r="K53" s="4" t="s">
        <v>74</v>
      </c>
      <c r="L53" s="4" t="s">
        <v>37</v>
      </c>
      <c r="N53" s="21" t="s">
        <v>189</v>
      </c>
      <c r="O53" s="21"/>
      <c r="P53" s="21" t="s">
        <v>190</v>
      </c>
      <c r="Q53" s="21"/>
      <c r="R53" s="21"/>
      <c r="S53" s="3" t="s">
        <v>40</v>
      </c>
      <c r="T53" s="21" t="s">
        <v>41</v>
      </c>
      <c r="U53" s="21"/>
      <c r="V53" s="4" t="s">
        <v>42</v>
      </c>
      <c r="W53" s="4" t="s">
        <v>191</v>
      </c>
      <c r="X53" s="4" t="s">
        <v>192</v>
      </c>
      <c r="Y53" s="21" t="s">
        <v>65</v>
      </c>
      <c r="Z53" s="21"/>
      <c r="AA53" s="4" t="s">
        <v>46</v>
      </c>
      <c r="AB53" s="4" t="s">
        <v>47</v>
      </c>
      <c r="AC53" s="4" t="s">
        <v>81</v>
      </c>
      <c r="AD53" s="4" t="s">
        <v>41</v>
      </c>
      <c r="AE53" s="4" t="s">
        <v>48</v>
      </c>
      <c r="AF53" s="4" t="s">
        <v>41</v>
      </c>
      <c r="AG53" s="4" t="s">
        <v>141</v>
      </c>
    </row>
    <row r="54" spans="1:33" ht="16.5" customHeight="1" x14ac:dyDescent="0.2">
      <c r="A54" s="2" t="s">
        <v>31</v>
      </c>
      <c r="B54" s="19" t="s">
        <v>50</v>
      </c>
      <c r="C54" s="19"/>
      <c r="D54" s="19"/>
      <c r="E54" s="20" t="s">
        <v>33</v>
      </c>
      <c r="F54" s="20"/>
      <c r="G54" s="21" t="s">
        <v>132</v>
      </c>
      <c r="H54" s="21"/>
      <c r="I54" s="21"/>
      <c r="J54" s="3" t="s">
        <v>35</v>
      </c>
      <c r="K54" s="4" t="s">
        <v>193</v>
      </c>
      <c r="L54" s="4" t="s">
        <v>37</v>
      </c>
      <c r="N54" s="21" t="s">
        <v>194</v>
      </c>
      <c r="O54" s="21"/>
      <c r="P54" s="21" t="s">
        <v>195</v>
      </c>
      <c r="Q54" s="21"/>
      <c r="R54" s="21"/>
      <c r="S54" s="3" t="s">
        <v>40</v>
      </c>
      <c r="T54" s="21" t="s">
        <v>41</v>
      </c>
      <c r="U54" s="21"/>
      <c r="V54" s="4" t="s">
        <v>42</v>
      </c>
      <c r="W54" s="4" t="s">
        <v>196</v>
      </c>
      <c r="X54" s="4" t="s">
        <v>197</v>
      </c>
      <c r="Y54" s="21" t="s">
        <v>198</v>
      </c>
      <c r="Z54" s="21"/>
      <c r="AA54" s="4" t="s">
        <v>46</v>
      </c>
      <c r="AB54" s="4" t="s">
        <v>47</v>
      </c>
      <c r="AC54" s="4" t="s">
        <v>81</v>
      </c>
      <c r="AD54" s="4" t="s">
        <v>41</v>
      </c>
      <c r="AE54" s="4" t="s">
        <v>48</v>
      </c>
      <c r="AF54" s="4" t="s">
        <v>41</v>
      </c>
      <c r="AG54" s="4" t="s">
        <v>141</v>
      </c>
    </row>
    <row r="55" spans="1:33" ht="16.5" customHeight="1" x14ac:dyDescent="0.2">
      <c r="A55" s="2" t="s">
        <v>31</v>
      </c>
      <c r="B55" s="19" t="s">
        <v>50</v>
      </c>
      <c r="C55" s="19"/>
      <c r="D55" s="19"/>
      <c r="E55" s="20" t="s">
        <v>33</v>
      </c>
      <c r="F55" s="20"/>
      <c r="G55" s="21" t="s">
        <v>132</v>
      </c>
      <c r="H55" s="21"/>
      <c r="I55" s="21"/>
      <c r="J55" s="3" t="s">
        <v>35</v>
      </c>
      <c r="K55" s="4" t="s">
        <v>193</v>
      </c>
      <c r="L55" s="4" t="s">
        <v>37</v>
      </c>
      <c r="N55" s="21" t="s">
        <v>194</v>
      </c>
      <c r="O55" s="21"/>
      <c r="P55" s="21" t="s">
        <v>195</v>
      </c>
      <c r="Q55" s="21"/>
      <c r="R55" s="21"/>
      <c r="S55" s="3" t="s">
        <v>40</v>
      </c>
      <c r="T55" s="21" t="s">
        <v>41</v>
      </c>
      <c r="U55" s="21"/>
      <c r="V55" s="4" t="s">
        <v>59</v>
      </c>
      <c r="W55" s="4" t="s">
        <v>196</v>
      </c>
      <c r="X55" s="4" t="s">
        <v>199</v>
      </c>
      <c r="Y55" s="21" t="s">
        <v>198</v>
      </c>
      <c r="Z55" s="21"/>
      <c r="AA55" s="4" t="s">
        <v>46</v>
      </c>
      <c r="AB55" s="4" t="s">
        <v>47</v>
      </c>
      <c r="AC55" s="4" t="s">
        <v>81</v>
      </c>
      <c r="AD55" s="4" t="s">
        <v>41</v>
      </c>
      <c r="AE55" s="4" t="s">
        <v>48</v>
      </c>
      <c r="AF55" s="4" t="s">
        <v>41</v>
      </c>
      <c r="AG55" s="4" t="s">
        <v>141</v>
      </c>
    </row>
    <row r="56" spans="1:33" ht="16.5" customHeight="1" x14ac:dyDescent="0.2">
      <c r="A56" s="2" t="s">
        <v>31</v>
      </c>
      <c r="B56" s="19" t="s">
        <v>50</v>
      </c>
      <c r="C56" s="19"/>
      <c r="D56" s="19"/>
      <c r="E56" s="20" t="s">
        <v>33</v>
      </c>
      <c r="F56" s="20"/>
      <c r="G56" s="21" t="s">
        <v>132</v>
      </c>
      <c r="H56" s="21"/>
      <c r="I56" s="21"/>
      <c r="J56" s="3" t="s">
        <v>35</v>
      </c>
      <c r="K56" s="4" t="s">
        <v>74</v>
      </c>
      <c r="L56" s="4" t="s">
        <v>37</v>
      </c>
      <c r="N56" s="21" t="s">
        <v>200</v>
      </c>
      <c r="O56" s="21"/>
      <c r="P56" s="21" t="s">
        <v>201</v>
      </c>
      <c r="Q56" s="21"/>
      <c r="R56" s="21"/>
      <c r="S56" s="3" t="s">
        <v>40</v>
      </c>
      <c r="T56" s="21" t="s">
        <v>41</v>
      </c>
      <c r="U56" s="21"/>
      <c r="V56" s="4" t="s">
        <v>42</v>
      </c>
      <c r="W56" s="4" t="s">
        <v>202</v>
      </c>
      <c r="X56" s="4" t="s">
        <v>203</v>
      </c>
      <c r="Y56" s="21" t="s">
        <v>65</v>
      </c>
      <c r="Z56" s="21"/>
      <c r="AA56" s="4" t="s">
        <v>46</v>
      </c>
      <c r="AB56" s="4" t="s">
        <v>47</v>
      </c>
      <c r="AC56" s="4" t="s">
        <v>57</v>
      </c>
      <c r="AD56" s="4" t="s">
        <v>58</v>
      </c>
      <c r="AE56" s="4" t="s">
        <v>48</v>
      </c>
      <c r="AF56" s="4" t="s">
        <v>41</v>
      </c>
      <c r="AG56" s="4" t="s">
        <v>141</v>
      </c>
    </row>
    <row r="57" spans="1:33" ht="16.5" customHeight="1" x14ac:dyDescent="0.2">
      <c r="A57" s="2" t="s">
        <v>31</v>
      </c>
      <c r="B57" s="19" t="s">
        <v>50</v>
      </c>
      <c r="C57" s="19"/>
      <c r="D57" s="19"/>
      <c r="E57" s="20" t="s">
        <v>33</v>
      </c>
      <c r="F57" s="20"/>
      <c r="G57" s="21" t="s">
        <v>132</v>
      </c>
      <c r="H57" s="21"/>
      <c r="I57" s="21"/>
      <c r="J57" s="3" t="s">
        <v>35</v>
      </c>
      <c r="K57" s="4" t="s">
        <v>204</v>
      </c>
      <c r="L57" s="4" t="s">
        <v>37</v>
      </c>
      <c r="N57" s="21" t="s">
        <v>205</v>
      </c>
      <c r="O57" s="21"/>
      <c r="P57" s="21" t="s">
        <v>206</v>
      </c>
      <c r="Q57" s="21"/>
      <c r="R57" s="21"/>
      <c r="S57" s="3" t="s">
        <v>40</v>
      </c>
      <c r="T57" s="21" t="s">
        <v>41</v>
      </c>
      <c r="U57" s="21"/>
      <c r="V57" s="4" t="s">
        <v>42</v>
      </c>
      <c r="W57" s="4" t="s">
        <v>54</v>
      </c>
      <c r="X57" s="4" t="s">
        <v>55</v>
      </c>
      <c r="Y57" s="21" t="s">
        <v>198</v>
      </c>
      <c r="Z57" s="21"/>
      <c r="AA57" s="4" t="s">
        <v>46</v>
      </c>
      <c r="AB57" s="4" t="s">
        <v>47</v>
      </c>
      <c r="AC57" s="4" t="s">
        <v>139</v>
      </c>
      <c r="AD57" s="4" t="s">
        <v>140</v>
      </c>
      <c r="AE57" s="4" t="s">
        <v>48</v>
      </c>
      <c r="AF57" s="4" t="s">
        <v>41</v>
      </c>
      <c r="AG57" s="4" t="s">
        <v>141</v>
      </c>
    </row>
    <row r="58" spans="1:33" ht="16.5" customHeight="1" x14ac:dyDescent="0.2">
      <c r="A58" s="2" t="s">
        <v>31</v>
      </c>
      <c r="B58" s="19" t="s">
        <v>50</v>
      </c>
      <c r="C58" s="19"/>
      <c r="D58" s="19"/>
      <c r="E58" s="20" t="s">
        <v>33</v>
      </c>
      <c r="F58" s="20"/>
      <c r="G58" s="21" t="s">
        <v>132</v>
      </c>
      <c r="H58" s="21"/>
      <c r="I58" s="21"/>
      <c r="J58" s="3" t="s">
        <v>35</v>
      </c>
      <c r="K58" s="4" t="s">
        <v>82</v>
      </c>
      <c r="L58" s="4" t="s">
        <v>37</v>
      </c>
      <c r="N58" s="21" t="s">
        <v>207</v>
      </c>
      <c r="O58" s="21"/>
      <c r="P58" s="21" t="s">
        <v>208</v>
      </c>
      <c r="Q58" s="21"/>
      <c r="R58" s="21"/>
      <c r="S58" s="3" t="s">
        <v>40</v>
      </c>
      <c r="T58" s="21" t="s">
        <v>41</v>
      </c>
      <c r="U58" s="21"/>
      <c r="V58" s="4" t="s">
        <v>42</v>
      </c>
      <c r="W58" s="4" t="s">
        <v>209</v>
      </c>
      <c r="X58" s="4" t="s">
        <v>210</v>
      </c>
      <c r="Y58" s="21" t="s">
        <v>56</v>
      </c>
      <c r="Z58" s="21"/>
      <c r="AA58" s="4" t="s">
        <v>46</v>
      </c>
      <c r="AB58" s="4" t="s">
        <v>47</v>
      </c>
      <c r="AC58" s="4" t="s">
        <v>139</v>
      </c>
      <c r="AD58" s="4" t="s">
        <v>140</v>
      </c>
      <c r="AE58" s="4" t="s">
        <v>48</v>
      </c>
      <c r="AF58" s="4" t="s">
        <v>41</v>
      </c>
      <c r="AG58" s="4" t="s">
        <v>141</v>
      </c>
    </row>
    <row r="59" spans="1:33" ht="16.5" customHeight="1" x14ac:dyDescent="0.2">
      <c r="A59" s="2" t="s">
        <v>31</v>
      </c>
      <c r="B59" s="19" t="s">
        <v>50</v>
      </c>
      <c r="C59" s="19"/>
      <c r="D59" s="19"/>
      <c r="E59" s="20" t="s">
        <v>33</v>
      </c>
      <c r="F59" s="20"/>
      <c r="G59" s="21" t="s">
        <v>132</v>
      </c>
      <c r="H59" s="21"/>
      <c r="I59" s="21"/>
      <c r="J59" s="3" t="s">
        <v>35</v>
      </c>
      <c r="K59" s="4" t="s">
        <v>82</v>
      </c>
      <c r="L59" s="4" t="s">
        <v>37</v>
      </c>
      <c r="N59" s="21" t="s">
        <v>211</v>
      </c>
      <c r="O59" s="21"/>
      <c r="P59" s="21" t="s">
        <v>212</v>
      </c>
      <c r="Q59" s="21"/>
      <c r="R59" s="21"/>
      <c r="S59" s="3" t="s">
        <v>40</v>
      </c>
      <c r="T59" s="21" t="s">
        <v>41</v>
      </c>
      <c r="U59" s="21"/>
      <c r="V59" s="4" t="s">
        <v>59</v>
      </c>
      <c r="W59" s="4" t="s">
        <v>213</v>
      </c>
      <c r="X59" s="4" t="s">
        <v>214</v>
      </c>
      <c r="Y59" s="21" t="s">
        <v>56</v>
      </c>
      <c r="Z59" s="21"/>
      <c r="AA59" s="4" t="s">
        <v>46</v>
      </c>
      <c r="AB59" s="4" t="s">
        <v>47</v>
      </c>
      <c r="AC59" s="4" t="s">
        <v>139</v>
      </c>
      <c r="AD59" s="4" t="s">
        <v>140</v>
      </c>
      <c r="AE59" s="4" t="s">
        <v>48</v>
      </c>
      <c r="AF59" s="4" t="s">
        <v>41</v>
      </c>
      <c r="AG59" s="4" t="s">
        <v>141</v>
      </c>
    </row>
    <row r="60" spans="1:33" ht="16.5" customHeight="1" x14ac:dyDescent="0.2">
      <c r="A60" s="2" t="s">
        <v>31</v>
      </c>
      <c r="B60" s="19" t="s">
        <v>50</v>
      </c>
      <c r="C60" s="19"/>
      <c r="D60" s="19"/>
      <c r="E60" s="20" t="s">
        <v>33</v>
      </c>
      <c r="F60" s="20"/>
      <c r="G60" s="21" t="s">
        <v>132</v>
      </c>
      <c r="H60" s="21"/>
      <c r="I60" s="21"/>
      <c r="J60" s="3" t="s">
        <v>35</v>
      </c>
      <c r="K60" s="4" t="s">
        <v>74</v>
      </c>
      <c r="L60" s="4" t="s">
        <v>37</v>
      </c>
      <c r="N60" s="21" t="s">
        <v>215</v>
      </c>
      <c r="O60" s="21"/>
      <c r="P60" s="21" t="s">
        <v>216</v>
      </c>
      <c r="Q60" s="21"/>
      <c r="R60" s="21"/>
      <c r="S60" s="3" t="s">
        <v>40</v>
      </c>
      <c r="T60" s="21" t="s">
        <v>41</v>
      </c>
      <c r="U60" s="21"/>
      <c r="V60" s="4" t="s">
        <v>42</v>
      </c>
      <c r="W60" s="4" t="s">
        <v>217</v>
      </c>
      <c r="X60" s="4" t="s">
        <v>218</v>
      </c>
      <c r="Y60" s="21" t="s">
        <v>65</v>
      </c>
      <c r="Z60" s="21"/>
      <c r="AA60" s="4" t="s">
        <v>46</v>
      </c>
      <c r="AB60" s="4" t="s">
        <v>47</v>
      </c>
      <c r="AC60" s="4" t="s">
        <v>57</v>
      </c>
      <c r="AD60" s="4" t="s">
        <v>58</v>
      </c>
      <c r="AE60" s="4" t="s">
        <v>48</v>
      </c>
      <c r="AF60" s="4" t="s">
        <v>41</v>
      </c>
      <c r="AG60" s="4" t="s">
        <v>141</v>
      </c>
    </row>
    <row r="61" spans="1:33" ht="16.5" customHeight="1" x14ac:dyDescent="0.2">
      <c r="A61" s="2" t="s">
        <v>31</v>
      </c>
      <c r="B61" s="19" t="s">
        <v>50</v>
      </c>
      <c r="C61" s="19"/>
      <c r="D61" s="19"/>
      <c r="E61" s="20" t="s">
        <v>33</v>
      </c>
      <c r="F61" s="20"/>
      <c r="G61" s="21" t="s">
        <v>132</v>
      </c>
      <c r="H61" s="21"/>
      <c r="I61" s="21"/>
      <c r="J61" s="3" t="s">
        <v>35</v>
      </c>
      <c r="K61" s="4" t="s">
        <v>82</v>
      </c>
      <c r="L61" s="4" t="s">
        <v>37</v>
      </c>
      <c r="N61" s="21" t="s">
        <v>219</v>
      </c>
      <c r="O61" s="21"/>
      <c r="P61" s="21" t="s">
        <v>220</v>
      </c>
      <c r="Q61" s="21"/>
      <c r="R61" s="21"/>
      <c r="S61" s="3" t="s">
        <v>40</v>
      </c>
      <c r="T61" s="21" t="s">
        <v>41</v>
      </c>
      <c r="U61" s="21"/>
      <c r="V61" s="4" t="s">
        <v>42</v>
      </c>
      <c r="W61" s="4" t="s">
        <v>221</v>
      </c>
      <c r="X61" s="4" t="s">
        <v>222</v>
      </c>
      <c r="Y61" s="21" t="s">
        <v>56</v>
      </c>
      <c r="Z61" s="21"/>
      <c r="AA61" s="4" t="s">
        <v>46</v>
      </c>
      <c r="AB61" s="4" t="s">
        <v>47</v>
      </c>
      <c r="AC61" s="4" t="s">
        <v>139</v>
      </c>
      <c r="AD61" s="4" t="s">
        <v>140</v>
      </c>
      <c r="AE61" s="4" t="s">
        <v>48</v>
      </c>
      <c r="AF61" s="4" t="s">
        <v>41</v>
      </c>
      <c r="AG61" s="4" t="s">
        <v>141</v>
      </c>
    </row>
    <row r="62" spans="1:33" ht="16.5" customHeight="1" x14ac:dyDescent="0.2">
      <c r="A62" s="2" t="s">
        <v>31</v>
      </c>
      <c r="B62" s="19" t="s">
        <v>50</v>
      </c>
      <c r="C62" s="19"/>
      <c r="D62" s="19"/>
      <c r="E62" s="20" t="s">
        <v>33</v>
      </c>
      <c r="F62" s="20"/>
      <c r="G62" s="21" t="s">
        <v>132</v>
      </c>
      <c r="H62" s="21"/>
      <c r="I62" s="21"/>
      <c r="J62" s="3" t="s">
        <v>35</v>
      </c>
      <c r="K62" s="4" t="s">
        <v>74</v>
      </c>
      <c r="L62" s="4" t="s">
        <v>68</v>
      </c>
      <c r="N62" s="21" t="s">
        <v>223</v>
      </c>
      <c r="O62" s="21"/>
      <c r="P62" s="21" t="s">
        <v>224</v>
      </c>
      <c r="Q62" s="21"/>
      <c r="R62" s="21"/>
      <c r="S62" s="3" t="s">
        <v>40</v>
      </c>
      <c r="T62" s="21" t="s">
        <v>41</v>
      </c>
      <c r="U62" s="21"/>
      <c r="V62" s="4" t="s">
        <v>42</v>
      </c>
      <c r="W62" s="4" t="s">
        <v>225</v>
      </c>
      <c r="X62" s="4" t="s">
        <v>226</v>
      </c>
      <c r="Y62" s="21" t="s">
        <v>65</v>
      </c>
      <c r="Z62" s="21"/>
      <c r="AA62" s="4" t="s">
        <v>46</v>
      </c>
      <c r="AB62" s="4" t="s">
        <v>47</v>
      </c>
      <c r="AC62" s="4" t="s">
        <v>57</v>
      </c>
      <c r="AD62" s="4" t="s">
        <v>98</v>
      </c>
      <c r="AE62" s="4" t="s">
        <v>48</v>
      </c>
      <c r="AF62" s="4" t="s">
        <v>41</v>
      </c>
      <c r="AG62" s="4" t="s">
        <v>141</v>
      </c>
    </row>
    <row r="63" spans="1:33" ht="16.5" customHeight="1" x14ac:dyDescent="0.2">
      <c r="A63" s="2" t="s">
        <v>31</v>
      </c>
      <c r="B63" s="19" t="s">
        <v>50</v>
      </c>
      <c r="C63" s="19"/>
      <c r="D63" s="19"/>
      <c r="E63" s="20" t="s">
        <v>33</v>
      </c>
      <c r="F63" s="20"/>
      <c r="G63" s="21" t="s">
        <v>132</v>
      </c>
      <c r="H63" s="21"/>
      <c r="I63" s="21"/>
      <c r="J63" s="3" t="s">
        <v>35</v>
      </c>
      <c r="K63" s="4" t="s">
        <v>82</v>
      </c>
      <c r="L63" s="4" t="s">
        <v>68</v>
      </c>
      <c r="N63" s="21" t="s">
        <v>227</v>
      </c>
      <c r="O63" s="21"/>
      <c r="P63" s="21" t="s">
        <v>228</v>
      </c>
      <c r="Q63" s="21"/>
      <c r="R63" s="21"/>
      <c r="S63" s="3" t="s">
        <v>40</v>
      </c>
      <c r="T63" s="21" t="s">
        <v>41</v>
      </c>
      <c r="U63" s="21"/>
      <c r="V63" s="4" t="s">
        <v>59</v>
      </c>
      <c r="W63" s="4" t="s">
        <v>229</v>
      </c>
      <c r="X63" s="4" t="s">
        <v>230</v>
      </c>
      <c r="Y63" s="21" t="s">
        <v>56</v>
      </c>
      <c r="Z63" s="21"/>
      <c r="AA63" s="4" t="s">
        <v>46</v>
      </c>
      <c r="AB63" s="4" t="s">
        <v>47</v>
      </c>
      <c r="AC63" s="4" t="s">
        <v>139</v>
      </c>
      <c r="AD63" s="4" t="s">
        <v>151</v>
      </c>
      <c r="AE63" s="4" t="s">
        <v>48</v>
      </c>
      <c r="AF63" s="4" t="s">
        <v>41</v>
      </c>
      <c r="AG63" s="4" t="s">
        <v>141</v>
      </c>
    </row>
    <row r="64" spans="1:33" ht="16.5" customHeight="1" x14ac:dyDescent="0.2">
      <c r="A64" s="2" t="s">
        <v>31</v>
      </c>
      <c r="B64" s="19" t="s">
        <v>50</v>
      </c>
      <c r="C64" s="19"/>
      <c r="D64" s="19"/>
      <c r="E64" s="20" t="s">
        <v>33</v>
      </c>
      <c r="F64" s="20"/>
      <c r="G64" s="21" t="s">
        <v>132</v>
      </c>
      <c r="H64" s="21"/>
      <c r="I64" s="21"/>
      <c r="J64" s="3" t="s">
        <v>35</v>
      </c>
      <c r="K64" s="4" t="s">
        <v>74</v>
      </c>
      <c r="L64" s="4" t="s">
        <v>231</v>
      </c>
      <c r="N64" s="21" t="s">
        <v>232</v>
      </c>
      <c r="O64" s="21"/>
      <c r="P64" s="21" t="s">
        <v>233</v>
      </c>
      <c r="Q64" s="21"/>
      <c r="R64" s="21"/>
      <c r="S64" s="3" t="s">
        <v>40</v>
      </c>
      <c r="T64" s="21" t="s">
        <v>41</v>
      </c>
      <c r="U64" s="21"/>
      <c r="V64" s="4" t="s">
        <v>42</v>
      </c>
      <c r="W64" s="4" t="s">
        <v>234</v>
      </c>
      <c r="X64" s="4" t="s">
        <v>235</v>
      </c>
      <c r="Y64" s="21" t="s">
        <v>65</v>
      </c>
      <c r="Z64" s="21"/>
      <c r="AA64" s="4" t="s">
        <v>46</v>
      </c>
      <c r="AB64" s="4" t="s">
        <v>47</v>
      </c>
      <c r="AC64" s="4" t="s">
        <v>57</v>
      </c>
      <c r="AD64" s="4" t="s">
        <v>236</v>
      </c>
      <c r="AE64" s="4" t="s">
        <v>48</v>
      </c>
      <c r="AF64" s="4" t="s">
        <v>41</v>
      </c>
      <c r="AG64" s="4" t="s">
        <v>141</v>
      </c>
    </row>
    <row r="65" spans="1:33" ht="16.5" customHeight="1" x14ac:dyDescent="0.2">
      <c r="A65" s="2" t="s">
        <v>31</v>
      </c>
      <c r="B65" s="19" t="s">
        <v>50</v>
      </c>
      <c r="C65" s="19"/>
      <c r="D65" s="19"/>
      <c r="E65" s="20" t="s">
        <v>33</v>
      </c>
      <c r="F65" s="20"/>
      <c r="G65" s="21" t="s">
        <v>132</v>
      </c>
      <c r="H65" s="21"/>
      <c r="I65" s="21"/>
      <c r="J65" s="3" t="s">
        <v>35</v>
      </c>
      <c r="K65" s="4" t="s">
        <v>152</v>
      </c>
      <c r="L65" s="4" t="s">
        <v>37</v>
      </c>
      <c r="N65" s="21" t="s">
        <v>237</v>
      </c>
      <c r="O65" s="21"/>
      <c r="P65" s="21" t="s">
        <v>238</v>
      </c>
      <c r="Q65" s="21"/>
      <c r="R65" s="21"/>
      <c r="S65" s="3" t="s">
        <v>40</v>
      </c>
      <c r="T65" s="21" t="s">
        <v>41</v>
      </c>
      <c r="U65" s="21"/>
      <c r="V65" s="4" t="s">
        <v>42</v>
      </c>
      <c r="W65" s="4" t="s">
        <v>239</v>
      </c>
      <c r="X65" s="4" t="s">
        <v>240</v>
      </c>
      <c r="Y65" s="21" t="s">
        <v>56</v>
      </c>
      <c r="Z65" s="21"/>
      <c r="AA65" s="4" t="s">
        <v>46</v>
      </c>
      <c r="AB65" s="4" t="s">
        <v>47</v>
      </c>
      <c r="AC65" s="4" t="s">
        <v>139</v>
      </c>
      <c r="AD65" s="4" t="s">
        <v>140</v>
      </c>
      <c r="AE65" s="4" t="s">
        <v>48</v>
      </c>
      <c r="AF65" s="4" t="s">
        <v>41</v>
      </c>
      <c r="AG65" s="4" t="s">
        <v>141</v>
      </c>
    </row>
    <row r="66" spans="1:33" ht="16.5" customHeight="1" x14ac:dyDescent="0.2">
      <c r="A66" s="2" t="s">
        <v>31</v>
      </c>
      <c r="B66" s="19" t="s">
        <v>110</v>
      </c>
      <c r="C66" s="19"/>
      <c r="D66" s="19"/>
      <c r="E66" s="20" t="s">
        <v>33</v>
      </c>
      <c r="F66" s="20"/>
      <c r="G66" s="21" t="s">
        <v>132</v>
      </c>
      <c r="H66" s="21"/>
      <c r="I66" s="21"/>
      <c r="J66" s="3" t="s">
        <v>111</v>
      </c>
      <c r="K66" s="4" t="s">
        <v>241</v>
      </c>
      <c r="N66" s="21" t="s">
        <v>237</v>
      </c>
      <c r="O66" s="21"/>
      <c r="P66" s="21" t="s">
        <v>238</v>
      </c>
      <c r="Q66" s="21"/>
      <c r="R66" s="21"/>
      <c r="S66" s="3" t="s">
        <v>40</v>
      </c>
      <c r="T66" s="21" t="s">
        <v>242</v>
      </c>
      <c r="U66" s="21"/>
      <c r="V66" s="4" t="s">
        <v>42</v>
      </c>
      <c r="W66" s="4" t="s">
        <v>54</v>
      </c>
      <c r="X66" s="4" t="s">
        <v>240</v>
      </c>
      <c r="Y66" s="21" t="s">
        <v>116</v>
      </c>
      <c r="Z66" s="21"/>
      <c r="AA66" s="4" t="s">
        <v>46</v>
      </c>
      <c r="AB66" s="4" t="s">
        <v>117</v>
      </c>
      <c r="AC66" s="4" t="s">
        <v>243</v>
      </c>
      <c r="AD66" s="4" t="s">
        <v>244</v>
      </c>
      <c r="AE66" s="4" t="s">
        <v>48</v>
      </c>
      <c r="AF66" s="4" t="s">
        <v>41</v>
      </c>
      <c r="AG66" s="4" t="s">
        <v>141</v>
      </c>
    </row>
    <row r="67" spans="1:33" ht="16.5" customHeight="1" x14ac:dyDescent="0.2">
      <c r="A67" s="2" t="s">
        <v>31</v>
      </c>
      <c r="B67" s="19" t="s">
        <v>50</v>
      </c>
      <c r="C67" s="19"/>
      <c r="D67" s="19"/>
      <c r="E67" s="20" t="s">
        <v>33</v>
      </c>
      <c r="F67" s="20"/>
      <c r="G67" s="21" t="s">
        <v>132</v>
      </c>
      <c r="H67" s="21"/>
      <c r="I67" s="21"/>
      <c r="J67" s="3" t="s">
        <v>35</v>
      </c>
      <c r="K67" s="4" t="s">
        <v>169</v>
      </c>
      <c r="L67" s="4" t="s">
        <v>68</v>
      </c>
      <c r="N67" s="21" t="s">
        <v>245</v>
      </c>
      <c r="O67" s="21"/>
      <c r="P67" s="21" t="s">
        <v>246</v>
      </c>
      <c r="Q67" s="21"/>
      <c r="R67" s="21"/>
      <c r="S67" s="3" t="s">
        <v>40</v>
      </c>
      <c r="T67" s="21" t="s">
        <v>41</v>
      </c>
      <c r="U67" s="21"/>
      <c r="V67" s="4" t="s">
        <v>42</v>
      </c>
      <c r="W67" s="4" t="s">
        <v>43</v>
      </c>
      <c r="X67" s="4" t="s">
        <v>44</v>
      </c>
      <c r="Y67" s="21" t="s">
        <v>56</v>
      </c>
      <c r="Z67" s="21"/>
      <c r="AA67" s="4" t="s">
        <v>46</v>
      </c>
      <c r="AB67" s="4" t="s">
        <v>47</v>
      </c>
      <c r="AC67" s="4" t="s">
        <v>139</v>
      </c>
      <c r="AD67" s="4" t="s">
        <v>151</v>
      </c>
      <c r="AE67" s="4" t="s">
        <v>48</v>
      </c>
      <c r="AF67" s="4" t="s">
        <v>41</v>
      </c>
      <c r="AG67" s="4" t="s">
        <v>141</v>
      </c>
    </row>
    <row r="68" spans="1:33" ht="16.5" customHeight="1" x14ac:dyDescent="0.2">
      <c r="A68" s="2" t="s">
        <v>31</v>
      </c>
      <c r="B68" s="19" t="s">
        <v>50</v>
      </c>
      <c r="C68" s="19"/>
      <c r="D68" s="19"/>
      <c r="E68" s="20" t="s">
        <v>33</v>
      </c>
      <c r="F68" s="20"/>
      <c r="G68" s="21" t="s">
        <v>132</v>
      </c>
      <c r="H68" s="21"/>
      <c r="I68" s="21"/>
      <c r="J68" s="3" t="s">
        <v>35</v>
      </c>
      <c r="K68" s="4" t="s">
        <v>247</v>
      </c>
      <c r="L68" s="4" t="s">
        <v>37</v>
      </c>
      <c r="N68" s="21" t="s">
        <v>248</v>
      </c>
      <c r="O68" s="21"/>
      <c r="P68" s="21" t="s">
        <v>249</v>
      </c>
      <c r="Q68" s="21"/>
      <c r="R68" s="21"/>
      <c r="S68" s="3" t="s">
        <v>40</v>
      </c>
      <c r="T68" s="21" t="s">
        <v>41</v>
      </c>
      <c r="U68" s="21"/>
      <c r="V68" s="4" t="s">
        <v>42</v>
      </c>
      <c r="W68" s="4" t="s">
        <v>157</v>
      </c>
      <c r="X68" s="4" t="s">
        <v>158</v>
      </c>
      <c r="Y68" s="21" t="s">
        <v>65</v>
      </c>
      <c r="Z68" s="21"/>
      <c r="AA68" s="4" t="s">
        <v>46</v>
      </c>
      <c r="AB68" s="4" t="s">
        <v>47</v>
      </c>
      <c r="AC68" s="4" t="s">
        <v>57</v>
      </c>
      <c r="AD68" s="4" t="s">
        <v>58</v>
      </c>
      <c r="AE68" s="4" t="s">
        <v>48</v>
      </c>
      <c r="AF68" s="4" t="s">
        <v>41</v>
      </c>
      <c r="AG68" s="4" t="s">
        <v>141</v>
      </c>
    </row>
    <row r="69" spans="1:33" ht="16.5" customHeight="1" x14ac:dyDescent="0.2">
      <c r="A69" s="2" t="s">
        <v>31</v>
      </c>
      <c r="B69" s="19" t="s">
        <v>50</v>
      </c>
      <c r="C69" s="19"/>
      <c r="D69" s="19"/>
      <c r="E69" s="20" t="s">
        <v>33</v>
      </c>
      <c r="F69" s="20"/>
      <c r="G69" s="21" t="s">
        <v>132</v>
      </c>
      <c r="H69" s="21"/>
      <c r="I69" s="21"/>
      <c r="J69" s="3" t="s">
        <v>35</v>
      </c>
      <c r="K69" s="4" t="s">
        <v>133</v>
      </c>
      <c r="L69" s="4" t="s">
        <v>37</v>
      </c>
      <c r="N69" s="21" t="s">
        <v>250</v>
      </c>
      <c r="O69" s="21"/>
      <c r="P69" s="21" t="s">
        <v>251</v>
      </c>
      <c r="Q69" s="21"/>
      <c r="R69" s="21"/>
      <c r="S69" s="3" t="s">
        <v>40</v>
      </c>
      <c r="T69" s="21" t="s">
        <v>41</v>
      </c>
      <c r="U69" s="21"/>
      <c r="V69" s="4" t="s">
        <v>42</v>
      </c>
      <c r="W69" s="4" t="s">
        <v>157</v>
      </c>
      <c r="X69" s="4" t="s">
        <v>158</v>
      </c>
      <c r="Y69" s="21" t="s">
        <v>138</v>
      </c>
      <c r="Z69" s="21"/>
      <c r="AA69" s="4" t="s">
        <v>46</v>
      </c>
      <c r="AB69" s="4" t="s">
        <v>47</v>
      </c>
      <c r="AC69" s="4" t="s">
        <v>139</v>
      </c>
      <c r="AD69" s="4" t="s">
        <v>140</v>
      </c>
      <c r="AE69" s="4" t="s">
        <v>48</v>
      </c>
      <c r="AF69" s="4" t="s">
        <v>41</v>
      </c>
      <c r="AG69" s="4" t="s">
        <v>141</v>
      </c>
    </row>
    <row r="70" spans="1:33" ht="16.5" customHeight="1" x14ac:dyDescent="0.2">
      <c r="A70" s="2" t="s">
        <v>31</v>
      </c>
      <c r="B70" s="19" t="s">
        <v>50</v>
      </c>
      <c r="C70" s="19"/>
      <c r="D70" s="19"/>
      <c r="E70" s="20" t="s">
        <v>33</v>
      </c>
      <c r="F70" s="20"/>
      <c r="G70" s="21" t="s">
        <v>132</v>
      </c>
      <c r="H70" s="21"/>
      <c r="I70" s="21"/>
      <c r="J70" s="3" t="s">
        <v>35</v>
      </c>
      <c r="K70" s="4" t="s">
        <v>152</v>
      </c>
      <c r="L70" s="4" t="s">
        <v>68</v>
      </c>
      <c r="N70" s="21" t="s">
        <v>252</v>
      </c>
      <c r="O70" s="21"/>
      <c r="P70" s="21" t="s">
        <v>253</v>
      </c>
      <c r="Q70" s="21"/>
      <c r="R70" s="21"/>
      <c r="S70" s="3" t="s">
        <v>40</v>
      </c>
      <c r="T70" s="21" t="s">
        <v>41</v>
      </c>
      <c r="U70" s="21"/>
      <c r="V70" s="4" t="s">
        <v>42</v>
      </c>
      <c r="W70" s="4" t="s">
        <v>157</v>
      </c>
      <c r="X70" s="4" t="s">
        <v>158</v>
      </c>
      <c r="Y70" s="21" t="s">
        <v>56</v>
      </c>
      <c r="Z70" s="21"/>
      <c r="AA70" s="4" t="s">
        <v>46</v>
      </c>
      <c r="AB70" s="4" t="s">
        <v>47</v>
      </c>
      <c r="AC70" s="4" t="s">
        <v>139</v>
      </c>
      <c r="AD70" s="4" t="s">
        <v>151</v>
      </c>
      <c r="AE70" s="4" t="s">
        <v>48</v>
      </c>
      <c r="AF70" s="4" t="s">
        <v>41</v>
      </c>
      <c r="AG70" s="4" t="s">
        <v>141</v>
      </c>
    </row>
    <row r="71" spans="1:33" ht="16.5" customHeight="1" x14ac:dyDescent="0.2">
      <c r="A71" s="2" t="s">
        <v>31</v>
      </c>
      <c r="B71" s="19" t="s">
        <v>50</v>
      </c>
      <c r="C71" s="19"/>
      <c r="D71" s="19"/>
      <c r="E71" s="20" t="s">
        <v>33</v>
      </c>
      <c r="F71" s="20"/>
      <c r="G71" s="21" t="s">
        <v>132</v>
      </c>
      <c r="H71" s="21"/>
      <c r="I71" s="21"/>
      <c r="J71" s="3" t="s">
        <v>35</v>
      </c>
      <c r="K71" s="4" t="s">
        <v>193</v>
      </c>
      <c r="L71" s="4" t="s">
        <v>37</v>
      </c>
      <c r="N71" s="21" t="s">
        <v>254</v>
      </c>
      <c r="O71" s="21"/>
      <c r="P71" s="21" t="s">
        <v>255</v>
      </c>
      <c r="Q71" s="21"/>
      <c r="R71" s="21"/>
      <c r="S71" s="3" t="s">
        <v>40</v>
      </c>
      <c r="T71" s="21" t="s">
        <v>41</v>
      </c>
      <c r="U71" s="21"/>
      <c r="V71" s="4" t="s">
        <v>42</v>
      </c>
      <c r="W71" s="4" t="s">
        <v>256</v>
      </c>
      <c r="X71" s="4" t="s">
        <v>172</v>
      </c>
      <c r="Y71" s="21" t="s">
        <v>198</v>
      </c>
      <c r="Z71" s="21"/>
      <c r="AA71" s="4" t="s">
        <v>46</v>
      </c>
      <c r="AB71" s="4" t="s">
        <v>47</v>
      </c>
      <c r="AC71" s="4" t="s">
        <v>257</v>
      </c>
      <c r="AD71" s="4" t="s">
        <v>258</v>
      </c>
      <c r="AE71" s="4" t="s">
        <v>48</v>
      </c>
      <c r="AF71" s="4" t="s">
        <v>41</v>
      </c>
      <c r="AG71" s="4" t="s">
        <v>141</v>
      </c>
    </row>
    <row r="72" spans="1:33" ht="16.5" customHeight="1" x14ac:dyDescent="0.2">
      <c r="A72" s="2" t="s">
        <v>31</v>
      </c>
      <c r="B72" s="19" t="s">
        <v>50</v>
      </c>
      <c r="C72" s="19"/>
      <c r="D72" s="19"/>
      <c r="E72" s="20" t="s">
        <v>33</v>
      </c>
      <c r="F72" s="20"/>
      <c r="G72" s="21" t="s">
        <v>132</v>
      </c>
      <c r="H72" s="21"/>
      <c r="I72" s="21"/>
      <c r="J72" s="3" t="s">
        <v>35</v>
      </c>
      <c r="K72" s="4" t="s">
        <v>146</v>
      </c>
      <c r="L72" s="4" t="s">
        <v>68</v>
      </c>
      <c r="N72" s="21" t="s">
        <v>259</v>
      </c>
      <c r="O72" s="21"/>
      <c r="P72" s="21" t="s">
        <v>260</v>
      </c>
      <c r="Q72" s="21"/>
      <c r="R72" s="21"/>
      <c r="S72" s="3" t="s">
        <v>40</v>
      </c>
      <c r="T72" s="21" t="s">
        <v>41</v>
      </c>
      <c r="U72" s="21"/>
      <c r="V72" s="4" t="s">
        <v>42</v>
      </c>
      <c r="W72" s="4" t="s">
        <v>261</v>
      </c>
      <c r="X72" s="4" t="s">
        <v>262</v>
      </c>
      <c r="Y72" s="21" t="s">
        <v>138</v>
      </c>
      <c r="Z72" s="21"/>
      <c r="AA72" s="4" t="s">
        <v>46</v>
      </c>
      <c r="AB72" s="4" t="s">
        <v>47</v>
      </c>
      <c r="AC72" s="4" t="s">
        <v>139</v>
      </c>
      <c r="AD72" s="4" t="s">
        <v>151</v>
      </c>
      <c r="AE72" s="4" t="s">
        <v>48</v>
      </c>
      <c r="AF72" s="4" t="s">
        <v>41</v>
      </c>
      <c r="AG72" s="4" t="s">
        <v>141</v>
      </c>
    </row>
    <row r="73" spans="1:33" ht="16.5" customHeight="1" x14ac:dyDescent="0.2">
      <c r="A73" s="2" t="s">
        <v>31</v>
      </c>
      <c r="B73" s="19" t="s">
        <v>50</v>
      </c>
      <c r="C73" s="19"/>
      <c r="D73" s="19"/>
      <c r="E73" s="20" t="s">
        <v>33</v>
      </c>
      <c r="F73" s="20"/>
      <c r="G73" s="21" t="s">
        <v>132</v>
      </c>
      <c r="H73" s="21"/>
      <c r="I73" s="21"/>
      <c r="J73" s="3" t="s">
        <v>35</v>
      </c>
      <c r="K73" s="4" t="s">
        <v>74</v>
      </c>
      <c r="L73" s="4" t="s">
        <v>37</v>
      </c>
      <c r="N73" s="21" t="s">
        <v>263</v>
      </c>
      <c r="O73" s="21"/>
      <c r="P73" s="21" t="s">
        <v>264</v>
      </c>
      <c r="Q73" s="21"/>
      <c r="R73" s="21"/>
      <c r="S73" s="3" t="s">
        <v>40</v>
      </c>
      <c r="T73" s="21" t="s">
        <v>41</v>
      </c>
      <c r="U73" s="21"/>
      <c r="V73" s="4" t="s">
        <v>42</v>
      </c>
      <c r="W73" s="4" t="s">
        <v>209</v>
      </c>
      <c r="X73" s="4" t="s">
        <v>210</v>
      </c>
      <c r="Y73" s="21" t="s">
        <v>65</v>
      </c>
      <c r="Z73" s="21"/>
      <c r="AA73" s="4" t="s">
        <v>46</v>
      </c>
      <c r="AB73" s="4" t="s">
        <v>47</v>
      </c>
      <c r="AC73" s="4" t="s">
        <v>57</v>
      </c>
      <c r="AD73" s="4" t="s">
        <v>58</v>
      </c>
      <c r="AE73" s="4" t="s">
        <v>48</v>
      </c>
      <c r="AF73" s="4" t="s">
        <v>41</v>
      </c>
      <c r="AG73" s="4" t="s">
        <v>141</v>
      </c>
    </row>
    <row r="74" spans="1:33" ht="16.5" customHeight="1" x14ac:dyDescent="0.2">
      <c r="A74" s="2" t="s">
        <v>31</v>
      </c>
      <c r="B74" s="19" t="s">
        <v>50</v>
      </c>
      <c r="C74" s="19"/>
      <c r="D74" s="19"/>
      <c r="E74" s="20" t="s">
        <v>33</v>
      </c>
      <c r="F74" s="20"/>
      <c r="G74" s="21" t="s">
        <v>132</v>
      </c>
      <c r="H74" s="21"/>
      <c r="I74" s="21"/>
      <c r="J74" s="3" t="s">
        <v>35</v>
      </c>
      <c r="K74" s="4" t="s">
        <v>265</v>
      </c>
      <c r="L74" s="4" t="s">
        <v>37</v>
      </c>
      <c r="N74" s="21" t="s">
        <v>266</v>
      </c>
      <c r="O74" s="21"/>
      <c r="P74" s="21" t="s">
        <v>267</v>
      </c>
      <c r="Q74" s="21"/>
      <c r="R74" s="21"/>
      <c r="S74" s="3" t="s">
        <v>40</v>
      </c>
      <c r="T74" s="21" t="s">
        <v>41</v>
      </c>
      <c r="U74" s="21"/>
      <c r="V74" s="4" t="s">
        <v>42</v>
      </c>
      <c r="W74" s="4" t="s">
        <v>268</v>
      </c>
      <c r="X74" s="4" t="s">
        <v>269</v>
      </c>
      <c r="Y74" s="21" t="s">
        <v>56</v>
      </c>
      <c r="Z74" s="21"/>
      <c r="AA74" s="4" t="s">
        <v>46</v>
      </c>
      <c r="AB74" s="4" t="s">
        <v>47</v>
      </c>
      <c r="AC74" s="4" t="s">
        <v>139</v>
      </c>
      <c r="AD74" s="4" t="s">
        <v>140</v>
      </c>
      <c r="AE74" s="4" t="s">
        <v>48</v>
      </c>
      <c r="AF74" s="4" t="s">
        <v>41</v>
      </c>
      <c r="AG74" s="4" t="s">
        <v>141</v>
      </c>
    </row>
    <row r="75" spans="1:33" ht="16.5" customHeight="1" x14ac:dyDescent="0.2">
      <c r="A75" s="2" t="s">
        <v>31</v>
      </c>
      <c r="B75" s="19" t="s">
        <v>50</v>
      </c>
      <c r="C75" s="19"/>
      <c r="D75" s="19"/>
      <c r="E75" s="20" t="s">
        <v>33</v>
      </c>
      <c r="F75" s="20"/>
      <c r="G75" s="21" t="s">
        <v>132</v>
      </c>
      <c r="H75" s="21"/>
      <c r="I75" s="21"/>
      <c r="J75" s="3" t="s">
        <v>35</v>
      </c>
      <c r="K75" s="4" t="s">
        <v>99</v>
      </c>
      <c r="L75" s="4" t="s">
        <v>37</v>
      </c>
      <c r="N75" s="21" t="s">
        <v>270</v>
      </c>
      <c r="O75" s="21"/>
      <c r="P75" s="21" t="s">
        <v>271</v>
      </c>
      <c r="Q75" s="21"/>
      <c r="R75" s="21"/>
      <c r="S75" s="3" t="s">
        <v>40</v>
      </c>
      <c r="T75" s="21" t="s">
        <v>41</v>
      </c>
      <c r="U75" s="21"/>
      <c r="V75" s="4" t="s">
        <v>42</v>
      </c>
      <c r="W75" s="4" t="s">
        <v>272</v>
      </c>
      <c r="X75" s="4" t="s">
        <v>273</v>
      </c>
      <c r="Y75" s="21" t="s">
        <v>56</v>
      </c>
      <c r="Z75" s="21"/>
      <c r="AA75" s="4" t="s">
        <v>46</v>
      </c>
      <c r="AB75" s="4" t="s">
        <v>47</v>
      </c>
      <c r="AC75" s="4" t="s">
        <v>139</v>
      </c>
      <c r="AD75" s="4" t="s">
        <v>140</v>
      </c>
      <c r="AE75" s="4" t="s">
        <v>48</v>
      </c>
      <c r="AF75" s="4" t="s">
        <v>41</v>
      </c>
      <c r="AG75" s="4" t="s">
        <v>141</v>
      </c>
    </row>
    <row r="76" spans="1:33" ht="16.5" customHeight="1" x14ac:dyDescent="0.2">
      <c r="A76" s="2" t="s">
        <v>31</v>
      </c>
      <c r="B76" s="19" t="s">
        <v>50</v>
      </c>
      <c r="C76" s="19"/>
      <c r="D76" s="19"/>
      <c r="E76" s="20" t="s">
        <v>33</v>
      </c>
      <c r="F76" s="20"/>
      <c r="G76" s="21" t="s">
        <v>132</v>
      </c>
      <c r="H76" s="21"/>
      <c r="I76" s="21"/>
      <c r="J76" s="3" t="s">
        <v>35</v>
      </c>
      <c r="K76" s="4" t="s">
        <v>247</v>
      </c>
      <c r="L76" s="4" t="s">
        <v>37</v>
      </c>
      <c r="N76" s="21" t="s">
        <v>274</v>
      </c>
      <c r="O76" s="21"/>
      <c r="P76" s="21" t="s">
        <v>275</v>
      </c>
      <c r="Q76" s="21"/>
      <c r="R76" s="21"/>
      <c r="S76" s="3" t="s">
        <v>40</v>
      </c>
      <c r="T76" s="21" t="s">
        <v>41</v>
      </c>
      <c r="U76" s="21"/>
      <c r="V76" s="4" t="s">
        <v>42</v>
      </c>
      <c r="W76" s="4" t="s">
        <v>276</v>
      </c>
      <c r="X76" s="4" t="s">
        <v>277</v>
      </c>
      <c r="Y76" s="21" t="s">
        <v>65</v>
      </c>
      <c r="Z76" s="21"/>
      <c r="AA76" s="4" t="s">
        <v>46</v>
      </c>
      <c r="AB76" s="4" t="s">
        <v>47</v>
      </c>
      <c r="AC76" s="4" t="s">
        <v>57</v>
      </c>
      <c r="AD76" s="4" t="s">
        <v>58</v>
      </c>
      <c r="AE76" s="4" t="s">
        <v>48</v>
      </c>
      <c r="AF76" s="4" t="s">
        <v>41</v>
      </c>
      <c r="AG76" s="4" t="s">
        <v>141</v>
      </c>
    </row>
    <row r="77" spans="1:33" ht="16.5" customHeight="1" x14ac:dyDescent="0.2">
      <c r="A77" s="2" t="s">
        <v>31</v>
      </c>
      <c r="B77" s="19" t="s">
        <v>50</v>
      </c>
      <c r="C77" s="19"/>
      <c r="D77" s="19"/>
      <c r="E77" s="20" t="s">
        <v>33</v>
      </c>
      <c r="F77" s="20"/>
      <c r="G77" s="21" t="s">
        <v>132</v>
      </c>
      <c r="H77" s="21"/>
      <c r="I77" s="21"/>
      <c r="J77" s="3" t="s">
        <v>35</v>
      </c>
      <c r="K77" s="4" t="s">
        <v>74</v>
      </c>
      <c r="L77" s="4" t="s">
        <v>278</v>
      </c>
      <c r="N77" s="21" t="s">
        <v>279</v>
      </c>
      <c r="O77" s="21"/>
      <c r="P77" s="21" t="s">
        <v>280</v>
      </c>
      <c r="Q77" s="21"/>
      <c r="R77" s="21"/>
      <c r="S77" s="3" t="s">
        <v>40</v>
      </c>
      <c r="T77" s="21" t="s">
        <v>41</v>
      </c>
      <c r="U77" s="21"/>
      <c r="V77" s="4" t="s">
        <v>42</v>
      </c>
      <c r="W77" s="4" t="s">
        <v>281</v>
      </c>
      <c r="X77" s="4" t="s">
        <v>282</v>
      </c>
      <c r="Y77" s="21" t="s">
        <v>65</v>
      </c>
      <c r="Z77" s="21"/>
      <c r="AA77" s="4" t="s">
        <v>46</v>
      </c>
      <c r="AB77" s="4" t="s">
        <v>47</v>
      </c>
      <c r="AC77" s="4" t="s">
        <v>57</v>
      </c>
      <c r="AD77" s="4" t="s">
        <v>283</v>
      </c>
      <c r="AE77" s="4" t="s">
        <v>48</v>
      </c>
      <c r="AF77" s="4" t="s">
        <v>41</v>
      </c>
      <c r="AG77" s="4" t="s">
        <v>141</v>
      </c>
    </row>
    <row r="78" spans="1:33" ht="16.5" customHeight="1" x14ac:dyDescent="0.2">
      <c r="A78" s="2" t="s">
        <v>31</v>
      </c>
      <c r="B78" s="19" t="s">
        <v>50</v>
      </c>
      <c r="C78" s="19"/>
      <c r="D78" s="19"/>
      <c r="E78" s="20" t="s">
        <v>33</v>
      </c>
      <c r="F78" s="20"/>
      <c r="G78" s="21" t="s">
        <v>132</v>
      </c>
      <c r="H78" s="21"/>
      <c r="I78" s="21"/>
      <c r="J78" s="3" t="s">
        <v>35</v>
      </c>
      <c r="K78" s="4" t="s">
        <v>82</v>
      </c>
      <c r="L78" s="4" t="s">
        <v>68</v>
      </c>
      <c r="N78" s="21" t="s">
        <v>284</v>
      </c>
      <c r="O78" s="21"/>
      <c r="P78" s="21" t="s">
        <v>285</v>
      </c>
      <c r="Q78" s="21"/>
      <c r="R78" s="21"/>
      <c r="S78" s="3" t="s">
        <v>40</v>
      </c>
      <c r="T78" s="21" t="s">
        <v>41</v>
      </c>
      <c r="U78" s="21"/>
      <c r="V78" s="4" t="s">
        <v>42</v>
      </c>
      <c r="W78" s="4" t="s">
        <v>286</v>
      </c>
      <c r="X78" s="4" t="s">
        <v>287</v>
      </c>
      <c r="Y78" s="21" t="s">
        <v>56</v>
      </c>
      <c r="Z78" s="21"/>
      <c r="AA78" s="4" t="s">
        <v>46</v>
      </c>
      <c r="AB78" s="4" t="s">
        <v>47</v>
      </c>
      <c r="AC78" s="4" t="s">
        <v>139</v>
      </c>
      <c r="AD78" s="4" t="s">
        <v>151</v>
      </c>
      <c r="AE78" s="4" t="s">
        <v>48</v>
      </c>
      <c r="AF78" s="4" t="s">
        <v>41</v>
      </c>
      <c r="AG78" s="4" t="s">
        <v>141</v>
      </c>
    </row>
    <row r="79" spans="1:33" ht="16.5" customHeight="1" x14ac:dyDescent="0.2">
      <c r="A79" s="2" t="s">
        <v>31</v>
      </c>
      <c r="B79" s="19" t="s">
        <v>50</v>
      </c>
      <c r="C79" s="19"/>
      <c r="D79" s="19"/>
      <c r="E79" s="20" t="s">
        <v>33</v>
      </c>
      <c r="F79" s="20"/>
      <c r="G79" s="21" t="s">
        <v>132</v>
      </c>
      <c r="H79" s="21"/>
      <c r="I79" s="21"/>
      <c r="J79" s="3" t="s">
        <v>35</v>
      </c>
      <c r="K79" s="4" t="s">
        <v>82</v>
      </c>
      <c r="L79" s="4" t="s">
        <v>68</v>
      </c>
      <c r="N79" s="21" t="s">
        <v>288</v>
      </c>
      <c r="O79" s="21"/>
      <c r="P79" s="21" t="s">
        <v>289</v>
      </c>
      <c r="Q79" s="21"/>
      <c r="R79" s="21"/>
      <c r="S79" s="3" t="s">
        <v>40</v>
      </c>
      <c r="T79" s="21" t="s">
        <v>41</v>
      </c>
      <c r="U79" s="21"/>
      <c r="V79" s="4" t="s">
        <v>42</v>
      </c>
      <c r="W79" s="4" t="s">
        <v>290</v>
      </c>
      <c r="X79" s="4" t="s">
        <v>291</v>
      </c>
      <c r="Y79" s="21" t="s">
        <v>56</v>
      </c>
      <c r="Z79" s="21"/>
      <c r="AA79" s="4" t="s">
        <v>46</v>
      </c>
      <c r="AB79" s="4" t="s">
        <v>47</v>
      </c>
      <c r="AC79" s="4" t="s">
        <v>139</v>
      </c>
      <c r="AD79" s="4" t="s">
        <v>151</v>
      </c>
      <c r="AE79" s="4" t="s">
        <v>48</v>
      </c>
      <c r="AF79" s="4" t="s">
        <v>41</v>
      </c>
      <c r="AG79" s="4" t="s">
        <v>141</v>
      </c>
    </row>
    <row r="80" spans="1:33" ht="16.5" customHeight="1" x14ac:dyDescent="0.2">
      <c r="A80" s="2" t="s">
        <v>31</v>
      </c>
      <c r="B80" s="19" t="s">
        <v>50</v>
      </c>
      <c r="C80" s="19"/>
      <c r="D80" s="19"/>
      <c r="E80" s="20" t="s">
        <v>33</v>
      </c>
      <c r="F80" s="20"/>
      <c r="G80" s="21" t="s">
        <v>132</v>
      </c>
      <c r="H80" s="21"/>
      <c r="I80" s="21"/>
      <c r="J80" s="3" t="s">
        <v>35</v>
      </c>
      <c r="K80" s="4" t="s">
        <v>146</v>
      </c>
      <c r="L80" s="4" t="s">
        <v>37</v>
      </c>
      <c r="N80" s="21" t="s">
        <v>292</v>
      </c>
      <c r="O80" s="21"/>
      <c r="P80" s="21" t="s">
        <v>293</v>
      </c>
      <c r="Q80" s="21"/>
      <c r="R80" s="21"/>
      <c r="S80" s="3" t="s">
        <v>40</v>
      </c>
      <c r="T80" s="21" t="s">
        <v>41</v>
      </c>
      <c r="U80" s="21"/>
      <c r="V80" s="4" t="s">
        <v>42</v>
      </c>
      <c r="W80" s="4" t="s">
        <v>182</v>
      </c>
      <c r="X80" s="4" t="s">
        <v>294</v>
      </c>
      <c r="Y80" s="21" t="s">
        <v>138</v>
      </c>
      <c r="Z80" s="21"/>
      <c r="AA80" s="4" t="s">
        <v>46</v>
      </c>
      <c r="AB80" s="4" t="s">
        <v>47</v>
      </c>
      <c r="AC80" s="4" t="s">
        <v>81</v>
      </c>
      <c r="AD80" s="4" t="s">
        <v>41</v>
      </c>
      <c r="AE80" s="4" t="s">
        <v>48</v>
      </c>
      <c r="AF80" s="4" t="s">
        <v>41</v>
      </c>
      <c r="AG80" s="4" t="s">
        <v>141</v>
      </c>
    </row>
    <row r="81" spans="1:33" ht="16.5" customHeight="1" x14ac:dyDescent="0.2">
      <c r="A81" s="2" t="s">
        <v>31</v>
      </c>
      <c r="B81" s="19" t="s">
        <v>50</v>
      </c>
      <c r="C81" s="19"/>
      <c r="D81" s="19"/>
      <c r="E81" s="20" t="s">
        <v>33</v>
      </c>
      <c r="F81" s="20"/>
      <c r="G81" s="21" t="s">
        <v>132</v>
      </c>
      <c r="H81" s="21"/>
      <c r="I81" s="21"/>
      <c r="J81" s="3" t="s">
        <v>35</v>
      </c>
      <c r="K81" s="4" t="s">
        <v>146</v>
      </c>
      <c r="L81" s="4" t="s">
        <v>37</v>
      </c>
      <c r="N81" s="21" t="s">
        <v>295</v>
      </c>
      <c r="O81" s="21"/>
      <c r="P81" s="21" t="s">
        <v>296</v>
      </c>
      <c r="Q81" s="21"/>
      <c r="R81" s="21"/>
      <c r="S81" s="3" t="s">
        <v>40</v>
      </c>
      <c r="T81" s="21" t="s">
        <v>41</v>
      </c>
      <c r="U81" s="21"/>
      <c r="V81" s="4" t="s">
        <v>42</v>
      </c>
      <c r="W81" s="4" t="s">
        <v>202</v>
      </c>
      <c r="X81" s="4" t="s">
        <v>203</v>
      </c>
      <c r="Y81" s="21" t="s">
        <v>138</v>
      </c>
      <c r="Z81" s="21"/>
      <c r="AA81" s="4" t="s">
        <v>46</v>
      </c>
      <c r="AB81" s="4" t="s">
        <v>47</v>
      </c>
      <c r="AC81" s="4" t="s">
        <v>139</v>
      </c>
      <c r="AD81" s="4" t="s">
        <v>140</v>
      </c>
      <c r="AE81" s="4" t="s">
        <v>48</v>
      </c>
      <c r="AF81" s="4" t="s">
        <v>41</v>
      </c>
      <c r="AG81" s="4" t="s">
        <v>141</v>
      </c>
    </row>
    <row r="82" spans="1:33" ht="16.5" customHeight="1" x14ac:dyDescent="0.2">
      <c r="A82" s="2" t="s">
        <v>31</v>
      </c>
      <c r="B82" s="19" t="s">
        <v>50</v>
      </c>
      <c r="C82" s="19"/>
      <c r="D82" s="19"/>
      <c r="E82" s="20" t="s">
        <v>33</v>
      </c>
      <c r="F82" s="20"/>
      <c r="G82" s="21" t="s">
        <v>132</v>
      </c>
      <c r="H82" s="21"/>
      <c r="I82" s="21"/>
      <c r="J82" s="3" t="s">
        <v>35</v>
      </c>
      <c r="K82" s="4" t="s">
        <v>74</v>
      </c>
      <c r="L82" s="4" t="s">
        <v>37</v>
      </c>
      <c r="N82" s="21" t="s">
        <v>297</v>
      </c>
      <c r="O82" s="21"/>
      <c r="P82" s="21" t="s">
        <v>298</v>
      </c>
      <c r="Q82" s="21"/>
      <c r="R82" s="21"/>
      <c r="S82" s="3" t="s">
        <v>40</v>
      </c>
      <c r="T82" s="21" t="s">
        <v>41</v>
      </c>
      <c r="U82" s="21"/>
      <c r="V82" s="4" t="s">
        <v>130</v>
      </c>
      <c r="W82" s="4" t="s">
        <v>299</v>
      </c>
      <c r="X82" s="4" t="s">
        <v>78</v>
      </c>
      <c r="Y82" s="21" t="s">
        <v>65</v>
      </c>
      <c r="Z82" s="21"/>
      <c r="AA82" s="4" t="s">
        <v>46</v>
      </c>
      <c r="AB82" s="4" t="s">
        <v>47</v>
      </c>
      <c r="AC82" s="4" t="s">
        <v>66</v>
      </c>
      <c r="AD82" s="4" t="s">
        <v>73</v>
      </c>
      <c r="AE82" s="4" t="s">
        <v>48</v>
      </c>
      <c r="AF82" s="4" t="s">
        <v>41</v>
      </c>
      <c r="AG82" s="4" t="s">
        <v>141</v>
      </c>
    </row>
    <row r="83" spans="1:33" ht="16.5" customHeight="1" x14ac:dyDescent="0.2">
      <c r="A83" s="2" t="s">
        <v>31</v>
      </c>
      <c r="B83" s="19" t="s">
        <v>50</v>
      </c>
      <c r="C83" s="19"/>
      <c r="D83" s="19"/>
      <c r="E83" s="20" t="s">
        <v>33</v>
      </c>
      <c r="F83" s="20"/>
      <c r="G83" s="21" t="s">
        <v>132</v>
      </c>
      <c r="H83" s="21"/>
      <c r="I83" s="21"/>
      <c r="J83" s="3" t="s">
        <v>35</v>
      </c>
      <c r="K83" s="4" t="s">
        <v>204</v>
      </c>
      <c r="L83" s="4" t="s">
        <v>37</v>
      </c>
      <c r="N83" s="21" t="s">
        <v>297</v>
      </c>
      <c r="O83" s="21"/>
      <c r="P83" s="21" t="s">
        <v>298</v>
      </c>
      <c r="Q83" s="21"/>
      <c r="R83" s="21"/>
      <c r="S83" s="3" t="s">
        <v>40</v>
      </c>
      <c r="T83" s="21" t="s">
        <v>41</v>
      </c>
      <c r="U83" s="21"/>
      <c r="V83" s="4" t="s">
        <v>42</v>
      </c>
      <c r="W83" s="4" t="s">
        <v>299</v>
      </c>
      <c r="X83" s="4" t="s">
        <v>300</v>
      </c>
      <c r="Y83" s="21" t="s">
        <v>198</v>
      </c>
      <c r="Z83" s="21"/>
      <c r="AA83" s="4" t="s">
        <v>46</v>
      </c>
      <c r="AB83" s="4" t="s">
        <v>47</v>
      </c>
      <c r="AC83" s="4" t="s">
        <v>139</v>
      </c>
      <c r="AD83" s="4" t="s">
        <v>140</v>
      </c>
      <c r="AE83" s="4" t="s">
        <v>48</v>
      </c>
      <c r="AF83" s="4" t="s">
        <v>41</v>
      </c>
      <c r="AG83" s="4" t="s">
        <v>141</v>
      </c>
    </row>
    <row r="84" spans="1:33" ht="16.5" customHeight="1" x14ac:dyDescent="0.2">
      <c r="A84" s="2" t="s">
        <v>31</v>
      </c>
      <c r="B84" s="19" t="s">
        <v>50</v>
      </c>
      <c r="C84" s="19"/>
      <c r="D84" s="19"/>
      <c r="E84" s="20" t="s">
        <v>33</v>
      </c>
      <c r="F84" s="20"/>
      <c r="G84" s="21" t="s">
        <v>132</v>
      </c>
      <c r="H84" s="21"/>
      <c r="I84" s="21"/>
      <c r="J84" s="3" t="s">
        <v>35</v>
      </c>
      <c r="K84" s="4" t="s">
        <v>82</v>
      </c>
      <c r="L84" s="4" t="s">
        <v>68</v>
      </c>
      <c r="N84" s="21" t="s">
        <v>301</v>
      </c>
      <c r="O84" s="21"/>
      <c r="P84" s="21" t="s">
        <v>302</v>
      </c>
      <c r="Q84" s="21"/>
      <c r="R84" s="21"/>
      <c r="S84" s="3" t="s">
        <v>40</v>
      </c>
      <c r="T84" s="21" t="s">
        <v>41</v>
      </c>
      <c r="U84" s="21"/>
      <c r="V84" s="4" t="s">
        <v>59</v>
      </c>
      <c r="W84" s="4" t="s">
        <v>303</v>
      </c>
      <c r="X84" s="4" t="s">
        <v>304</v>
      </c>
      <c r="Y84" s="21" t="s">
        <v>56</v>
      </c>
      <c r="Z84" s="21"/>
      <c r="AA84" s="4" t="s">
        <v>46</v>
      </c>
      <c r="AB84" s="4" t="s">
        <v>47</v>
      </c>
      <c r="AC84" s="4" t="s">
        <v>139</v>
      </c>
      <c r="AD84" s="4" t="s">
        <v>151</v>
      </c>
      <c r="AE84" s="4" t="s">
        <v>48</v>
      </c>
      <c r="AF84" s="4" t="s">
        <v>41</v>
      </c>
      <c r="AG84" s="4" t="s">
        <v>141</v>
      </c>
    </row>
    <row r="85" spans="1:33" ht="16.5" customHeight="1" x14ac:dyDescent="0.2">
      <c r="A85" s="2" t="s">
        <v>31</v>
      </c>
      <c r="B85" s="19" t="s">
        <v>50</v>
      </c>
      <c r="C85" s="19"/>
      <c r="D85" s="19"/>
      <c r="E85" s="20" t="s">
        <v>33</v>
      </c>
      <c r="F85" s="20"/>
      <c r="G85" s="21" t="s">
        <v>132</v>
      </c>
      <c r="H85" s="21"/>
      <c r="I85" s="21"/>
      <c r="J85" s="3" t="s">
        <v>35</v>
      </c>
      <c r="K85" s="4" t="s">
        <v>74</v>
      </c>
      <c r="L85" s="4" t="s">
        <v>68</v>
      </c>
      <c r="N85" s="21" t="s">
        <v>305</v>
      </c>
      <c r="O85" s="21"/>
      <c r="P85" s="21" t="s">
        <v>306</v>
      </c>
      <c r="Q85" s="21"/>
      <c r="R85" s="21"/>
      <c r="S85" s="3" t="s">
        <v>40</v>
      </c>
      <c r="T85" s="21" t="s">
        <v>41</v>
      </c>
      <c r="U85" s="21"/>
      <c r="V85" s="4" t="s">
        <v>42</v>
      </c>
      <c r="W85" s="4" t="s">
        <v>307</v>
      </c>
      <c r="X85" s="4" t="s">
        <v>304</v>
      </c>
      <c r="Y85" s="21" t="s">
        <v>65</v>
      </c>
      <c r="Z85" s="21"/>
      <c r="AA85" s="4" t="s">
        <v>46</v>
      </c>
      <c r="AB85" s="4" t="s">
        <v>47</v>
      </c>
      <c r="AC85" s="4" t="s">
        <v>57</v>
      </c>
      <c r="AD85" s="4" t="s">
        <v>98</v>
      </c>
      <c r="AE85" s="4" t="s">
        <v>48</v>
      </c>
      <c r="AF85" s="4" t="s">
        <v>41</v>
      </c>
      <c r="AG85" s="4" t="s">
        <v>141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19" t="s">
        <v>50</v>
      </c>
      <c r="C88" s="19"/>
      <c r="D88" s="19"/>
      <c r="E88" s="20" t="s">
        <v>33</v>
      </c>
      <c r="F88" s="20"/>
      <c r="G88" s="21" t="s">
        <v>132</v>
      </c>
      <c r="H88" s="21"/>
      <c r="I88" s="21"/>
      <c r="J88" s="3" t="s">
        <v>35</v>
      </c>
      <c r="K88" s="4" t="s">
        <v>247</v>
      </c>
      <c r="L88" s="4" t="s">
        <v>37</v>
      </c>
      <c r="N88" s="21" t="s">
        <v>308</v>
      </c>
      <c r="O88" s="21"/>
      <c r="P88" s="21" t="s">
        <v>309</v>
      </c>
      <c r="Q88" s="21"/>
      <c r="R88" s="21"/>
      <c r="S88" s="3" t="s">
        <v>40</v>
      </c>
      <c r="T88" s="21" t="s">
        <v>41</v>
      </c>
      <c r="U88" s="21"/>
      <c r="V88" s="4" t="s">
        <v>42</v>
      </c>
      <c r="W88" s="4" t="s">
        <v>310</v>
      </c>
      <c r="X88" s="4" t="s">
        <v>311</v>
      </c>
      <c r="Y88" s="21" t="s">
        <v>65</v>
      </c>
      <c r="Z88" s="21"/>
      <c r="AA88" s="4" t="s">
        <v>46</v>
      </c>
      <c r="AB88" s="4" t="s">
        <v>47</v>
      </c>
      <c r="AC88" s="4" t="s">
        <v>66</v>
      </c>
      <c r="AD88" s="4" t="s">
        <v>73</v>
      </c>
      <c r="AE88" s="4" t="s">
        <v>48</v>
      </c>
      <c r="AF88" s="4" t="s">
        <v>41</v>
      </c>
      <c r="AG88" s="4" t="s">
        <v>141</v>
      </c>
    </row>
    <row r="89" spans="1:33" ht="16.5" customHeight="1" x14ac:dyDescent="0.2">
      <c r="A89" s="2" t="s">
        <v>31</v>
      </c>
      <c r="B89" s="19" t="s">
        <v>50</v>
      </c>
      <c r="C89" s="19"/>
      <c r="D89" s="19"/>
      <c r="E89" s="20" t="s">
        <v>33</v>
      </c>
      <c r="F89" s="20"/>
      <c r="G89" s="21" t="s">
        <v>132</v>
      </c>
      <c r="H89" s="21"/>
      <c r="I89" s="21"/>
      <c r="J89" s="3" t="s">
        <v>35</v>
      </c>
      <c r="K89" s="4" t="s">
        <v>82</v>
      </c>
      <c r="L89" s="4" t="s">
        <v>37</v>
      </c>
      <c r="N89" s="21" t="s">
        <v>312</v>
      </c>
      <c r="O89" s="21"/>
      <c r="P89" s="21" t="s">
        <v>313</v>
      </c>
      <c r="Q89" s="21"/>
      <c r="R89" s="21"/>
      <c r="S89" s="3" t="s">
        <v>40</v>
      </c>
      <c r="T89" s="21" t="s">
        <v>41</v>
      </c>
      <c r="U89" s="21"/>
      <c r="V89" s="4" t="s">
        <v>42</v>
      </c>
      <c r="W89" s="4" t="s">
        <v>43</v>
      </c>
      <c r="X89" s="4" t="s">
        <v>44</v>
      </c>
      <c r="Y89" s="21" t="s">
        <v>56</v>
      </c>
      <c r="Z89" s="21"/>
      <c r="AA89" s="4" t="s">
        <v>46</v>
      </c>
      <c r="AB89" s="4" t="s">
        <v>47</v>
      </c>
      <c r="AC89" s="4" t="s">
        <v>139</v>
      </c>
      <c r="AD89" s="4" t="s">
        <v>140</v>
      </c>
      <c r="AE89" s="4" t="s">
        <v>48</v>
      </c>
      <c r="AF89" s="4" t="s">
        <v>41</v>
      </c>
      <c r="AG89" s="4" t="s">
        <v>141</v>
      </c>
    </row>
    <row r="90" spans="1:33" ht="16.5" customHeight="1" x14ac:dyDescent="0.2">
      <c r="A90" s="2" t="s">
        <v>31</v>
      </c>
      <c r="B90" s="19" t="s">
        <v>50</v>
      </c>
      <c r="C90" s="19"/>
      <c r="D90" s="19"/>
      <c r="E90" s="20" t="s">
        <v>33</v>
      </c>
      <c r="F90" s="20"/>
      <c r="G90" s="21" t="s">
        <v>132</v>
      </c>
      <c r="H90" s="21"/>
      <c r="I90" s="21"/>
      <c r="J90" s="3" t="s">
        <v>35</v>
      </c>
      <c r="K90" s="4" t="s">
        <v>314</v>
      </c>
      <c r="L90" s="4" t="s">
        <v>37</v>
      </c>
      <c r="N90" s="21" t="s">
        <v>315</v>
      </c>
      <c r="O90" s="21"/>
      <c r="P90" s="21" t="s">
        <v>316</v>
      </c>
      <c r="Q90" s="21"/>
      <c r="R90" s="21"/>
      <c r="S90" s="3" t="s">
        <v>40</v>
      </c>
      <c r="T90" s="21" t="s">
        <v>41</v>
      </c>
      <c r="U90" s="21"/>
      <c r="V90" s="4" t="s">
        <v>42</v>
      </c>
      <c r="W90" s="4" t="s">
        <v>43</v>
      </c>
      <c r="X90" s="4" t="s">
        <v>44</v>
      </c>
      <c r="Y90" s="21" t="s">
        <v>65</v>
      </c>
      <c r="Z90" s="21"/>
      <c r="AA90" s="4" t="s">
        <v>46</v>
      </c>
      <c r="AB90" s="4" t="s">
        <v>47</v>
      </c>
      <c r="AC90" s="4" t="s">
        <v>57</v>
      </c>
      <c r="AD90" s="4" t="s">
        <v>58</v>
      </c>
      <c r="AE90" s="4" t="s">
        <v>48</v>
      </c>
      <c r="AF90" s="4" t="s">
        <v>41</v>
      </c>
      <c r="AG90" s="4" t="s">
        <v>141</v>
      </c>
    </row>
    <row r="91" spans="1:33" ht="16.5" customHeight="1" x14ac:dyDescent="0.2">
      <c r="A91" s="2" t="s">
        <v>31</v>
      </c>
      <c r="B91" s="19" t="s">
        <v>50</v>
      </c>
      <c r="C91" s="19"/>
      <c r="D91" s="19"/>
      <c r="E91" s="20" t="s">
        <v>33</v>
      </c>
      <c r="F91" s="20"/>
      <c r="G91" s="21" t="s">
        <v>132</v>
      </c>
      <c r="H91" s="21"/>
      <c r="I91" s="21"/>
      <c r="J91" s="3" t="s">
        <v>35</v>
      </c>
      <c r="K91" s="4" t="s">
        <v>265</v>
      </c>
      <c r="L91" s="4" t="s">
        <v>37</v>
      </c>
      <c r="N91" s="21" t="s">
        <v>317</v>
      </c>
      <c r="O91" s="21"/>
      <c r="P91" s="21" t="s">
        <v>318</v>
      </c>
      <c r="Q91" s="21"/>
      <c r="R91" s="21"/>
      <c r="S91" s="3" t="s">
        <v>40</v>
      </c>
      <c r="T91" s="21" t="s">
        <v>41</v>
      </c>
      <c r="U91" s="21"/>
      <c r="V91" s="4" t="s">
        <v>59</v>
      </c>
      <c r="W91" s="4" t="s">
        <v>43</v>
      </c>
      <c r="X91" s="4" t="s">
        <v>319</v>
      </c>
      <c r="Y91" s="21" t="s">
        <v>56</v>
      </c>
      <c r="Z91" s="21"/>
      <c r="AA91" s="4" t="s">
        <v>46</v>
      </c>
      <c r="AB91" s="4" t="s">
        <v>47</v>
      </c>
      <c r="AC91" s="4" t="s">
        <v>139</v>
      </c>
      <c r="AD91" s="4" t="s">
        <v>140</v>
      </c>
      <c r="AE91" s="4" t="s">
        <v>48</v>
      </c>
      <c r="AF91" s="4" t="s">
        <v>41</v>
      </c>
      <c r="AG91" s="4" t="s">
        <v>141</v>
      </c>
    </row>
    <row r="92" spans="1:33" ht="16.5" customHeight="1" x14ac:dyDescent="0.2">
      <c r="A92" s="2" t="s">
        <v>31</v>
      </c>
      <c r="B92" s="19" t="s">
        <v>50</v>
      </c>
      <c r="C92" s="19"/>
      <c r="D92" s="19"/>
      <c r="E92" s="20" t="s">
        <v>33</v>
      </c>
      <c r="F92" s="20"/>
      <c r="G92" s="21" t="s">
        <v>132</v>
      </c>
      <c r="H92" s="21"/>
      <c r="I92" s="21"/>
      <c r="J92" s="3" t="s">
        <v>35</v>
      </c>
      <c r="K92" s="4" t="s">
        <v>265</v>
      </c>
      <c r="L92" s="4" t="s">
        <v>37</v>
      </c>
      <c r="N92" s="21" t="s">
        <v>317</v>
      </c>
      <c r="O92" s="21"/>
      <c r="P92" s="21" t="s">
        <v>318</v>
      </c>
      <c r="Q92" s="21"/>
      <c r="R92" s="21"/>
      <c r="S92" s="3" t="s">
        <v>40</v>
      </c>
      <c r="T92" s="21" t="s">
        <v>41</v>
      </c>
      <c r="U92" s="21"/>
      <c r="V92" s="4" t="s">
        <v>130</v>
      </c>
      <c r="W92" s="4" t="s">
        <v>43</v>
      </c>
      <c r="X92" s="4" t="s">
        <v>320</v>
      </c>
      <c r="Y92" s="21" t="s">
        <v>56</v>
      </c>
      <c r="Z92" s="21"/>
      <c r="AA92" s="4" t="s">
        <v>46</v>
      </c>
      <c r="AB92" s="4" t="s">
        <v>47</v>
      </c>
      <c r="AC92" s="4" t="s">
        <v>139</v>
      </c>
      <c r="AD92" s="4" t="s">
        <v>140</v>
      </c>
      <c r="AE92" s="4" t="s">
        <v>48</v>
      </c>
      <c r="AF92" s="4" t="s">
        <v>41</v>
      </c>
      <c r="AG92" s="4" t="s">
        <v>141</v>
      </c>
    </row>
    <row r="93" spans="1:33" ht="16.5" customHeight="1" x14ac:dyDescent="0.2">
      <c r="A93" s="2" t="s">
        <v>31</v>
      </c>
      <c r="B93" s="19" t="s">
        <v>50</v>
      </c>
      <c r="C93" s="19"/>
      <c r="D93" s="19"/>
      <c r="E93" s="20" t="s">
        <v>33</v>
      </c>
      <c r="F93" s="20"/>
      <c r="G93" s="21" t="s">
        <v>132</v>
      </c>
      <c r="H93" s="21"/>
      <c r="I93" s="21"/>
      <c r="J93" s="3" t="s">
        <v>35</v>
      </c>
      <c r="K93" s="4" t="s">
        <v>74</v>
      </c>
      <c r="L93" s="4" t="s">
        <v>37</v>
      </c>
      <c r="N93" s="21" t="s">
        <v>321</v>
      </c>
      <c r="O93" s="21"/>
      <c r="P93" s="21" t="s">
        <v>322</v>
      </c>
      <c r="Q93" s="21"/>
      <c r="R93" s="21"/>
      <c r="S93" s="3" t="s">
        <v>40</v>
      </c>
      <c r="T93" s="21" t="s">
        <v>41</v>
      </c>
      <c r="U93" s="21"/>
      <c r="V93" s="4" t="s">
        <v>42</v>
      </c>
      <c r="W93" s="4" t="s">
        <v>43</v>
      </c>
      <c r="X93" s="4" t="s">
        <v>44</v>
      </c>
      <c r="Y93" s="21" t="s">
        <v>65</v>
      </c>
      <c r="Z93" s="21"/>
      <c r="AA93" s="4" t="s">
        <v>46</v>
      </c>
      <c r="AB93" s="4" t="s">
        <v>47</v>
      </c>
      <c r="AC93" s="4" t="s">
        <v>57</v>
      </c>
      <c r="AD93" s="4" t="s">
        <v>58</v>
      </c>
      <c r="AE93" s="4" t="s">
        <v>48</v>
      </c>
      <c r="AF93" s="4" t="s">
        <v>41</v>
      </c>
      <c r="AG93" s="4" t="s">
        <v>141</v>
      </c>
    </row>
    <row r="94" spans="1:33" ht="16.5" customHeight="1" x14ac:dyDescent="0.2">
      <c r="A94" s="2" t="s">
        <v>31</v>
      </c>
      <c r="B94" s="19" t="s">
        <v>50</v>
      </c>
      <c r="C94" s="19"/>
      <c r="D94" s="19"/>
      <c r="E94" s="20" t="s">
        <v>33</v>
      </c>
      <c r="F94" s="20"/>
      <c r="G94" s="21" t="s">
        <v>132</v>
      </c>
      <c r="H94" s="21"/>
      <c r="I94" s="21"/>
      <c r="J94" s="3" t="s">
        <v>35</v>
      </c>
      <c r="K94" s="4" t="s">
        <v>99</v>
      </c>
      <c r="L94" s="4" t="s">
        <v>278</v>
      </c>
      <c r="N94" s="21" t="s">
        <v>323</v>
      </c>
      <c r="O94" s="21"/>
      <c r="P94" s="21" t="s">
        <v>324</v>
      </c>
      <c r="Q94" s="21"/>
      <c r="R94" s="21"/>
      <c r="S94" s="3" t="s">
        <v>40</v>
      </c>
      <c r="T94" s="21" t="s">
        <v>41</v>
      </c>
      <c r="U94" s="21"/>
      <c r="V94" s="4" t="s">
        <v>42</v>
      </c>
      <c r="W94" s="4" t="s">
        <v>325</v>
      </c>
      <c r="X94" s="4" t="s">
        <v>319</v>
      </c>
      <c r="Y94" s="21" t="s">
        <v>56</v>
      </c>
      <c r="Z94" s="21"/>
      <c r="AA94" s="4" t="s">
        <v>46</v>
      </c>
      <c r="AB94" s="4" t="s">
        <v>47</v>
      </c>
      <c r="AC94" s="4" t="s">
        <v>139</v>
      </c>
      <c r="AD94" s="4" t="s">
        <v>69</v>
      </c>
      <c r="AE94" s="4" t="s">
        <v>48</v>
      </c>
      <c r="AF94" s="4" t="s">
        <v>41</v>
      </c>
      <c r="AG94" s="4" t="s">
        <v>141</v>
      </c>
    </row>
    <row r="95" spans="1:33" ht="16.5" customHeight="1" x14ac:dyDescent="0.2">
      <c r="A95" s="2" t="s">
        <v>31</v>
      </c>
      <c r="B95" s="19" t="s">
        <v>50</v>
      </c>
      <c r="C95" s="19"/>
      <c r="D95" s="19"/>
      <c r="E95" s="20" t="s">
        <v>33</v>
      </c>
      <c r="F95" s="20"/>
      <c r="G95" s="21" t="s">
        <v>132</v>
      </c>
      <c r="H95" s="21"/>
      <c r="I95" s="21"/>
      <c r="J95" s="3" t="s">
        <v>35</v>
      </c>
      <c r="K95" s="4" t="s">
        <v>82</v>
      </c>
      <c r="L95" s="4" t="s">
        <v>68</v>
      </c>
      <c r="N95" s="21" t="s">
        <v>326</v>
      </c>
      <c r="O95" s="21"/>
      <c r="P95" s="21" t="s">
        <v>327</v>
      </c>
      <c r="Q95" s="21"/>
      <c r="R95" s="21"/>
      <c r="S95" s="3" t="s">
        <v>40</v>
      </c>
      <c r="T95" s="21" t="s">
        <v>41</v>
      </c>
      <c r="U95" s="21"/>
      <c r="V95" s="4" t="s">
        <v>42</v>
      </c>
      <c r="W95" s="4" t="s">
        <v>325</v>
      </c>
      <c r="X95" s="4" t="s">
        <v>319</v>
      </c>
      <c r="Y95" s="21" t="s">
        <v>56</v>
      </c>
      <c r="Z95" s="21"/>
      <c r="AA95" s="4" t="s">
        <v>46</v>
      </c>
      <c r="AB95" s="4" t="s">
        <v>47</v>
      </c>
      <c r="AC95" s="4" t="s">
        <v>139</v>
      </c>
      <c r="AD95" s="4" t="s">
        <v>151</v>
      </c>
      <c r="AE95" s="4" t="s">
        <v>48</v>
      </c>
      <c r="AF95" s="4" t="s">
        <v>41</v>
      </c>
      <c r="AG95" s="4" t="s">
        <v>141</v>
      </c>
    </row>
    <row r="96" spans="1:33" ht="16.5" customHeight="1" x14ac:dyDescent="0.2">
      <c r="A96" s="2" t="s">
        <v>31</v>
      </c>
      <c r="B96" s="19" t="s">
        <v>50</v>
      </c>
      <c r="C96" s="19"/>
      <c r="D96" s="19"/>
      <c r="E96" s="20" t="s">
        <v>33</v>
      </c>
      <c r="F96" s="20"/>
      <c r="G96" s="21" t="s">
        <v>132</v>
      </c>
      <c r="H96" s="21"/>
      <c r="I96" s="21"/>
      <c r="J96" s="3" t="s">
        <v>35</v>
      </c>
      <c r="K96" s="4" t="s">
        <v>82</v>
      </c>
      <c r="L96" s="4" t="s">
        <v>37</v>
      </c>
      <c r="N96" s="21" t="s">
        <v>328</v>
      </c>
      <c r="O96" s="21"/>
      <c r="P96" s="21" t="s">
        <v>329</v>
      </c>
      <c r="Q96" s="21"/>
      <c r="R96" s="21"/>
      <c r="S96" s="3" t="s">
        <v>40</v>
      </c>
      <c r="T96" s="21" t="s">
        <v>41</v>
      </c>
      <c r="U96" s="21"/>
      <c r="V96" s="4" t="s">
        <v>42</v>
      </c>
      <c r="W96" s="4" t="s">
        <v>330</v>
      </c>
      <c r="X96" s="4" t="s">
        <v>320</v>
      </c>
      <c r="Y96" s="21" t="s">
        <v>56</v>
      </c>
      <c r="Z96" s="21"/>
      <c r="AA96" s="4" t="s">
        <v>46</v>
      </c>
      <c r="AB96" s="4" t="s">
        <v>47</v>
      </c>
      <c r="AC96" s="4" t="s">
        <v>139</v>
      </c>
      <c r="AD96" s="4" t="s">
        <v>140</v>
      </c>
      <c r="AE96" s="4" t="s">
        <v>48</v>
      </c>
      <c r="AF96" s="4" t="s">
        <v>41</v>
      </c>
      <c r="AG96" s="4" t="s">
        <v>141</v>
      </c>
    </row>
    <row r="97" spans="1:33" ht="16.5" customHeight="1" x14ac:dyDescent="0.2">
      <c r="A97" s="2" t="s">
        <v>31</v>
      </c>
      <c r="B97" s="19" t="s">
        <v>50</v>
      </c>
      <c r="C97" s="19"/>
      <c r="D97" s="19"/>
      <c r="E97" s="20" t="s">
        <v>33</v>
      </c>
      <c r="F97" s="20"/>
      <c r="G97" s="21" t="s">
        <v>132</v>
      </c>
      <c r="H97" s="21"/>
      <c r="I97" s="21"/>
      <c r="J97" s="3" t="s">
        <v>35</v>
      </c>
      <c r="K97" s="4" t="s">
        <v>99</v>
      </c>
      <c r="L97" s="4" t="s">
        <v>37</v>
      </c>
      <c r="N97" s="21" t="s">
        <v>331</v>
      </c>
      <c r="O97" s="21"/>
      <c r="P97" s="21" t="s">
        <v>332</v>
      </c>
      <c r="Q97" s="21"/>
      <c r="R97" s="21"/>
      <c r="S97" s="3" t="s">
        <v>40</v>
      </c>
      <c r="T97" s="21" t="s">
        <v>41</v>
      </c>
      <c r="U97" s="21"/>
      <c r="V97" s="4" t="s">
        <v>42</v>
      </c>
      <c r="W97" s="4" t="s">
        <v>333</v>
      </c>
      <c r="X97" s="4" t="s">
        <v>334</v>
      </c>
      <c r="Y97" s="21" t="s">
        <v>56</v>
      </c>
      <c r="Z97" s="21"/>
      <c r="AA97" s="4" t="s">
        <v>46</v>
      </c>
      <c r="AB97" s="4" t="s">
        <v>47</v>
      </c>
      <c r="AC97" s="4" t="s">
        <v>139</v>
      </c>
      <c r="AD97" s="4" t="s">
        <v>140</v>
      </c>
      <c r="AE97" s="4" t="s">
        <v>48</v>
      </c>
      <c r="AF97" s="4" t="s">
        <v>41</v>
      </c>
      <c r="AG97" s="4" t="s">
        <v>141</v>
      </c>
    </row>
    <row r="98" spans="1:33" ht="16.5" customHeight="1" x14ac:dyDescent="0.2">
      <c r="A98" s="2" t="s">
        <v>31</v>
      </c>
      <c r="B98" s="19" t="s">
        <v>50</v>
      </c>
      <c r="C98" s="19"/>
      <c r="D98" s="19"/>
      <c r="E98" s="20" t="s">
        <v>33</v>
      </c>
      <c r="F98" s="20"/>
      <c r="G98" s="21" t="s">
        <v>132</v>
      </c>
      <c r="H98" s="21"/>
      <c r="I98" s="21"/>
      <c r="J98" s="3" t="s">
        <v>35</v>
      </c>
      <c r="K98" s="4" t="s">
        <v>82</v>
      </c>
      <c r="L98" s="4" t="s">
        <v>37</v>
      </c>
      <c r="N98" s="21" t="s">
        <v>335</v>
      </c>
      <c r="O98" s="21"/>
      <c r="P98" s="21" t="s">
        <v>336</v>
      </c>
      <c r="Q98" s="21"/>
      <c r="R98" s="21"/>
      <c r="S98" s="3" t="s">
        <v>40</v>
      </c>
      <c r="T98" s="21" t="s">
        <v>41</v>
      </c>
      <c r="U98" s="21"/>
      <c r="V98" s="4" t="s">
        <v>42</v>
      </c>
      <c r="W98" s="4" t="s">
        <v>149</v>
      </c>
      <c r="X98" s="4" t="s">
        <v>150</v>
      </c>
      <c r="Y98" s="21" t="s">
        <v>56</v>
      </c>
      <c r="Z98" s="21"/>
      <c r="AA98" s="4" t="s">
        <v>46</v>
      </c>
      <c r="AB98" s="4" t="s">
        <v>47</v>
      </c>
      <c r="AC98" s="4" t="s">
        <v>139</v>
      </c>
      <c r="AD98" s="4" t="s">
        <v>140</v>
      </c>
      <c r="AE98" s="4" t="s">
        <v>48</v>
      </c>
      <c r="AF98" s="4" t="s">
        <v>41</v>
      </c>
      <c r="AG98" s="4" t="s">
        <v>141</v>
      </c>
    </row>
    <row r="99" spans="1:33" ht="16.5" customHeight="1" x14ac:dyDescent="0.2">
      <c r="A99" s="2" t="s">
        <v>31</v>
      </c>
      <c r="B99" s="19" t="s">
        <v>50</v>
      </c>
      <c r="C99" s="19"/>
      <c r="D99" s="19"/>
      <c r="E99" s="20" t="s">
        <v>33</v>
      </c>
      <c r="F99" s="20"/>
      <c r="G99" s="21" t="s">
        <v>132</v>
      </c>
      <c r="H99" s="21"/>
      <c r="I99" s="21"/>
      <c r="J99" s="3" t="s">
        <v>35</v>
      </c>
      <c r="K99" s="4" t="s">
        <v>82</v>
      </c>
      <c r="L99" s="4" t="s">
        <v>37</v>
      </c>
      <c r="N99" s="21" t="s">
        <v>337</v>
      </c>
      <c r="O99" s="21"/>
      <c r="P99" s="21" t="s">
        <v>338</v>
      </c>
      <c r="Q99" s="21"/>
      <c r="R99" s="21"/>
      <c r="S99" s="3" t="s">
        <v>40</v>
      </c>
      <c r="T99" s="21" t="s">
        <v>41</v>
      </c>
      <c r="U99" s="21"/>
      <c r="V99" s="4" t="s">
        <v>42</v>
      </c>
      <c r="W99" s="4" t="s">
        <v>234</v>
      </c>
      <c r="X99" s="4" t="s">
        <v>235</v>
      </c>
      <c r="Y99" s="21" t="s">
        <v>56</v>
      </c>
      <c r="Z99" s="21"/>
      <c r="AA99" s="4" t="s">
        <v>46</v>
      </c>
      <c r="AB99" s="4" t="s">
        <v>47</v>
      </c>
      <c r="AC99" s="4" t="s">
        <v>139</v>
      </c>
      <c r="AD99" s="4" t="s">
        <v>140</v>
      </c>
      <c r="AE99" s="4" t="s">
        <v>48</v>
      </c>
      <c r="AF99" s="4" t="s">
        <v>41</v>
      </c>
      <c r="AG99" s="4" t="s">
        <v>141</v>
      </c>
    </row>
    <row r="100" spans="1:33" ht="16.5" customHeight="1" x14ac:dyDescent="0.2">
      <c r="A100" s="2" t="s">
        <v>31</v>
      </c>
      <c r="B100" s="19" t="s">
        <v>50</v>
      </c>
      <c r="C100" s="19"/>
      <c r="D100" s="19"/>
      <c r="E100" s="20" t="s">
        <v>33</v>
      </c>
      <c r="F100" s="20"/>
      <c r="G100" s="21" t="s">
        <v>132</v>
      </c>
      <c r="H100" s="21"/>
      <c r="I100" s="21"/>
      <c r="J100" s="3" t="s">
        <v>35</v>
      </c>
      <c r="K100" s="4" t="s">
        <v>82</v>
      </c>
      <c r="L100" s="4" t="s">
        <v>37</v>
      </c>
      <c r="N100" s="21" t="s">
        <v>337</v>
      </c>
      <c r="O100" s="21"/>
      <c r="P100" s="21" t="s">
        <v>338</v>
      </c>
      <c r="Q100" s="21"/>
      <c r="R100" s="21"/>
      <c r="S100" s="3" t="s">
        <v>40</v>
      </c>
      <c r="T100" s="21" t="s">
        <v>41</v>
      </c>
      <c r="U100" s="21"/>
      <c r="V100" s="4" t="s">
        <v>59</v>
      </c>
      <c r="W100" s="4" t="s">
        <v>234</v>
      </c>
      <c r="X100" s="4" t="s">
        <v>339</v>
      </c>
      <c r="Y100" s="21" t="s">
        <v>56</v>
      </c>
      <c r="Z100" s="21"/>
      <c r="AA100" s="4" t="s">
        <v>46</v>
      </c>
      <c r="AB100" s="4" t="s">
        <v>47</v>
      </c>
      <c r="AC100" s="4" t="s">
        <v>139</v>
      </c>
      <c r="AD100" s="4" t="s">
        <v>140</v>
      </c>
      <c r="AE100" s="4" t="s">
        <v>48</v>
      </c>
      <c r="AF100" s="4" t="s">
        <v>41</v>
      </c>
      <c r="AG100" s="4" t="s">
        <v>141</v>
      </c>
    </row>
    <row r="101" spans="1:33" ht="16.5" customHeight="1" x14ac:dyDescent="0.2">
      <c r="A101" s="2" t="s">
        <v>31</v>
      </c>
      <c r="B101" s="19" t="s">
        <v>50</v>
      </c>
      <c r="C101" s="19"/>
      <c r="D101" s="19"/>
      <c r="E101" s="20" t="s">
        <v>33</v>
      </c>
      <c r="F101" s="20"/>
      <c r="G101" s="21" t="s">
        <v>132</v>
      </c>
      <c r="H101" s="21"/>
      <c r="I101" s="21"/>
      <c r="J101" s="3" t="s">
        <v>35</v>
      </c>
      <c r="K101" s="4" t="s">
        <v>99</v>
      </c>
      <c r="L101" s="4" t="s">
        <v>68</v>
      </c>
      <c r="N101" s="21" t="s">
        <v>340</v>
      </c>
      <c r="O101" s="21"/>
      <c r="P101" s="21" t="s">
        <v>341</v>
      </c>
      <c r="Q101" s="21"/>
      <c r="R101" s="21"/>
      <c r="S101" s="3" t="s">
        <v>40</v>
      </c>
      <c r="T101" s="21" t="s">
        <v>41</v>
      </c>
      <c r="U101" s="21"/>
      <c r="V101" s="4" t="s">
        <v>42</v>
      </c>
      <c r="W101" s="4" t="s">
        <v>234</v>
      </c>
      <c r="X101" s="4" t="s">
        <v>235</v>
      </c>
      <c r="Y101" s="21" t="s">
        <v>56</v>
      </c>
      <c r="Z101" s="21"/>
      <c r="AA101" s="4" t="s">
        <v>46</v>
      </c>
      <c r="AB101" s="4" t="s">
        <v>47</v>
      </c>
      <c r="AC101" s="4" t="s">
        <v>139</v>
      </c>
      <c r="AD101" s="4" t="s">
        <v>151</v>
      </c>
      <c r="AE101" s="4" t="s">
        <v>48</v>
      </c>
      <c r="AF101" s="4" t="s">
        <v>41</v>
      </c>
      <c r="AG101" s="4" t="s">
        <v>141</v>
      </c>
    </row>
    <row r="102" spans="1:33" ht="16.5" customHeight="1" x14ac:dyDescent="0.2">
      <c r="A102" s="2" t="s">
        <v>31</v>
      </c>
      <c r="B102" s="19" t="s">
        <v>50</v>
      </c>
      <c r="C102" s="19"/>
      <c r="D102" s="19"/>
      <c r="E102" s="20" t="s">
        <v>33</v>
      </c>
      <c r="F102" s="20"/>
      <c r="G102" s="21" t="s">
        <v>132</v>
      </c>
      <c r="H102" s="21"/>
      <c r="I102" s="21"/>
      <c r="J102" s="3" t="s">
        <v>35</v>
      </c>
      <c r="K102" s="4" t="s">
        <v>133</v>
      </c>
      <c r="L102" s="4" t="s">
        <v>37</v>
      </c>
      <c r="N102" s="21" t="s">
        <v>342</v>
      </c>
      <c r="O102" s="21"/>
      <c r="P102" s="21" t="s">
        <v>343</v>
      </c>
      <c r="Q102" s="21"/>
      <c r="R102" s="21"/>
      <c r="S102" s="3" t="s">
        <v>40</v>
      </c>
      <c r="T102" s="21" t="s">
        <v>41</v>
      </c>
      <c r="U102" s="21"/>
      <c r="V102" s="4" t="s">
        <v>42</v>
      </c>
      <c r="W102" s="4" t="s">
        <v>234</v>
      </c>
      <c r="X102" s="4" t="s">
        <v>235</v>
      </c>
      <c r="Y102" s="21" t="s">
        <v>138</v>
      </c>
      <c r="Z102" s="21"/>
      <c r="AA102" s="4" t="s">
        <v>46</v>
      </c>
      <c r="AB102" s="4" t="s">
        <v>47</v>
      </c>
      <c r="AC102" s="4" t="s">
        <v>139</v>
      </c>
      <c r="AD102" s="4" t="s">
        <v>140</v>
      </c>
      <c r="AE102" s="4" t="s">
        <v>48</v>
      </c>
      <c r="AF102" s="4" t="s">
        <v>41</v>
      </c>
      <c r="AG102" s="4" t="s">
        <v>141</v>
      </c>
    </row>
    <row r="103" spans="1:33" ht="16.5" customHeight="1" x14ac:dyDescent="0.2">
      <c r="A103" s="2" t="s">
        <v>31</v>
      </c>
      <c r="B103" s="19" t="s">
        <v>50</v>
      </c>
      <c r="C103" s="19"/>
      <c r="D103" s="19"/>
      <c r="E103" s="20" t="s">
        <v>33</v>
      </c>
      <c r="F103" s="20"/>
      <c r="G103" s="21" t="s">
        <v>132</v>
      </c>
      <c r="H103" s="21"/>
      <c r="I103" s="21"/>
      <c r="J103" s="3" t="s">
        <v>35</v>
      </c>
      <c r="K103" s="4" t="s">
        <v>152</v>
      </c>
      <c r="L103" s="4" t="s">
        <v>37</v>
      </c>
      <c r="N103" s="21" t="s">
        <v>344</v>
      </c>
      <c r="O103" s="21"/>
      <c r="P103" s="21" t="s">
        <v>345</v>
      </c>
      <c r="Q103" s="21"/>
      <c r="R103" s="21"/>
      <c r="S103" s="3" t="s">
        <v>40</v>
      </c>
      <c r="T103" s="21" t="s">
        <v>41</v>
      </c>
      <c r="U103" s="21"/>
      <c r="V103" s="4" t="s">
        <v>42</v>
      </c>
      <c r="W103" s="4" t="s">
        <v>234</v>
      </c>
      <c r="X103" s="4" t="s">
        <v>235</v>
      </c>
      <c r="Y103" s="21" t="s">
        <v>56</v>
      </c>
      <c r="Z103" s="21"/>
      <c r="AA103" s="4" t="s">
        <v>46</v>
      </c>
      <c r="AB103" s="4" t="s">
        <v>47</v>
      </c>
      <c r="AC103" s="4" t="s">
        <v>139</v>
      </c>
      <c r="AD103" s="4" t="s">
        <v>140</v>
      </c>
      <c r="AE103" s="4" t="s">
        <v>48</v>
      </c>
      <c r="AF103" s="4" t="s">
        <v>41</v>
      </c>
      <c r="AG103" s="4" t="s">
        <v>141</v>
      </c>
    </row>
    <row r="104" spans="1:33" ht="16.5" customHeight="1" x14ac:dyDescent="0.2">
      <c r="A104" s="2" t="s">
        <v>31</v>
      </c>
      <c r="B104" s="19" t="s">
        <v>50</v>
      </c>
      <c r="C104" s="19"/>
      <c r="D104" s="19"/>
      <c r="E104" s="20" t="s">
        <v>33</v>
      </c>
      <c r="F104" s="20"/>
      <c r="G104" s="21" t="s">
        <v>132</v>
      </c>
      <c r="H104" s="21"/>
      <c r="I104" s="21"/>
      <c r="J104" s="3" t="s">
        <v>35</v>
      </c>
      <c r="K104" s="4" t="s">
        <v>82</v>
      </c>
      <c r="L104" s="4" t="s">
        <v>37</v>
      </c>
      <c r="N104" s="21" t="s">
        <v>346</v>
      </c>
      <c r="O104" s="21"/>
      <c r="P104" s="21" t="s">
        <v>347</v>
      </c>
      <c r="Q104" s="21"/>
      <c r="R104" s="21"/>
      <c r="S104" s="3" t="s">
        <v>40</v>
      </c>
      <c r="T104" s="21" t="s">
        <v>41</v>
      </c>
      <c r="U104" s="21"/>
      <c r="V104" s="4" t="s">
        <v>42</v>
      </c>
      <c r="W104" s="4" t="s">
        <v>234</v>
      </c>
      <c r="X104" s="4" t="s">
        <v>235</v>
      </c>
      <c r="Y104" s="21" t="s">
        <v>56</v>
      </c>
      <c r="Z104" s="21"/>
      <c r="AA104" s="4" t="s">
        <v>46</v>
      </c>
      <c r="AB104" s="4" t="s">
        <v>47</v>
      </c>
      <c r="AC104" s="4" t="s">
        <v>139</v>
      </c>
      <c r="AD104" s="4" t="s">
        <v>140</v>
      </c>
      <c r="AE104" s="4" t="s">
        <v>48</v>
      </c>
      <c r="AF104" s="4" t="s">
        <v>41</v>
      </c>
      <c r="AG104" s="4" t="s">
        <v>141</v>
      </c>
    </row>
    <row r="105" spans="1:33" ht="16.5" customHeight="1" x14ac:dyDescent="0.2">
      <c r="A105" s="2" t="s">
        <v>31</v>
      </c>
      <c r="B105" s="19" t="s">
        <v>50</v>
      </c>
      <c r="C105" s="19"/>
      <c r="D105" s="19"/>
      <c r="E105" s="20" t="s">
        <v>33</v>
      </c>
      <c r="F105" s="20"/>
      <c r="G105" s="21" t="s">
        <v>132</v>
      </c>
      <c r="H105" s="21"/>
      <c r="I105" s="21"/>
      <c r="J105" s="3" t="s">
        <v>35</v>
      </c>
      <c r="K105" s="4" t="s">
        <v>247</v>
      </c>
      <c r="L105" s="4" t="s">
        <v>37</v>
      </c>
      <c r="N105" s="21" t="s">
        <v>348</v>
      </c>
      <c r="O105" s="21"/>
      <c r="P105" s="21" t="s">
        <v>349</v>
      </c>
      <c r="Q105" s="21"/>
      <c r="R105" s="21"/>
      <c r="S105" s="3" t="s">
        <v>40</v>
      </c>
      <c r="T105" s="21" t="s">
        <v>41</v>
      </c>
      <c r="U105" s="21"/>
      <c r="V105" s="4" t="s">
        <v>42</v>
      </c>
      <c r="W105" s="4" t="s">
        <v>350</v>
      </c>
      <c r="X105" s="4" t="s">
        <v>339</v>
      </c>
      <c r="Y105" s="21" t="s">
        <v>65</v>
      </c>
      <c r="Z105" s="21"/>
      <c r="AA105" s="4" t="s">
        <v>46</v>
      </c>
      <c r="AB105" s="4" t="s">
        <v>47</v>
      </c>
      <c r="AC105" s="4" t="s">
        <v>57</v>
      </c>
      <c r="AD105" s="4" t="s">
        <v>58</v>
      </c>
      <c r="AE105" s="4" t="s">
        <v>48</v>
      </c>
      <c r="AF105" s="4" t="s">
        <v>41</v>
      </c>
      <c r="AG105" s="4" t="s">
        <v>141</v>
      </c>
    </row>
    <row r="106" spans="1:33" ht="16.5" customHeight="1" x14ac:dyDescent="0.2">
      <c r="A106" s="2" t="s">
        <v>31</v>
      </c>
      <c r="B106" s="19" t="s">
        <v>50</v>
      </c>
      <c r="C106" s="19"/>
      <c r="D106" s="19"/>
      <c r="E106" s="20" t="s">
        <v>33</v>
      </c>
      <c r="F106" s="20"/>
      <c r="G106" s="21" t="s">
        <v>132</v>
      </c>
      <c r="H106" s="21"/>
      <c r="I106" s="21"/>
      <c r="J106" s="3" t="s">
        <v>35</v>
      </c>
      <c r="K106" s="4" t="s">
        <v>74</v>
      </c>
      <c r="L106" s="4" t="s">
        <v>68</v>
      </c>
      <c r="N106" s="21" t="s">
        <v>351</v>
      </c>
      <c r="O106" s="21"/>
      <c r="P106" s="21" t="s">
        <v>352</v>
      </c>
      <c r="Q106" s="21"/>
      <c r="R106" s="21"/>
      <c r="S106" s="3" t="s">
        <v>40</v>
      </c>
      <c r="T106" s="21" t="s">
        <v>41</v>
      </c>
      <c r="U106" s="21"/>
      <c r="V106" s="4" t="s">
        <v>42</v>
      </c>
      <c r="W106" s="4" t="s">
        <v>350</v>
      </c>
      <c r="X106" s="4" t="s">
        <v>339</v>
      </c>
      <c r="Y106" s="21" t="s">
        <v>65</v>
      </c>
      <c r="Z106" s="21"/>
      <c r="AA106" s="4" t="s">
        <v>46</v>
      </c>
      <c r="AB106" s="4" t="s">
        <v>47</v>
      </c>
      <c r="AC106" s="4" t="s">
        <v>57</v>
      </c>
      <c r="AD106" s="4" t="s">
        <v>98</v>
      </c>
      <c r="AE106" s="4" t="s">
        <v>48</v>
      </c>
      <c r="AF106" s="4" t="s">
        <v>41</v>
      </c>
      <c r="AG106" s="4" t="s">
        <v>141</v>
      </c>
    </row>
    <row r="107" spans="1:33" ht="16.5" customHeight="1" x14ac:dyDescent="0.2">
      <c r="A107" s="2" t="s">
        <v>31</v>
      </c>
      <c r="B107" s="19" t="s">
        <v>50</v>
      </c>
      <c r="C107" s="19"/>
      <c r="D107" s="19"/>
      <c r="E107" s="20" t="s">
        <v>33</v>
      </c>
      <c r="F107" s="20"/>
      <c r="G107" s="21" t="s">
        <v>132</v>
      </c>
      <c r="H107" s="21"/>
      <c r="I107" s="21"/>
      <c r="J107" s="3" t="s">
        <v>35</v>
      </c>
      <c r="K107" s="4" t="s">
        <v>146</v>
      </c>
      <c r="L107" s="4" t="s">
        <v>37</v>
      </c>
      <c r="N107" s="21" t="s">
        <v>353</v>
      </c>
      <c r="O107" s="21"/>
      <c r="P107" s="21" t="s">
        <v>354</v>
      </c>
      <c r="Q107" s="21"/>
      <c r="R107" s="21"/>
      <c r="S107" s="3" t="s">
        <v>40</v>
      </c>
      <c r="T107" s="21" t="s">
        <v>41</v>
      </c>
      <c r="U107" s="21"/>
      <c r="V107" s="4" t="s">
        <v>42</v>
      </c>
      <c r="W107" s="4" t="s">
        <v>355</v>
      </c>
      <c r="X107" s="4" t="s">
        <v>356</v>
      </c>
      <c r="Y107" s="21" t="s">
        <v>138</v>
      </c>
      <c r="Z107" s="21"/>
      <c r="AA107" s="4" t="s">
        <v>46</v>
      </c>
      <c r="AB107" s="4" t="s">
        <v>47</v>
      </c>
      <c r="AC107" s="4" t="s">
        <v>139</v>
      </c>
      <c r="AD107" s="4" t="s">
        <v>140</v>
      </c>
      <c r="AE107" s="4" t="s">
        <v>48</v>
      </c>
      <c r="AF107" s="4" t="s">
        <v>41</v>
      </c>
      <c r="AG107" s="4" t="s">
        <v>141</v>
      </c>
    </row>
    <row r="108" spans="1:33" ht="16.5" customHeight="1" x14ac:dyDescent="0.2">
      <c r="A108" s="2" t="s">
        <v>31</v>
      </c>
      <c r="B108" s="19" t="s">
        <v>50</v>
      </c>
      <c r="C108" s="19"/>
      <c r="D108" s="19"/>
      <c r="E108" s="20" t="s">
        <v>33</v>
      </c>
      <c r="F108" s="20"/>
      <c r="G108" s="21" t="s">
        <v>132</v>
      </c>
      <c r="H108" s="21"/>
      <c r="I108" s="21"/>
      <c r="J108" s="3" t="s">
        <v>35</v>
      </c>
      <c r="K108" s="4" t="s">
        <v>146</v>
      </c>
      <c r="L108" s="4" t="s">
        <v>37</v>
      </c>
      <c r="N108" s="21" t="s">
        <v>357</v>
      </c>
      <c r="O108" s="21"/>
      <c r="P108" s="21" t="s">
        <v>358</v>
      </c>
      <c r="Q108" s="21"/>
      <c r="R108" s="21"/>
      <c r="S108" s="3" t="s">
        <v>40</v>
      </c>
      <c r="T108" s="21" t="s">
        <v>41</v>
      </c>
      <c r="U108" s="21"/>
      <c r="V108" s="4" t="s">
        <v>42</v>
      </c>
      <c r="W108" s="4" t="s">
        <v>355</v>
      </c>
      <c r="X108" s="4" t="s">
        <v>356</v>
      </c>
      <c r="Y108" s="21" t="s">
        <v>138</v>
      </c>
      <c r="Z108" s="21"/>
      <c r="AA108" s="4" t="s">
        <v>46</v>
      </c>
      <c r="AB108" s="4" t="s">
        <v>47</v>
      </c>
      <c r="AC108" s="4" t="s">
        <v>139</v>
      </c>
      <c r="AD108" s="4" t="s">
        <v>140</v>
      </c>
      <c r="AE108" s="4" t="s">
        <v>48</v>
      </c>
      <c r="AF108" s="4" t="s">
        <v>41</v>
      </c>
      <c r="AG108" s="4" t="s">
        <v>141</v>
      </c>
    </row>
    <row r="109" spans="1:33" ht="16.5" customHeight="1" x14ac:dyDescent="0.2">
      <c r="A109" s="2" t="s">
        <v>31</v>
      </c>
      <c r="B109" s="19" t="s">
        <v>50</v>
      </c>
      <c r="C109" s="19"/>
      <c r="D109" s="19"/>
      <c r="E109" s="20" t="s">
        <v>33</v>
      </c>
      <c r="F109" s="20"/>
      <c r="G109" s="21" t="s">
        <v>132</v>
      </c>
      <c r="H109" s="21"/>
      <c r="I109" s="21"/>
      <c r="J109" s="3" t="s">
        <v>35</v>
      </c>
      <c r="K109" s="4" t="s">
        <v>247</v>
      </c>
      <c r="L109" s="4" t="s">
        <v>37</v>
      </c>
      <c r="N109" s="21" t="s">
        <v>359</v>
      </c>
      <c r="O109" s="21"/>
      <c r="P109" s="21" t="s">
        <v>360</v>
      </c>
      <c r="Q109" s="21"/>
      <c r="R109" s="21"/>
      <c r="S109" s="3" t="s">
        <v>40</v>
      </c>
      <c r="T109" s="21" t="s">
        <v>41</v>
      </c>
      <c r="U109" s="21"/>
      <c r="V109" s="4" t="s">
        <v>42</v>
      </c>
      <c r="W109" s="4" t="s">
        <v>182</v>
      </c>
      <c r="X109" s="4" t="s">
        <v>294</v>
      </c>
      <c r="Y109" s="21" t="s">
        <v>65</v>
      </c>
      <c r="Z109" s="21"/>
      <c r="AA109" s="4" t="s">
        <v>46</v>
      </c>
      <c r="AB109" s="4" t="s">
        <v>47</v>
      </c>
      <c r="AC109" s="4" t="s">
        <v>66</v>
      </c>
      <c r="AD109" s="4" t="s">
        <v>73</v>
      </c>
      <c r="AE109" s="4" t="s">
        <v>48</v>
      </c>
      <c r="AF109" s="4" t="s">
        <v>41</v>
      </c>
      <c r="AG109" s="4" t="s">
        <v>141</v>
      </c>
    </row>
    <row r="110" spans="1:33" ht="16.5" customHeight="1" x14ac:dyDescent="0.2">
      <c r="A110" s="2" t="s">
        <v>31</v>
      </c>
      <c r="B110" s="19" t="s">
        <v>50</v>
      </c>
      <c r="C110" s="19"/>
      <c r="D110" s="19"/>
      <c r="E110" s="20" t="s">
        <v>33</v>
      </c>
      <c r="F110" s="20"/>
      <c r="G110" s="21" t="s">
        <v>132</v>
      </c>
      <c r="H110" s="21"/>
      <c r="I110" s="21"/>
      <c r="J110" s="3" t="s">
        <v>35</v>
      </c>
      <c r="K110" s="4" t="s">
        <v>146</v>
      </c>
      <c r="L110" s="4" t="s">
        <v>37</v>
      </c>
      <c r="N110" s="21" t="s">
        <v>361</v>
      </c>
      <c r="O110" s="21"/>
      <c r="P110" s="21" t="s">
        <v>362</v>
      </c>
      <c r="Q110" s="21"/>
      <c r="R110" s="21"/>
      <c r="S110" s="3" t="s">
        <v>40</v>
      </c>
      <c r="T110" s="21" t="s">
        <v>41</v>
      </c>
      <c r="U110" s="21"/>
      <c r="V110" s="4" t="s">
        <v>42</v>
      </c>
      <c r="W110" s="4" t="s">
        <v>182</v>
      </c>
      <c r="X110" s="4" t="s">
        <v>294</v>
      </c>
      <c r="Y110" s="21" t="s">
        <v>138</v>
      </c>
      <c r="Z110" s="21"/>
      <c r="AA110" s="4" t="s">
        <v>46</v>
      </c>
      <c r="AB110" s="4" t="s">
        <v>47</v>
      </c>
      <c r="AC110" s="4" t="s">
        <v>57</v>
      </c>
      <c r="AD110" s="4" t="s">
        <v>58</v>
      </c>
      <c r="AE110" s="4" t="s">
        <v>48</v>
      </c>
      <c r="AF110" s="4" t="s">
        <v>41</v>
      </c>
      <c r="AG110" s="4" t="s">
        <v>141</v>
      </c>
    </row>
    <row r="111" spans="1:33" ht="16.5" customHeight="1" x14ac:dyDescent="0.2">
      <c r="A111" s="2" t="s">
        <v>31</v>
      </c>
      <c r="B111" s="19" t="s">
        <v>50</v>
      </c>
      <c r="C111" s="19"/>
      <c r="D111" s="19"/>
      <c r="E111" s="20" t="s">
        <v>33</v>
      </c>
      <c r="F111" s="20"/>
      <c r="G111" s="21" t="s">
        <v>132</v>
      </c>
      <c r="H111" s="21"/>
      <c r="I111" s="21"/>
      <c r="J111" s="3" t="s">
        <v>35</v>
      </c>
      <c r="K111" s="4" t="s">
        <v>169</v>
      </c>
      <c r="L111" s="4" t="s">
        <v>68</v>
      </c>
      <c r="N111" s="21" t="s">
        <v>363</v>
      </c>
      <c r="O111" s="21"/>
      <c r="P111" s="21" t="s">
        <v>364</v>
      </c>
      <c r="Q111" s="21"/>
      <c r="R111" s="21"/>
      <c r="S111" s="3" t="s">
        <v>40</v>
      </c>
      <c r="T111" s="21" t="s">
        <v>41</v>
      </c>
      <c r="U111" s="21"/>
      <c r="V111" s="4" t="s">
        <v>42</v>
      </c>
      <c r="W111" s="4" t="s">
        <v>182</v>
      </c>
      <c r="X111" s="4" t="s">
        <v>294</v>
      </c>
      <c r="Y111" s="21" t="s">
        <v>56</v>
      </c>
      <c r="Z111" s="21"/>
      <c r="AA111" s="4" t="s">
        <v>46</v>
      </c>
      <c r="AB111" s="4" t="s">
        <v>47</v>
      </c>
      <c r="AC111" s="4" t="s">
        <v>57</v>
      </c>
      <c r="AD111" s="4" t="s">
        <v>98</v>
      </c>
      <c r="AE111" s="4" t="s">
        <v>48</v>
      </c>
      <c r="AF111" s="4" t="s">
        <v>41</v>
      </c>
      <c r="AG111" s="4" t="s">
        <v>141</v>
      </c>
    </row>
    <row r="112" spans="1:33" ht="16.5" customHeight="1" x14ac:dyDescent="0.2">
      <c r="A112" s="2" t="s">
        <v>31</v>
      </c>
      <c r="B112" s="19" t="s">
        <v>50</v>
      </c>
      <c r="C112" s="19"/>
      <c r="D112" s="19"/>
      <c r="E112" s="20" t="s">
        <v>33</v>
      </c>
      <c r="F112" s="20"/>
      <c r="G112" s="21" t="s">
        <v>132</v>
      </c>
      <c r="H112" s="21"/>
      <c r="I112" s="21"/>
      <c r="J112" s="3" t="s">
        <v>35</v>
      </c>
      <c r="K112" s="4" t="s">
        <v>184</v>
      </c>
      <c r="L112" s="4" t="s">
        <v>37</v>
      </c>
      <c r="N112" s="21" t="s">
        <v>365</v>
      </c>
      <c r="O112" s="21"/>
      <c r="P112" s="21" t="s">
        <v>366</v>
      </c>
      <c r="Q112" s="21"/>
      <c r="R112" s="21"/>
      <c r="S112" s="3" t="s">
        <v>40</v>
      </c>
      <c r="T112" s="21" t="s">
        <v>41</v>
      </c>
      <c r="U112" s="21"/>
      <c r="V112" s="4" t="s">
        <v>42</v>
      </c>
      <c r="W112" s="4" t="s">
        <v>77</v>
      </c>
      <c r="X112" s="4" t="s">
        <v>78</v>
      </c>
      <c r="Y112" s="21" t="s">
        <v>65</v>
      </c>
      <c r="Z112" s="21"/>
      <c r="AA112" s="4" t="s">
        <v>46</v>
      </c>
      <c r="AB112" s="4" t="s">
        <v>47</v>
      </c>
      <c r="AC112" s="4" t="s">
        <v>66</v>
      </c>
      <c r="AD112" s="4" t="s">
        <v>73</v>
      </c>
      <c r="AE112" s="4" t="s">
        <v>48</v>
      </c>
      <c r="AF112" s="4" t="s">
        <v>41</v>
      </c>
      <c r="AG112" s="4" t="s">
        <v>141</v>
      </c>
    </row>
    <row r="113" spans="1:33" ht="16.5" customHeight="1" x14ac:dyDescent="0.2">
      <c r="A113" s="2" t="s">
        <v>31</v>
      </c>
      <c r="B113" s="19" t="s">
        <v>50</v>
      </c>
      <c r="C113" s="19"/>
      <c r="D113" s="19"/>
      <c r="E113" s="20" t="s">
        <v>33</v>
      </c>
      <c r="F113" s="20"/>
      <c r="G113" s="21" t="s">
        <v>132</v>
      </c>
      <c r="H113" s="21"/>
      <c r="I113" s="21"/>
      <c r="J113" s="3" t="s">
        <v>35</v>
      </c>
      <c r="K113" s="4" t="s">
        <v>123</v>
      </c>
      <c r="L113" s="4" t="s">
        <v>37</v>
      </c>
      <c r="N113" s="21" t="s">
        <v>367</v>
      </c>
      <c r="O113" s="21"/>
      <c r="P113" s="21" t="s">
        <v>368</v>
      </c>
      <c r="Q113" s="21"/>
      <c r="R113" s="21"/>
      <c r="S113" s="3" t="s">
        <v>40</v>
      </c>
      <c r="T113" s="21" t="s">
        <v>41</v>
      </c>
      <c r="U113" s="21"/>
      <c r="V113" s="4" t="s">
        <v>42</v>
      </c>
      <c r="W113" s="4" t="s">
        <v>85</v>
      </c>
      <c r="X113" s="4" t="s">
        <v>86</v>
      </c>
      <c r="Y113" s="21" t="s">
        <v>65</v>
      </c>
      <c r="Z113" s="21"/>
      <c r="AA113" s="4" t="s">
        <v>46</v>
      </c>
      <c r="AB113" s="4" t="s">
        <v>47</v>
      </c>
      <c r="AC113" s="4" t="s">
        <v>66</v>
      </c>
      <c r="AD113" s="4" t="s">
        <v>73</v>
      </c>
      <c r="AE113" s="4" t="s">
        <v>48</v>
      </c>
      <c r="AF113" s="4" t="s">
        <v>41</v>
      </c>
      <c r="AG113" s="4" t="s">
        <v>141</v>
      </c>
    </row>
    <row r="114" spans="1:33" ht="16.5" customHeight="1" x14ac:dyDescent="0.2">
      <c r="A114" s="2" t="s">
        <v>31</v>
      </c>
      <c r="B114" s="19" t="s">
        <v>50</v>
      </c>
      <c r="C114" s="19"/>
      <c r="D114" s="19"/>
      <c r="E114" s="20" t="s">
        <v>33</v>
      </c>
      <c r="F114" s="20"/>
      <c r="G114" s="21" t="s">
        <v>132</v>
      </c>
      <c r="H114" s="21"/>
      <c r="I114" s="21"/>
      <c r="J114" s="3" t="s">
        <v>35</v>
      </c>
      <c r="K114" s="4" t="s">
        <v>265</v>
      </c>
      <c r="L114" s="4" t="s">
        <v>37</v>
      </c>
      <c r="N114" s="21" t="s">
        <v>369</v>
      </c>
      <c r="O114" s="21"/>
      <c r="P114" s="21" t="s">
        <v>370</v>
      </c>
      <c r="Q114" s="21"/>
      <c r="R114" s="21"/>
      <c r="S114" s="3" t="s">
        <v>40</v>
      </c>
      <c r="T114" s="21" t="s">
        <v>41</v>
      </c>
      <c r="U114" s="21"/>
      <c r="V114" s="4" t="s">
        <v>42</v>
      </c>
      <c r="W114" s="4" t="s">
        <v>94</v>
      </c>
      <c r="X114" s="4" t="s">
        <v>95</v>
      </c>
      <c r="Y114" s="21" t="s">
        <v>56</v>
      </c>
      <c r="Z114" s="21"/>
      <c r="AA114" s="4" t="s">
        <v>46</v>
      </c>
      <c r="AB114" s="4" t="s">
        <v>47</v>
      </c>
      <c r="AC114" s="4" t="s">
        <v>57</v>
      </c>
      <c r="AD114" s="4" t="s">
        <v>58</v>
      </c>
      <c r="AE114" s="4" t="s">
        <v>48</v>
      </c>
      <c r="AF114" s="4" t="s">
        <v>41</v>
      </c>
      <c r="AG114" s="4" t="s">
        <v>141</v>
      </c>
    </row>
    <row r="115" spans="1:33" ht="16.5" customHeight="1" x14ac:dyDescent="0.2">
      <c r="A115" s="2" t="s">
        <v>31</v>
      </c>
      <c r="B115" s="19" t="s">
        <v>50</v>
      </c>
      <c r="C115" s="19"/>
      <c r="D115" s="19"/>
      <c r="E115" s="20" t="s">
        <v>33</v>
      </c>
      <c r="F115" s="20"/>
      <c r="G115" s="21" t="s">
        <v>132</v>
      </c>
      <c r="H115" s="21"/>
      <c r="I115" s="21"/>
      <c r="J115" s="3" t="s">
        <v>35</v>
      </c>
      <c r="K115" s="4" t="s">
        <v>82</v>
      </c>
      <c r="L115" s="4" t="s">
        <v>37</v>
      </c>
      <c r="N115" s="21" t="s">
        <v>371</v>
      </c>
      <c r="O115" s="21"/>
      <c r="P115" s="21" t="s">
        <v>372</v>
      </c>
      <c r="Q115" s="21"/>
      <c r="R115" s="21"/>
      <c r="S115" s="3" t="s">
        <v>40</v>
      </c>
      <c r="T115" s="21" t="s">
        <v>41</v>
      </c>
      <c r="U115" s="21"/>
      <c r="V115" s="4" t="s">
        <v>42</v>
      </c>
      <c r="W115" s="4" t="s">
        <v>108</v>
      </c>
      <c r="X115" s="4" t="s">
        <v>109</v>
      </c>
      <c r="Y115" s="21" t="s">
        <v>56</v>
      </c>
      <c r="Z115" s="21"/>
      <c r="AA115" s="4" t="s">
        <v>46</v>
      </c>
      <c r="AB115" s="4" t="s">
        <v>47</v>
      </c>
      <c r="AC115" s="4" t="s">
        <v>57</v>
      </c>
      <c r="AD115" s="4" t="s">
        <v>58</v>
      </c>
      <c r="AE115" s="4" t="s">
        <v>48</v>
      </c>
      <c r="AF115" s="4" t="s">
        <v>41</v>
      </c>
      <c r="AG115" s="4" t="s">
        <v>141</v>
      </c>
    </row>
    <row r="116" spans="1:33" ht="16.5" customHeight="1" x14ac:dyDescent="0.2">
      <c r="A116" s="2" t="s">
        <v>31</v>
      </c>
      <c r="B116" s="19" t="s">
        <v>50</v>
      </c>
      <c r="C116" s="19"/>
      <c r="D116" s="19"/>
      <c r="E116" s="20" t="s">
        <v>33</v>
      </c>
      <c r="F116" s="20"/>
      <c r="G116" s="21" t="s">
        <v>132</v>
      </c>
      <c r="H116" s="21"/>
      <c r="I116" s="21"/>
      <c r="J116" s="3" t="s">
        <v>35</v>
      </c>
      <c r="K116" s="4" t="s">
        <v>265</v>
      </c>
      <c r="L116" s="4" t="s">
        <v>37</v>
      </c>
      <c r="N116" s="21" t="s">
        <v>373</v>
      </c>
      <c r="O116" s="21"/>
      <c r="P116" s="21" t="s">
        <v>374</v>
      </c>
      <c r="Q116" s="21"/>
      <c r="R116" s="21"/>
      <c r="S116" s="3" t="s">
        <v>40</v>
      </c>
      <c r="T116" s="21" t="s">
        <v>41</v>
      </c>
      <c r="U116" s="21"/>
      <c r="V116" s="4" t="s">
        <v>42</v>
      </c>
      <c r="W116" s="4" t="s">
        <v>108</v>
      </c>
      <c r="X116" s="4" t="s">
        <v>109</v>
      </c>
      <c r="Y116" s="21" t="s">
        <v>56</v>
      </c>
      <c r="Z116" s="21"/>
      <c r="AA116" s="4" t="s">
        <v>46</v>
      </c>
      <c r="AB116" s="4" t="s">
        <v>47</v>
      </c>
      <c r="AC116" s="4" t="s">
        <v>57</v>
      </c>
      <c r="AD116" s="4" t="s">
        <v>58</v>
      </c>
      <c r="AE116" s="4" t="s">
        <v>48</v>
      </c>
      <c r="AF116" s="4" t="s">
        <v>41</v>
      </c>
      <c r="AG116" s="4" t="s">
        <v>141</v>
      </c>
    </row>
    <row r="117" spans="1:33" ht="16.5" customHeight="1" x14ac:dyDescent="0.2">
      <c r="A117" s="2" t="s">
        <v>31</v>
      </c>
      <c r="B117" s="19" t="s">
        <v>50</v>
      </c>
      <c r="C117" s="19"/>
      <c r="D117" s="19"/>
      <c r="E117" s="20" t="s">
        <v>33</v>
      </c>
      <c r="F117" s="20"/>
      <c r="G117" s="21" t="s">
        <v>132</v>
      </c>
      <c r="H117" s="21"/>
      <c r="I117" s="21"/>
      <c r="J117" s="3" t="s">
        <v>35</v>
      </c>
      <c r="K117" s="4" t="s">
        <v>74</v>
      </c>
      <c r="L117" s="4" t="s">
        <v>37</v>
      </c>
      <c r="N117" s="21" t="s">
        <v>375</v>
      </c>
      <c r="O117" s="21"/>
      <c r="P117" s="21" t="s">
        <v>376</v>
      </c>
      <c r="Q117" s="21"/>
      <c r="R117" s="21"/>
      <c r="S117" s="3" t="s">
        <v>40</v>
      </c>
      <c r="T117" s="21" t="s">
        <v>41</v>
      </c>
      <c r="U117" s="21"/>
      <c r="V117" s="4" t="s">
        <v>42</v>
      </c>
      <c r="W117" s="4" t="s">
        <v>108</v>
      </c>
      <c r="X117" s="4" t="s">
        <v>109</v>
      </c>
      <c r="Y117" s="21" t="s">
        <v>65</v>
      </c>
      <c r="Z117" s="21"/>
      <c r="AA117" s="4" t="s">
        <v>46</v>
      </c>
      <c r="AB117" s="4" t="s">
        <v>47</v>
      </c>
      <c r="AC117" s="4" t="s">
        <v>66</v>
      </c>
      <c r="AD117" s="4" t="s">
        <v>73</v>
      </c>
      <c r="AE117" s="4" t="s">
        <v>48</v>
      </c>
      <c r="AF117" s="4" t="s">
        <v>41</v>
      </c>
      <c r="AG117" s="4" t="s">
        <v>141</v>
      </c>
    </row>
    <row r="118" spans="1:33" ht="16.5" customHeight="1" x14ac:dyDescent="0.2">
      <c r="A118" s="2" t="s">
        <v>31</v>
      </c>
      <c r="B118" s="19" t="s">
        <v>50</v>
      </c>
      <c r="C118" s="19"/>
      <c r="D118" s="19"/>
      <c r="E118" s="20" t="s">
        <v>33</v>
      </c>
      <c r="F118" s="20"/>
      <c r="G118" s="21" t="s">
        <v>132</v>
      </c>
      <c r="H118" s="21"/>
      <c r="I118" s="21"/>
      <c r="J118" s="3" t="s">
        <v>35</v>
      </c>
      <c r="K118" s="4" t="s">
        <v>82</v>
      </c>
      <c r="L118" s="4" t="s">
        <v>278</v>
      </c>
      <c r="N118" s="21" t="s">
        <v>377</v>
      </c>
      <c r="O118" s="21"/>
      <c r="P118" s="21" t="s">
        <v>378</v>
      </c>
      <c r="Q118" s="21"/>
      <c r="R118" s="21"/>
      <c r="S118" s="3" t="s">
        <v>40</v>
      </c>
      <c r="T118" s="21" t="s">
        <v>41</v>
      </c>
      <c r="U118" s="21"/>
      <c r="V118" s="4" t="s">
        <v>42</v>
      </c>
      <c r="W118" s="4" t="s">
        <v>54</v>
      </c>
      <c r="X118" s="4" t="s">
        <v>55</v>
      </c>
      <c r="Y118" s="21" t="s">
        <v>56</v>
      </c>
      <c r="Z118" s="21"/>
      <c r="AA118" s="4" t="s">
        <v>46</v>
      </c>
      <c r="AB118" s="4" t="s">
        <v>47</v>
      </c>
      <c r="AC118" s="4" t="s">
        <v>57</v>
      </c>
      <c r="AD118" s="4" t="s">
        <v>283</v>
      </c>
      <c r="AE118" s="4" t="s">
        <v>48</v>
      </c>
      <c r="AF118" s="4" t="s">
        <v>41</v>
      </c>
      <c r="AG118" s="4" t="s">
        <v>141</v>
      </c>
    </row>
    <row r="119" spans="1:33" ht="16.5" customHeight="1" x14ac:dyDescent="0.2">
      <c r="A119" s="2" t="s">
        <v>31</v>
      </c>
      <c r="B119" s="19" t="s">
        <v>50</v>
      </c>
      <c r="C119" s="19"/>
      <c r="D119" s="19"/>
      <c r="E119" s="20" t="s">
        <v>33</v>
      </c>
      <c r="F119" s="20"/>
      <c r="G119" s="21" t="s">
        <v>132</v>
      </c>
      <c r="H119" s="21"/>
      <c r="I119" s="21"/>
      <c r="J119" s="3" t="s">
        <v>35</v>
      </c>
      <c r="K119" s="4" t="s">
        <v>82</v>
      </c>
      <c r="L119" s="4" t="s">
        <v>37</v>
      </c>
      <c r="N119" s="21" t="s">
        <v>379</v>
      </c>
      <c r="O119" s="21"/>
      <c r="P119" s="21" t="s">
        <v>380</v>
      </c>
      <c r="Q119" s="21"/>
      <c r="R119" s="21"/>
      <c r="S119" s="3" t="s">
        <v>40</v>
      </c>
      <c r="T119" s="21" t="s">
        <v>41</v>
      </c>
      <c r="U119" s="21"/>
      <c r="V119" s="4" t="s">
        <v>42</v>
      </c>
      <c r="W119" s="4" t="s">
        <v>381</v>
      </c>
      <c r="X119" s="4" t="s">
        <v>382</v>
      </c>
      <c r="Y119" s="21" t="s">
        <v>56</v>
      </c>
      <c r="Z119" s="21"/>
      <c r="AA119" s="4" t="s">
        <v>46</v>
      </c>
      <c r="AB119" s="4" t="s">
        <v>47</v>
      </c>
      <c r="AC119" s="4" t="s">
        <v>57</v>
      </c>
      <c r="AD119" s="4" t="s">
        <v>58</v>
      </c>
      <c r="AE119" s="4" t="s">
        <v>48</v>
      </c>
      <c r="AF119" s="4" t="s">
        <v>41</v>
      </c>
      <c r="AG119" s="4" t="s">
        <v>141</v>
      </c>
    </row>
    <row r="120" spans="1:33" ht="16.5" customHeight="1" x14ac:dyDescent="0.2">
      <c r="A120" s="2" t="s">
        <v>31</v>
      </c>
      <c r="B120" s="19" t="s">
        <v>50</v>
      </c>
      <c r="C120" s="19"/>
      <c r="D120" s="19"/>
      <c r="E120" s="20" t="s">
        <v>33</v>
      </c>
      <c r="F120" s="20"/>
      <c r="G120" s="21" t="s">
        <v>132</v>
      </c>
      <c r="H120" s="21"/>
      <c r="I120" s="21"/>
      <c r="J120" s="3" t="s">
        <v>35</v>
      </c>
      <c r="K120" s="4" t="s">
        <v>383</v>
      </c>
      <c r="L120" s="4" t="s">
        <v>37</v>
      </c>
      <c r="N120" s="21" t="s">
        <v>384</v>
      </c>
      <c r="O120" s="21"/>
      <c r="P120" s="21" t="s">
        <v>385</v>
      </c>
      <c r="Q120" s="21"/>
      <c r="R120" s="21"/>
      <c r="S120" s="3" t="s">
        <v>40</v>
      </c>
      <c r="T120" s="21" t="s">
        <v>41</v>
      </c>
      <c r="U120" s="21"/>
      <c r="V120" s="4" t="s">
        <v>42</v>
      </c>
      <c r="W120" s="4" t="s">
        <v>54</v>
      </c>
      <c r="X120" s="4" t="s">
        <v>55</v>
      </c>
      <c r="Y120" s="21" t="s">
        <v>198</v>
      </c>
      <c r="Z120" s="21"/>
      <c r="AA120" s="4" t="s">
        <v>46</v>
      </c>
      <c r="AB120" s="4" t="s">
        <v>47</v>
      </c>
      <c r="AC120" s="4" t="s">
        <v>139</v>
      </c>
      <c r="AD120" s="4" t="s">
        <v>140</v>
      </c>
      <c r="AE120" s="4" t="s">
        <v>48</v>
      </c>
      <c r="AF120" s="4" t="s">
        <v>41</v>
      </c>
      <c r="AG120" s="4" t="s">
        <v>141</v>
      </c>
    </row>
    <row r="121" spans="1:33" ht="16.5" customHeight="1" x14ac:dyDescent="0.2">
      <c r="A121" s="2" t="s">
        <v>31</v>
      </c>
      <c r="B121" s="19" t="s">
        <v>50</v>
      </c>
      <c r="C121" s="19"/>
      <c r="D121" s="19"/>
      <c r="E121" s="20" t="s">
        <v>33</v>
      </c>
      <c r="F121" s="20"/>
      <c r="G121" s="21" t="s">
        <v>132</v>
      </c>
      <c r="H121" s="21"/>
      <c r="I121" s="21"/>
      <c r="J121" s="3" t="s">
        <v>35</v>
      </c>
      <c r="K121" s="4" t="s">
        <v>247</v>
      </c>
      <c r="L121" s="4" t="s">
        <v>68</v>
      </c>
      <c r="N121" s="21" t="s">
        <v>386</v>
      </c>
      <c r="O121" s="21"/>
      <c r="P121" s="21" t="s">
        <v>387</v>
      </c>
      <c r="Q121" s="21"/>
      <c r="R121" s="21"/>
      <c r="S121" s="3" t="s">
        <v>40</v>
      </c>
      <c r="T121" s="21" t="s">
        <v>41</v>
      </c>
      <c r="U121" s="21"/>
      <c r="V121" s="4" t="s">
        <v>42</v>
      </c>
      <c r="W121" s="4" t="s">
        <v>54</v>
      </c>
      <c r="X121" s="4" t="s">
        <v>55</v>
      </c>
      <c r="Y121" s="21" t="s">
        <v>65</v>
      </c>
      <c r="Z121" s="21"/>
      <c r="AA121" s="4" t="s">
        <v>46</v>
      </c>
      <c r="AB121" s="4" t="s">
        <v>47</v>
      </c>
      <c r="AC121" s="4" t="s">
        <v>66</v>
      </c>
      <c r="AD121" s="4" t="s">
        <v>69</v>
      </c>
      <c r="AE121" s="4" t="s">
        <v>48</v>
      </c>
      <c r="AF121" s="4" t="s">
        <v>41</v>
      </c>
      <c r="AG121" s="4" t="s">
        <v>141</v>
      </c>
    </row>
    <row r="122" spans="1:33" ht="16.5" customHeight="1" x14ac:dyDescent="0.2">
      <c r="A122" s="2" t="s">
        <v>31</v>
      </c>
      <c r="B122" s="19" t="s">
        <v>50</v>
      </c>
      <c r="C122" s="19"/>
      <c r="D122" s="19"/>
      <c r="E122" s="20" t="s">
        <v>33</v>
      </c>
      <c r="F122" s="20"/>
      <c r="G122" s="21" t="s">
        <v>132</v>
      </c>
      <c r="H122" s="21"/>
      <c r="I122" s="21"/>
      <c r="J122" s="3" t="s">
        <v>35</v>
      </c>
      <c r="K122" s="4" t="s">
        <v>204</v>
      </c>
      <c r="L122" s="4" t="s">
        <v>68</v>
      </c>
      <c r="N122" s="21" t="s">
        <v>388</v>
      </c>
      <c r="O122" s="21"/>
      <c r="P122" s="21" t="s">
        <v>389</v>
      </c>
      <c r="Q122" s="21"/>
      <c r="R122" s="21"/>
      <c r="S122" s="3" t="s">
        <v>40</v>
      </c>
      <c r="T122" s="21" t="s">
        <v>41</v>
      </c>
      <c r="U122" s="21"/>
      <c r="V122" s="4" t="s">
        <v>42</v>
      </c>
      <c r="W122" s="4" t="s">
        <v>54</v>
      </c>
      <c r="X122" s="4" t="s">
        <v>55</v>
      </c>
      <c r="Y122" s="21" t="s">
        <v>198</v>
      </c>
      <c r="Z122" s="21"/>
      <c r="AA122" s="4" t="s">
        <v>46</v>
      </c>
      <c r="AB122" s="4" t="s">
        <v>47</v>
      </c>
      <c r="AC122" s="4" t="s">
        <v>139</v>
      </c>
      <c r="AD122" s="4" t="s">
        <v>151</v>
      </c>
      <c r="AE122" s="4" t="s">
        <v>48</v>
      </c>
      <c r="AF122" s="4" t="s">
        <v>41</v>
      </c>
      <c r="AG122" s="4" t="s">
        <v>141</v>
      </c>
    </row>
    <row r="123" spans="1:33" ht="16.5" customHeight="1" x14ac:dyDescent="0.2">
      <c r="A123" s="2" t="s">
        <v>31</v>
      </c>
      <c r="B123" s="19" t="s">
        <v>50</v>
      </c>
      <c r="C123" s="19"/>
      <c r="D123" s="19"/>
      <c r="E123" s="20" t="s">
        <v>33</v>
      </c>
      <c r="F123" s="20"/>
      <c r="G123" s="21" t="s">
        <v>132</v>
      </c>
      <c r="H123" s="21"/>
      <c r="I123" s="21"/>
      <c r="J123" s="3" t="s">
        <v>35</v>
      </c>
      <c r="K123" s="4" t="s">
        <v>82</v>
      </c>
      <c r="L123" s="4" t="s">
        <v>37</v>
      </c>
      <c r="N123" s="21" t="s">
        <v>390</v>
      </c>
      <c r="O123" s="21"/>
      <c r="P123" s="21" t="s">
        <v>391</v>
      </c>
      <c r="Q123" s="21"/>
      <c r="R123" s="21"/>
      <c r="S123" s="3" t="s">
        <v>40</v>
      </c>
      <c r="T123" s="21" t="s">
        <v>41</v>
      </c>
      <c r="U123" s="21"/>
      <c r="V123" s="4" t="s">
        <v>42</v>
      </c>
      <c r="W123" s="4" t="s">
        <v>54</v>
      </c>
      <c r="X123" s="4" t="s">
        <v>55</v>
      </c>
      <c r="Y123" s="21" t="s">
        <v>56</v>
      </c>
      <c r="Z123" s="21"/>
      <c r="AA123" s="4" t="s">
        <v>46</v>
      </c>
      <c r="AB123" s="4" t="s">
        <v>47</v>
      </c>
      <c r="AC123" s="4" t="s">
        <v>57</v>
      </c>
      <c r="AD123" s="4" t="s">
        <v>58</v>
      </c>
      <c r="AE123" s="4" t="s">
        <v>48</v>
      </c>
      <c r="AF123" s="4" t="s">
        <v>41</v>
      </c>
      <c r="AG123" s="4" t="s">
        <v>141</v>
      </c>
    </row>
    <row r="124" spans="1:33" ht="16.5" customHeight="1" x14ac:dyDescent="0.2">
      <c r="A124" s="2" t="s">
        <v>31</v>
      </c>
      <c r="B124" s="19" t="s">
        <v>50</v>
      </c>
      <c r="C124" s="19"/>
      <c r="D124" s="19"/>
      <c r="E124" s="20" t="s">
        <v>33</v>
      </c>
      <c r="F124" s="20"/>
      <c r="G124" s="21" t="s">
        <v>132</v>
      </c>
      <c r="H124" s="21"/>
      <c r="I124" s="21"/>
      <c r="J124" s="3" t="s">
        <v>35</v>
      </c>
      <c r="K124" s="4" t="s">
        <v>74</v>
      </c>
      <c r="L124" s="4" t="s">
        <v>278</v>
      </c>
      <c r="N124" s="21" t="s">
        <v>392</v>
      </c>
      <c r="O124" s="21"/>
      <c r="P124" s="21" t="s">
        <v>393</v>
      </c>
      <c r="Q124" s="21"/>
      <c r="R124" s="21"/>
      <c r="S124" s="3" t="s">
        <v>40</v>
      </c>
      <c r="T124" s="21" t="s">
        <v>41</v>
      </c>
      <c r="U124" s="21"/>
      <c r="V124" s="4" t="s">
        <v>42</v>
      </c>
      <c r="W124" s="4" t="s">
        <v>43</v>
      </c>
      <c r="X124" s="4" t="s">
        <v>44</v>
      </c>
      <c r="Y124" s="21" t="s">
        <v>65</v>
      </c>
      <c r="Z124" s="21"/>
      <c r="AA124" s="4" t="s">
        <v>46</v>
      </c>
      <c r="AB124" s="4" t="s">
        <v>47</v>
      </c>
      <c r="AC124" s="4" t="s">
        <v>57</v>
      </c>
      <c r="AD124" s="4" t="s">
        <v>283</v>
      </c>
      <c r="AE124" s="4" t="s">
        <v>48</v>
      </c>
      <c r="AF124" s="4" t="s">
        <v>41</v>
      </c>
      <c r="AG124" s="4" t="s">
        <v>141</v>
      </c>
    </row>
    <row r="125" spans="1:33" ht="16.5" customHeight="1" x14ac:dyDescent="0.2">
      <c r="A125" s="2" t="s">
        <v>31</v>
      </c>
      <c r="B125" s="19" t="s">
        <v>110</v>
      </c>
      <c r="C125" s="19"/>
      <c r="D125" s="19"/>
      <c r="E125" s="20" t="s">
        <v>33</v>
      </c>
      <c r="F125" s="20"/>
      <c r="G125" s="21" t="s">
        <v>132</v>
      </c>
      <c r="H125" s="21"/>
      <c r="I125" s="21"/>
      <c r="J125" s="3" t="s">
        <v>35</v>
      </c>
      <c r="K125" s="4" t="s">
        <v>394</v>
      </c>
      <c r="N125" s="21" t="s">
        <v>395</v>
      </c>
      <c r="O125" s="21"/>
      <c r="P125" s="21" t="s">
        <v>396</v>
      </c>
      <c r="Q125" s="21"/>
      <c r="R125" s="21"/>
      <c r="S125" s="3" t="s">
        <v>40</v>
      </c>
      <c r="T125" s="21" t="s">
        <v>397</v>
      </c>
      <c r="U125" s="21"/>
      <c r="V125" s="4" t="s">
        <v>59</v>
      </c>
      <c r="W125" s="4" t="s">
        <v>104</v>
      </c>
      <c r="X125" s="4" t="s">
        <v>109</v>
      </c>
      <c r="Y125" s="21" t="s">
        <v>398</v>
      </c>
      <c r="Z125" s="21"/>
      <c r="AA125" s="4" t="s">
        <v>46</v>
      </c>
      <c r="AB125" s="4" t="s">
        <v>117</v>
      </c>
      <c r="AC125" s="4" t="s">
        <v>399</v>
      </c>
      <c r="AD125" s="4" t="s">
        <v>400</v>
      </c>
      <c r="AE125" s="4" t="s">
        <v>48</v>
      </c>
      <c r="AF125" s="4" t="s">
        <v>41</v>
      </c>
      <c r="AG125" s="4" t="s">
        <v>141</v>
      </c>
    </row>
    <row r="126" spans="1:33" ht="16.5" customHeight="1" x14ac:dyDescent="0.2">
      <c r="A126" s="2" t="s">
        <v>31</v>
      </c>
      <c r="B126" s="19" t="s">
        <v>110</v>
      </c>
      <c r="C126" s="19"/>
      <c r="D126" s="19"/>
      <c r="E126" s="20" t="s">
        <v>33</v>
      </c>
      <c r="F126" s="20"/>
      <c r="G126" s="21" t="s">
        <v>132</v>
      </c>
      <c r="H126" s="21"/>
      <c r="I126" s="21"/>
      <c r="J126" s="3" t="s">
        <v>35</v>
      </c>
      <c r="K126" s="4" t="s">
        <v>394</v>
      </c>
      <c r="N126" s="21" t="s">
        <v>401</v>
      </c>
      <c r="O126" s="21"/>
      <c r="P126" s="21" t="s">
        <v>402</v>
      </c>
      <c r="Q126" s="21"/>
      <c r="R126" s="21"/>
      <c r="S126" s="3" t="s">
        <v>40</v>
      </c>
      <c r="T126" s="21" t="s">
        <v>403</v>
      </c>
      <c r="U126" s="21"/>
      <c r="V126" s="4" t="s">
        <v>404</v>
      </c>
      <c r="W126" s="4" t="s">
        <v>405</v>
      </c>
      <c r="X126" s="4" t="s">
        <v>131</v>
      </c>
      <c r="Y126" s="21" t="s">
        <v>398</v>
      </c>
      <c r="Z126" s="21"/>
      <c r="AA126" s="4" t="s">
        <v>46</v>
      </c>
      <c r="AB126" s="4" t="s">
        <v>117</v>
      </c>
      <c r="AC126" s="4" t="s">
        <v>399</v>
      </c>
      <c r="AD126" s="4" t="s">
        <v>406</v>
      </c>
      <c r="AE126" s="4" t="s">
        <v>48</v>
      </c>
      <c r="AF126" s="4" t="s">
        <v>41</v>
      </c>
      <c r="AG126" s="4" t="s">
        <v>141</v>
      </c>
    </row>
    <row r="127" spans="1:33" ht="16.5" customHeight="1" x14ac:dyDescent="0.2">
      <c r="A127" s="2" t="s">
        <v>31</v>
      </c>
      <c r="B127" s="19" t="s">
        <v>50</v>
      </c>
      <c r="C127" s="19"/>
      <c r="D127" s="19"/>
      <c r="E127" s="20" t="s">
        <v>33</v>
      </c>
      <c r="F127" s="20"/>
      <c r="G127" s="21" t="s">
        <v>407</v>
      </c>
      <c r="H127" s="21"/>
      <c r="I127" s="21"/>
      <c r="J127" s="3" t="s">
        <v>35</v>
      </c>
      <c r="K127" s="4" t="s">
        <v>152</v>
      </c>
      <c r="L127" s="4" t="s">
        <v>37</v>
      </c>
      <c r="N127" s="21" t="s">
        <v>408</v>
      </c>
      <c r="O127" s="21"/>
      <c r="P127" s="21" t="s">
        <v>409</v>
      </c>
      <c r="Q127" s="21"/>
      <c r="R127" s="21"/>
      <c r="S127" s="3" t="s">
        <v>40</v>
      </c>
      <c r="T127" s="21" t="s">
        <v>41</v>
      </c>
      <c r="U127" s="21"/>
      <c r="V127" s="4" t="s">
        <v>42</v>
      </c>
      <c r="W127" s="4" t="s">
        <v>410</v>
      </c>
      <c r="X127" s="4" t="s">
        <v>411</v>
      </c>
      <c r="Y127" s="21" t="s">
        <v>56</v>
      </c>
      <c r="Z127" s="21"/>
      <c r="AA127" s="4" t="s">
        <v>46</v>
      </c>
      <c r="AB127" s="4" t="s">
        <v>47</v>
      </c>
      <c r="AC127" s="4" t="s">
        <v>139</v>
      </c>
      <c r="AD127" s="4" t="s">
        <v>140</v>
      </c>
      <c r="AE127" s="4" t="s">
        <v>48</v>
      </c>
      <c r="AF127" s="4" t="s">
        <v>41</v>
      </c>
      <c r="AG127" s="4" t="s">
        <v>412</v>
      </c>
    </row>
    <row r="128" spans="1:33" ht="16.5" customHeight="1" x14ac:dyDescent="0.2">
      <c r="A128" s="2" t="s">
        <v>31</v>
      </c>
      <c r="B128" s="19" t="s">
        <v>50</v>
      </c>
      <c r="C128" s="19"/>
      <c r="D128" s="19"/>
      <c r="E128" s="20" t="s">
        <v>33</v>
      </c>
      <c r="F128" s="20"/>
      <c r="G128" s="21" t="s">
        <v>407</v>
      </c>
      <c r="H128" s="21"/>
      <c r="I128" s="21"/>
      <c r="J128" s="3" t="s">
        <v>35</v>
      </c>
      <c r="K128" s="4" t="s">
        <v>413</v>
      </c>
      <c r="L128" s="4" t="s">
        <v>37</v>
      </c>
      <c r="N128" s="21" t="s">
        <v>414</v>
      </c>
      <c r="O128" s="21"/>
      <c r="P128" s="21" t="s">
        <v>415</v>
      </c>
      <c r="Q128" s="21"/>
      <c r="R128" s="21"/>
      <c r="S128" s="3" t="s">
        <v>40</v>
      </c>
      <c r="T128" s="21" t="s">
        <v>41</v>
      </c>
      <c r="U128" s="21"/>
      <c r="V128" s="4" t="s">
        <v>42</v>
      </c>
      <c r="W128" s="4" t="s">
        <v>43</v>
      </c>
      <c r="X128" s="4" t="s">
        <v>44</v>
      </c>
      <c r="Y128" s="21" t="s">
        <v>198</v>
      </c>
      <c r="Z128" s="21"/>
      <c r="AA128" s="4" t="s">
        <v>46</v>
      </c>
      <c r="AB128" s="4" t="s">
        <v>47</v>
      </c>
      <c r="AC128" s="4" t="s">
        <v>257</v>
      </c>
      <c r="AD128" s="4" t="s">
        <v>258</v>
      </c>
      <c r="AE128" s="4" t="s">
        <v>48</v>
      </c>
      <c r="AF128" s="4" t="s">
        <v>41</v>
      </c>
      <c r="AG128" s="4" t="s">
        <v>412</v>
      </c>
    </row>
    <row r="129" spans="1:33" ht="16.5" customHeight="1" x14ac:dyDescent="0.2">
      <c r="A129" s="2" t="s">
        <v>31</v>
      </c>
      <c r="B129" s="19" t="s">
        <v>50</v>
      </c>
      <c r="C129" s="19"/>
      <c r="D129" s="19"/>
      <c r="E129" s="20" t="s">
        <v>33</v>
      </c>
      <c r="F129" s="20"/>
      <c r="G129" s="21" t="s">
        <v>407</v>
      </c>
      <c r="H129" s="21"/>
      <c r="I129" s="21"/>
      <c r="J129" s="3" t="s">
        <v>35</v>
      </c>
      <c r="K129" s="4" t="s">
        <v>413</v>
      </c>
      <c r="L129" s="4" t="s">
        <v>37</v>
      </c>
      <c r="N129" s="21" t="s">
        <v>414</v>
      </c>
      <c r="O129" s="21"/>
      <c r="P129" s="21" t="s">
        <v>415</v>
      </c>
      <c r="Q129" s="21"/>
      <c r="R129" s="21"/>
      <c r="S129" s="3" t="s">
        <v>40</v>
      </c>
      <c r="T129" s="21" t="s">
        <v>41</v>
      </c>
      <c r="U129" s="21"/>
      <c r="V129" s="4" t="s">
        <v>59</v>
      </c>
      <c r="W129" s="4" t="s">
        <v>43</v>
      </c>
      <c r="X129" s="4" t="s">
        <v>319</v>
      </c>
      <c r="Y129" s="21" t="s">
        <v>198</v>
      </c>
      <c r="Z129" s="21"/>
      <c r="AA129" s="4" t="s">
        <v>46</v>
      </c>
      <c r="AB129" s="4" t="s">
        <v>47</v>
      </c>
      <c r="AC129" s="4" t="s">
        <v>257</v>
      </c>
      <c r="AD129" s="4" t="s">
        <v>258</v>
      </c>
      <c r="AE129" s="4" t="s">
        <v>48</v>
      </c>
      <c r="AF129" s="4" t="s">
        <v>41</v>
      </c>
      <c r="AG129" s="4" t="s">
        <v>412</v>
      </c>
    </row>
    <row r="130" spans="1:33" ht="16.5" customHeight="1" x14ac:dyDescent="0.2">
      <c r="A130" s="2" t="s">
        <v>31</v>
      </c>
      <c r="B130" s="19" t="s">
        <v>50</v>
      </c>
      <c r="C130" s="19"/>
      <c r="D130" s="19"/>
      <c r="E130" s="20" t="s">
        <v>33</v>
      </c>
      <c r="F130" s="20"/>
      <c r="G130" s="21" t="s">
        <v>407</v>
      </c>
      <c r="H130" s="21"/>
      <c r="I130" s="21"/>
      <c r="J130" s="3" t="s">
        <v>35</v>
      </c>
      <c r="K130" s="4" t="s">
        <v>99</v>
      </c>
      <c r="L130" s="4" t="s">
        <v>68</v>
      </c>
      <c r="N130" s="21" t="s">
        <v>416</v>
      </c>
      <c r="O130" s="21"/>
      <c r="P130" s="21" t="s">
        <v>417</v>
      </c>
      <c r="Q130" s="21"/>
      <c r="R130" s="21"/>
      <c r="S130" s="3" t="s">
        <v>40</v>
      </c>
      <c r="T130" s="21" t="s">
        <v>41</v>
      </c>
      <c r="U130" s="21"/>
      <c r="V130" s="4" t="s">
        <v>42</v>
      </c>
      <c r="W130" s="4" t="s">
        <v>410</v>
      </c>
      <c r="X130" s="4" t="s">
        <v>411</v>
      </c>
      <c r="Y130" s="21" t="s">
        <v>56</v>
      </c>
      <c r="Z130" s="21"/>
      <c r="AA130" s="4" t="s">
        <v>46</v>
      </c>
      <c r="AB130" s="4" t="s">
        <v>47</v>
      </c>
      <c r="AC130" s="4" t="s">
        <v>139</v>
      </c>
      <c r="AD130" s="4" t="s">
        <v>151</v>
      </c>
      <c r="AE130" s="4" t="s">
        <v>48</v>
      </c>
      <c r="AF130" s="4" t="s">
        <v>41</v>
      </c>
      <c r="AG130" s="4" t="s">
        <v>412</v>
      </c>
    </row>
    <row r="131" spans="1:33" ht="16.5" customHeight="1" x14ac:dyDescent="0.2">
      <c r="A131" s="2" t="s">
        <v>31</v>
      </c>
      <c r="B131" s="19" t="s">
        <v>50</v>
      </c>
      <c r="C131" s="19"/>
      <c r="D131" s="19"/>
      <c r="E131" s="20" t="s">
        <v>33</v>
      </c>
      <c r="F131" s="20"/>
      <c r="G131" s="21" t="s">
        <v>407</v>
      </c>
      <c r="H131" s="21"/>
      <c r="I131" s="21"/>
      <c r="J131" s="3" t="s">
        <v>35</v>
      </c>
      <c r="K131" s="4" t="s">
        <v>413</v>
      </c>
      <c r="L131" s="4" t="s">
        <v>37</v>
      </c>
      <c r="N131" s="21" t="s">
        <v>418</v>
      </c>
      <c r="O131" s="21"/>
      <c r="P131" s="21" t="s">
        <v>419</v>
      </c>
      <c r="Q131" s="21"/>
      <c r="R131" s="21"/>
      <c r="S131" s="3" t="s">
        <v>40</v>
      </c>
      <c r="T131" s="21" t="s">
        <v>41</v>
      </c>
      <c r="U131" s="21"/>
      <c r="V131" s="4" t="s">
        <v>42</v>
      </c>
      <c r="W131" s="4" t="s">
        <v>420</v>
      </c>
      <c r="X131" s="4" t="s">
        <v>421</v>
      </c>
      <c r="Y131" s="21" t="s">
        <v>198</v>
      </c>
      <c r="Z131" s="21"/>
      <c r="AA131" s="4" t="s">
        <v>46</v>
      </c>
      <c r="AB131" s="4" t="s">
        <v>47</v>
      </c>
      <c r="AC131" s="4" t="s">
        <v>257</v>
      </c>
      <c r="AD131" s="4" t="s">
        <v>258</v>
      </c>
      <c r="AE131" s="4" t="s">
        <v>48</v>
      </c>
      <c r="AF131" s="4" t="s">
        <v>41</v>
      </c>
      <c r="AG131" s="4" t="s">
        <v>412</v>
      </c>
    </row>
    <row r="132" spans="1:33" ht="16.5" customHeight="1" x14ac:dyDescent="0.2">
      <c r="A132" s="2" t="s">
        <v>31</v>
      </c>
      <c r="B132" s="19" t="s">
        <v>50</v>
      </c>
      <c r="C132" s="19"/>
      <c r="D132" s="19"/>
      <c r="E132" s="20" t="s">
        <v>33</v>
      </c>
      <c r="F132" s="20"/>
      <c r="G132" s="21" t="s">
        <v>407</v>
      </c>
      <c r="H132" s="21"/>
      <c r="I132" s="21"/>
      <c r="J132" s="3" t="s">
        <v>35</v>
      </c>
      <c r="K132" s="4" t="s">
        <v>82</v>
      </c>
      <c r="L132" s="4" t="s">
        <v>37</v>
      </c>
      <c r="N132" s="21" t="s">
        <v>422</v>
      </c>
      <c r="O132" s="21"/>
      <c r="P132" s="21" t="s">
        <v>423</v>
      </c>
      <c r="Q132" s="21"/>
      <c r="R132" s="21"/>
      <c r="S132" s="3" t="s">
        <v>40</v>
      </c>
      <c r="T132" s="21" t="s">
        <v>41</v>
      </c>
      <c r="U132" s="21"/>
      <c r="V132" s="4" t="s">
        <v>42</v>
      </c>
      <c r="W132" s="4" t="s">
        <v>424</v>
      </c>
      <c r="X132" s="4" t="s">
        <v>425</v>
      </c>
      <c r="Y132" s="21" t="s">
        <v>56</v>
      </c>
      <c r="Z132" s="21"/>
      <c r="AA132" s="4" t="s">
        <v>46</v>
      </c>
      <c r="AB132" s="4" t="s">
        <v>47</v>
      </c>
      <c r="AC132" s="4" t="s">
        <v>139</v>
      </c>
      <c r="AD132" s="4" t="s">
        <v>140</v>
      </c>
      <c r="AE132" s="4" t="s">
        <v>48</v>
      </c>
      <c r="AF132" s="4" t="s">
        <v>41</v>
      </c>
      <c r="AG132" s="4" t="s">
        <v>412</v>
      </c>
    </row>
    <row r="133" spans="1:33" ht="16.5" customHeight="1" x14ac:dyDescent="0.2">
      <c r="A133" s="2" t="s">
        <v>31</v>
      </c>
      <c r="B133" s="19" t="s">
        <v>110</v>
      </c>
      <c r="C133" s="19"/>
      <c r="D133" s="19"/>
      <c r="E133" s="20" t="s">
        <v>33</v>
      </c>
      <c r="F133" s="20"/>
      <c r="G133" s="21" t="s">
        <v>407</v>
      </c>
      <c r="H133" s="21"/>
      <c r="I133" s="21"/>
      <c r="J133" s="3" t="s">
        <v>111</v>
      </c>
      <c r="K133" s="4" t="s">
        <v>426</v>
      </c>
      <c r="N133" s="21" t="s">
        <v>422</v>
      </c>
      <c r="O133" s="21"/>
      <c r="P133" s="21" t="s">
        <v>423</v>
      </c>
      <c r="Q133" s="21"/>
      <c r="R133" s="21"/>
      <c r="S133" s="3" t="s">
        <v>40</v>
      </c>
      <c r="T133" s="21" t="s">
        <v>427</v>
      </c>
      <c r="U133" s="21"/>
      <c r="V133" s="4" t="s">
        <v>42</v>
      </c>
      <c r="W133" s="4" t="s">
        <v>54</v>
      </c>
      <c r="X133" s="4" t="s">
        <v>162</v>
      </c>
      <c r="Y133" s="21" t="s">
        <v>116</v>
      </c>
      <c r="Z133" s="21"/>
      <c r="AA133" s="4" t="s">
        <v>46</v>
      </c>
      <c r="AB133" s="4" t="s">
        <v>117</v>
      </c>
      <c r="AC133" s="4" t="s">
        <v>243</v>
      </c>
      <c r="AD133" s="4" t="s">
        <v>428</v>
      </c>
      <c r="AE133" s="4" t="s">
        <v>48</v>
      </c>
      <c r="AF133" s="4" t="s">
        <v>41</v>
      </c>
      <c r="AG133" s="4" t="s">
        <v>412</v>
      </c>
    </row>
    <row r="134" spans="1:33" ht="16.5" customHeight="1" x14ac:dyDescent="0.2">
      <c r="A134" s="2" t="s">
        <v>31</v>
      </c>
      <c r="B134" s="19" t="s">
        <v>50</v>
      </c>
      <c r="C134" s="19"/>
      <c r="D134" s="19"/>
      <c r="E134" s="20" t="s">
        <v>33</v>
      </c>
      <c r="F134" s="20"/>
      <c r="G134" s="21" t="s">
        <v>407</v>
      </c>
      <c r="H134" s="21"/>
      <c r="I134" s="21"/>
      <c r="J134" s="3" t="s">
        <v>35</v>
      </c>
      <c r="K134" s="4" t="s">
        <v>383</v>
      </c>
      <c r="L134" s="4" t="s">
        <v>37</v>
      </c>
      <c r="N134" s="21" t="s">
        <v>429</v>
      </c>
      <c r="O134" s="21"/>
      <c r="P134" s="21" t="s">
        <v>430</v>
      </c>
      <c r="Q134" s="21"/>
      <c r="R134" s="21"/>
      <c r="S134" s="3" t="s">
        <v>40</v>
      </c>
      <c r="T134" s="21" t="s">
        <v>41</v>
      </c>
      <c r="U134" s="21"/>
      <c r="V134" s="4" t="s">
        <v>42</v>
      </c>
      <c r="W134" s="4" t="s">
        <v>431</v>
      </c>
      <c r="X134" s="4" t="s">
        <v>432</v>
      </c>
      <c r="Y134" s="21" t="s">
        <v>198</v>
      </c>
      <c r="Z134" s="21"/>
      <c r="AA134" s="4" t="s">
        <v>46</v>
      </c>
      <c r="AB134" s="4" t="s">
        <v>47</v>
      </c>
      <c r="AC134" s="4" t="s">
        <v>257</v>
      </c>
      <c r="AD134" s="4" t="s">
        <v>258</v>
      </c>
      <c r="AE134" s="4" t="s">
        <v>48</v>
      </c>
      <c r="AF134" s="4" t="s">
        <v>41</v>
      </c>
      <c r="AG134" s="4" t="s">
        <v>412</v>
      </c>
    </row>
    <row r="135" spans="1:33" ht="16.5" customHeight="1" x14ac:dyDescent="0.2">
      <c r="A135" s="2" t="s">
        <v>31</v>
      </c>
      <c r="B135" s="19" t="s">
        <v>50</v>
      </c>
      <c r="C135" s="19"/>
      <c r="D135" s="19"/>
      <c r="E135" s="20" t="s">
        <v>33</v>
      </c>
      <c r="F135" s="20"/>
      <c r="G135" s="21" t="s">
        <v>407</v>
      </c>
      <c r="H135" s="21"/>
      <c r="I135" s="21"/>
      <c r="J135" s="3" t="s">
        <v>35</v>
      </c>
      <c r="K135" s="4" t="s">
        <v>152</v>
      </c>
      <c r="L135" s="4" t="s">
        <v>37</v>
      </c>
      <c r="N135" s="21" t="s">
        <v>433</v>
      </c>
      <c r="O135" s="21"/>
      <c r="P135" s="21" t="s">
        <v>434</v>
      </c>
      <c r="Q135" s="21"/>
      <c r="R135" s="21"/>
      <c r="S135" s="3" t="s">
        <v>40</v>
      </c>
      <c r="T135" s="21" t="s">
        <v>41</v>
      </c>
      <c r="U135" s="21"/>
      <c r="V135" s="4" t="s">
        <v>42</v>
      </c>
      <c r="W135" s="4" t="s">
        <v>410</v>
      </c>
      <c r="X135" s="4" t="s">
        <v>411</v>
      </c>
      <c r="Y135" s="21" t="s">
        <v>56</v>
      </c>
      <c r="Z135" s="21"/>
      <c r="AA135" s="4" t="s">
        <v>46</v>
      </c>
      <c r="AB135" s="4" t="s">
        <v>47</v>
      </c>
      <c r="AC135" s="4" t="s">
        <v>139</v>
      </c>
      <c r="AD135" s="4" t="s">
        <v>140</v>
      </c>
      <c r="AE135" s="4" t="s">
        <v>48</v>
      </c>
      <c r="AF135" s="4" t="s">
        <v>41</v>
      </c>
      <c r="AG135" s="4" t="s">
        <v>412</v>
      </c>
    </row>
    <row r="136" spans="1:33" ht="16.5" customHeight="1" x14ac:dyDescent="0.2">
      <c r="A136" s="2" t="s">
        <v>31</v>
      </c>
      <c r="B136" s="19" t="s">
        <v>50</v>
      </c>
      <c r="C136" s="19"/>
      <c r="D136" s="19"/>
      <c r="E136" s="20" t="s">
        <v>33</v>
      </c>
      <c r="F136" s="20"/>
      <c r="G136" s="21" t="s">
        <v>407</v>
      </c>
      <c r="H136" s="21"/>
      <c r="I136" s="21"/>
      <c r="J136" s="3" t="s">
        <v>35</v>
      </c>
      <c r="K136" s="4" t="s">
        <v>51</v>
      </c>
      <c r="L136" s="4" t="s">
        <v>278</v>
      </c>
      <c r="N136" s="21" t="s">
        <v>435</v>
      </c>
      <c r="O136" s="21"/>
      <c r="P136" s="21" t="s">
        <v>436</v>
      </c>
      <c r="Q136" s="21"/>
      <c r="R136" s="21"/>
      <c r="S136" s="3" t="s">
        <v>40</v>
      </c>
      <c r="T136" s="21" t="s">
        <v>41</v>
      </c>
      <c r="U136" s="21"/>
      <c r="V136" s="4" t="s">
        <v>42</v>
      </c>
      <c r="W136" s="4" t="s">
        <v>268</v>
      </c>
      <c r="X136" s="4" t="s">
        <v>269</v>
      </c>
      <c r="Y136" s="21" t="s">
        <v>56</v>
      </c>
      <c r="Z136" s="21"/>
      <c r="AA136" s="4" t="s">
        <v>46</v>
      </c>
      <c r="AB136" s="4" t="s">
        <v>47</v>
      </c>
      <c r="AC136" s="4" t="s">
        <v>139</v>
      </c>
      <c r="AD136" s="4" t="s">
        <v>69</v>
      </c>
      <c r="AE136" s="4" t="s">
        <v>48</v>
      </c>
      <c r="AF136" s="4" t="s">
        <v>41</v>
      </c>
      <c r="AG136" s="4" t="s">
        <v>412</v>
      </c>
    </row>
    <row r="137" spans="1:33" ht="16.5" customHeight="1" x14ac:dyDescent="0.2">
      <c r="A137" s="2" t="s">
        <v>31</v>
      </c>
      <c r="B137" s="19" t="s">
        <v>50</v>
      </c>
      <c r="C137" s="19"/>
      <c r="D137" s="19"/>
      <c r="E137" s="20" t="s">
        <v>33</v>
      </c>
      <c r="F137" s="20"/>
      <c r="G137" s="21" t="s">
        <v>407</v>
      </c>
      <c r="H137" s="21"/>
      <c r="I137" s="21"/>
      <c r="J137" s="3" t="s">
        <v>35</v>
      </c>
      <c r="K137" s="4" t="s">
        <v>193</v>
      </c>
      <c r="L137" s="4" t="s">
        <v>37</v>
      </c>
      <c r="N137" s="21" t="s">
        <v>437</v>
      </c>
      <c r="O137" s="21"/>
      <c r="P137" s="21" t="s">
        <v>438</v>
      </c>
      <c r="Q137" s="21"/>
      <c r="R137" s="21"/>
      <c r="S137" s="3" t="s">
        <v>40</v>
      </c>
      <c r="T137" s="21" t="s">
        <v>41</v>
      </c>
      <c r="U137" s="21"/>
      <c r="V137" s="4" t="s">
        <v>42</v>
      </c>
      <c r="W137" s="4" t="s">
        <v>410</v>
      </c>
      <c r="X137" s="4" t="s">
        <v>411</v>
      </c>
      <c r="Y137" s="21" t="s">
        <v>198</v>
      </c>
      <c r="Z137" s="21"/>
      <c r="AA137" s="4" t="s">
        <v>46</v>
      </c>
      <c r="AB137" s="4" t="s">
        <v>47</v>
      </c>
      <c r="AC137" s="4" t="s">
        <v>257</v>
      </c>
      <c r="AD137" s="4" t="s">
        <v>258</v>
      </c>
      <c r="AE137" s="4" t="s">
        <v>48</v>
      </c>
      <c r="AF137" s="4" t="s">
        <v>41</v>
      </c>
      <c r="AG137" s="4" t="s">
        <v>412</v>
      </c>
    </row>
    <row r="138" spans="1:33" ht="16.5" customHeight="1" x14ac:dyDescent="0.2">
      <c r="A138" s="2" t="s">
        <v>31</v>
      </c>
      <c r="B138" s="19" t="s">
        <v>50</v>
      </c>
      <c r="C138" s="19"/>
      <c r="D138" s="19"/>
      <c r="E138" s="20" t="s">
        <v>33</v>
      </c>
      <c r="F138" s="20"/>
      <c r="G138" s="21" t="s">
        <v>407</v>
      </c>
      <c r="H138" s="21"/>
      <c r="I138" s="21"/>
      <c r="J138" s="3" t="s">
        <v>35</v>
      </c>
      <c r="K138" s="4" t="s">
        <v>204</v>
      </c>
      <c r="L138" s="4" t="s">
        <v>37</v>
      </c>
      <c r="N138" s="21" t="s">
        <v>439</v>
      </c>
      <c r="O138" s="21"/>
      <c r="P138" s="21" t="s">
        <v>440</v>
      </c>
      <c r="Q138" s="21"/>
      <c r="R138" s="21"/>
      <c r="S138" s="3" t="s">
        <v>40</v>
      </c>
      <c r="T138" s="21" t="s">
        <v>41</v>
      </c>
      <c r="U138" s="21"/>
      <c r="V138" s="4" t="s">
        <v>42</v>
      </c>
      <c r="W138" s="4" t="s">
        <v>310</v>
      </c>
      <c r="X138" s="4" t="s">
        <v>311</v>
      </c>
      <c r="Y138" s="21" t="s">
        <v>198</v>
      </c>
      <c r="Z138" s="21"/>
      <c r="AA138" s="4" t="s">
        <v>46</v>
      </c>
      <c r="AB138" s="4" t="s">
        <v>47</v>
      </c>
      <c r="AC138" s="4" t="s">
        <v>139</v>
      </c>
      <c r="AD138" s="4" t="s">
        <v>140</v>
      </c>
      <c r="AE138" s="4" t="s">
        <v>48</v>
      </c>
      <c r="AF138" s="4" t="s">
        <v>41</v>
      </c>
      <c r="AG138" s="4" t="s">
        <v>412</v>
      </c>
    </row>
    <row r="139" spans="1:33" ht="16.5" customHeight="1" x14ac:dyDescent="0.2">
      <c r="A139" s="2" t="s">
        <v>31</v>
      </c>
      <c r="B139" s="19" t="s">
        <v>50</v>
      </c>
      <c r="C139" s="19"/>
      <c r="D139" s="19"/>
      <c r="E139" s="20" t="s">
        <v>33</v>
      </c>
      <c r="F139" s="20"/>
      <c r="G139" s="21" t="s">
        <v>407</v>
      </c>
      <c r="H139" s="21"/>
      <c r="I139" s="21"/>
      <c r="J139" s="3" t="s">
        <v>35</v>
      </c>
      <c r="K139" s="4" t="s">
        <v>152</v>
      </c>
      <c r="L139" s="4" t="s">
        <v>37</v>
      </c>
      <c r="N139" s="21" t="s">
        <v>441</v>
      </c>
      <c r="O139" s="21"/>
      <c r="P139" s="21" t="s">
        <v>442</v>
      </c>
      <c r="Q139" s="21"/>
      <c r="R139" s="21"/>
      <c r="S139" s="3" t="s">
        <v>40</v>
      </c>
      <c r="T139" s="21" t="s">
        <v>41</v>
      </c>
      <c r="U139" s="21"/>
      <c r="V139" s="4" t="s">
        <v>42</v>
      </c>
      <c r="W139" s="4" t="s">
        <v>443</v>
      </c>
      <c r="X139" s="4" t="s">
        <v>444</v>
      </c>
      <c r="Y139" s="21" t="s">
        <v>56</v>
      </c>
      <c r="Z139" s="21"/>
      <c r="AA139" s="4" t="s">
        <v>46</v>
      </c>
      <c r="AB139" s="4" t="s">
        <v>47</v>
      </c>
      <c r="AC139" s="4" t="s">
        <v>139</v>
      </c>
      <c r="AD139" s="4" t="s">
        <v>140</v>
      </c>
      <c r="AE139" s="4" t="s">
        <v>48</v>
      </c>
      <c r="AF139" s="4" t="s">
        <v>41</v>
      </c>
      <c r="AG139" s="4" t="s">
        <v>412</v>
      </c>
    </row>
    <row r="140" spans="1:33" ht="16.5" customHeight="1" x14ac:dyDescent="0.2">
      <c r="A140" s="2" t="s">
        <v>31</v>
      </c>
      <c r="B140" s="19" t="s">
        <v>50</v>
      </c>
      <c r="C140" s="19"/>
      <c r="D140" s="19"/>
      <c r="E140" s="20" t="s">
        <v>33</v>
      </c>
      <c r="F140" s="20"/>
      <c r="G140" s="21" t="s">
        <v>407</v>
      </c>
      <c r="H140" s="21"/>
      <c r="I140" s="21"/>
      <c r="J140" s="3" t="s">
        <v>35</v>
      </c>
      <c r="K140" s="4" t="s">
        <v>247</v>
      </c>
      <c r="L140" s="4" t="s">
        <v>445</v>
      </c>
      <c r="N140" s="21" t="s">
        <v>446</v>
      </c>
      <c r="O140" s="21"/>
      <c r="P140" s="21" t="s">
        <v>447</v>
      </c>
      <c r="Q140" s="21"/>
      <c r="R140" s="21"/>
      <c r="S140" s="3" t="s">
        <v>40</v>
      </c>
      <c r="T140" s="21" t="s">
        <v>41</v>
      </c>
      <c r="U140" s="21"/>
      <c r="V140" s="4" t="s">
        <v>42</v>
      </c>
      <c r="W140" s="4" t="s">
        <v>229</v>
      </c>
      <c r="X140" s="4" t="s">
        <v>448</v>
      </c>
      <c r="Y140" s="21" t="s">
        <v>65</v>
      </c>
      <c r="Z140" s="21"/>
      <c r="AA140" s="4" t="s">
        <v>46</v>
      </c>
      <c r="AB140" s="4" t="s">
        <v>47</v>
      </c>
      <c r="AC140" s="4" t="s">
        <v>57</v>
      </c>
      <c r="AD140" s="4" t="s">
        <v>449</v>
      </c>
      <c r="AE140" s="4" t="s">
        <v>48</v>
      </c>
      <c r="AF140" s="4" t="s">
        <v>41</v>
      </c>
      <c r="AG140" s="4" t="s">
        <v>412</v>
      </c>
    </row>
    <row r="141" spans="1:33" ht="16.5" customHeight="1" x14ac:dyDescent="0.2">
      <c r="A141" s="2" t="s">
        <v>31</v>
      </c>
      <c r="B141" s="19" t="s">
        <v>50</v>
      </c>
      <c r="C141" s="19"/>
      <c r="D141" s="19"/>
      <c r="E141" s="20" t="s">
        <v>33</v>
      </c>
      <c r="F141" s="20"/>
      <c r="G141" s="21" t="s">
        <v>407</v>
      </c>
      <c r="H141" s="21"/>
      <c r="I141" s="21"/>
      <c r="J141" s="3" t="s">
        <v>35</v>
      </c>
      <c r="K141" s="4" t="s">
        <v>51</v>
      </c>
      <c r="L141" s="4" t="s">
        <v>37</v>
      </c>
      <c r="N141" s="21" t="s">
        <v>450</v>
      </c>
      <c r="O141" s="21"/>
      <c r="P141" s="21" t="s">
        <v>451</v>
      </c>
      <c r="Q141" s="21"/>
      <c r="R141" s="21"/>
      <c r="S141" s="3" t="s">
        <v>40</v>
      </c>
      <c r="T141" s="21" t="s">
        <v>41</v>
      </c>
      <c r="U141" s="21"/>
      <c r="V141" s="4" t="s">
        <v>42</v>
      </c>
      <c r="W141" s="4" t="s">
        <v>452</v>
      </c>
      <c r="X141" s="4" t="s">
        <v>453</v>
      </c>
      <c r="Y141" s="21" t="s">
        <v>56</v>
      </c>
      <c r="Z141" s="21"/>
      <c r="AA141" s="4" t="s">
        <v>46</v>
      </c>
      <c r="AB141" s="4" t="s">
        <v>47</v>
      </c>
      <c r="AC141" s="4" t="s">
        <v>139</v>
      </c>
      <c r="AD141" s="4" t="s">
        <v>140</v>
      </c>
      <c r="AE141" s="4" t="s">
        <v>48</v>
      </c>
      <c r="AF141" s="4" t="s">
        <v>41</v>
      </c>
      <c r="AG141" s="4" t="s">
        <v>412</v>
      </c>
    </row>
    <row r="142" spans="1:33" ht="16.5" customHeight="1" x14ac:dyDescent="0.2">
      <c r="A142" s="2" t="s">
        <v>31</v>
      </c>
      <c r="B142" s="19" t="s">
        <v>50</v>
      </c>
      <c r="C142" s="19"/>
      <c r="D142" s="19"/>
      <c r="E142" s="20" t="s">
        <v>33</v>
      </c>
      <c r="F142" s="20"/>
      <c r="G142" s="21" t="s">
        <v>407</v>
      </c>
      <c r="H142" s="21"/>
      <c r="I142" s="21"/>
      <c r="J142" s="3" t="s">
        <v>35</v>
      </c>
      <c r="K142" s="4" t="s">
        <v>247</v>
      </c>
      <c r="L142" s="4" t="s">
        <v>37</v>
      </c>
      <c r="N142" s="21" t="s">
        <v>454</v>
      </c>
      <c r="O142" s="21"/>
      <c r="P142" s="21" t="s">
        <v>455</v>
      </c>
      <c r="Q142" s="21"/>
      <c r="R142" s="21"/>
      <c r="S142" s="3" t="s">
        <v>40</v>
      </c>
      <c r="T142" s="21" t="s">
        <v>41</v>
      </c>
      <c r="U142" s="21"/>
      <c r="V142" s="4" t="s">
        <v>42</v>
      </c>
      <c r="W142" s="4" t="s">
        <v>330</v>
      </c>
      <c r="X142" s="4" t="s">
        <v>320</v>
      </c>
      <c r="Y142" s="21" t="s">
        <v>65</v>
      </c>
      <c r="Z142" s="21"/>
      <c r="AA142" s="4" t="s">
        <v>46</v>
      </c>
      <c r="AB142" s="4" t="s">
        <v>47</v>
      </c>
      <c r="AC142" s="4" t="s">
        <v>57</v>
      </c>
      <c r="AD142" s="4" t="s">
        <v>58</v>
      </c>
      <c r="AE142" s="4" t="s">
        <v>48</v>
      </c>
      <c r="AF142" s="4" t="s">
        <v>41</v>
      </c>
      <c r="AG142" s="4" t="s">
        <v>412</v>
      </c>
    </row>
    <row r="143" spans="1:33" ht="16.5" customHeight="1" x14ac:dyDescent="0.2">
      <c r="A143" s="2" t="s">
        <v>31</v>
      </c>
      <c r="B143" s="19" t="s">
        <v>50</v>
      </c>
      <c r="C143" s="19"/>
      <c r="D143" s="19"/>
      <c r="E143" s="20" t="s">
        <v>33</v>
      </c>
      <c r="F143" s="20"/>
      <c r="G143" s="21" t="s">
        <v>407</v>
      </c>
      <c r="H143" s="21"/>
      <c r="I143" s="21"/>
      <c r="J143" s="3" t="s">
        <v>35</v>
      </c>
      <c r="K143" s="4" t="s">
        <v>247</v>
      </c>
      <c r="L143" s="4" t="s">
        <v>68</v>
      </c>
      <c r="N143" s="21" t="s">
        <v>456</v>
      </c>
      <c r="O143" s="21"/>
      <c r="P143" s="21" t="s">
        <v>457</v>
      </c>
      <c r="Q143" s="21"/>
      <c r="R143" s="21"/>
      <c r="S143" s="3" t="s">
        <v>40</v>
      </c>
      <c r="T143" s="21" t="s">
        <v>41</v>
      </c>
      <c r="U143" s="21"/>
      <c r="V143" s="4" t="s">
        <v>42</v>
      </c>
      <c r="W143" s="4" t="s">
        <v>157</v>
      </c>
      <c r="X143" s="4" t="s">
        <v>158</v>
      </c>
      <c r="Y143" s="21" t="s">
        <v>65</v>
      </c>
      <c r="Z143" s="21"/>
      <c r="AA143" s="4" t="s">
        <v>46</v>
      </c>
      <c r="AB143" s="4" t="s">
        <v>47</v>
      </c>
      <c r="AC143" s="4" t="s">
        <v>57</v>
      </c>
      <c r="AD143" s="4" t="s">
        <v>98</v>
      </c>
      <c r="AE143" s="4" t="s">
        <v>48</v>
      </c>
      <c r="AF143" s="4" t="s">
        <v>41</v>
      </c>
      <c r="AG143" s="4" t="s">
        <v>412</v>
      </c>
    </row>
    <row r="144" spans="1:33" ht="16.5" customHeight="1" x14ac:dyDescent="0.2">
      <c r="A144" s="2" t="s">
        <v>31</v>
      </c>
      <c r="B144" s="19" t="s">
        <v>50</v>
      </c>
      <c r="C144" s="19"/>
      <c r="D144" s="19"/>
      <c r="E144" s="20" t="s">
        <v>33</v>
      </c>
      <c r="F144" s="20"/>
      <c r="G144" s="21" t="s">
        <v>407</v>
      </c>
      <c r="H144" s="21"/>
      <c r="I144" s="21"/>
      <c r="J144" s="3" t="s">
        <v>35</v>
      </c>
      <c r="K144" s="4" t="s">
        <v>61</v>
      </c>
      <c r="L144" s="4" t="s">
        <v>37</v>
      </c>
      <c r="N144" s="21" t="s">
        <v>458</v>
      </c>
      <c r="O144" s="21"/>
      <c r="P144" s="21" t="s">
        <v>459</v>
      </c>
      <c r="Q144" s="21"/>
      <c r="R144" s="21"/>
      <c r="S144" s="3" t="s">
        <v>40</v>
      </c>
      <c r="T144" s="21" t="s">
        <v>41</v>
      </c>
      <c r="U144" s="21"/>
      <c r="V144" s="4" t="s">
        <v>42</v>
      </c>
      <c r="W144" s="4" t="s">
        <v>157</v>
      </c>
      <c r="X144" s="4" t="s">
        <v>158</v>
      </c>
      <c r="Y144" s="21" t="s">
        <v>65</v>
      </c>
      <c r="Z144" s="21"/>
      <c r="AA144" s="4" t="s">
        <v>46</v>
      </c>
      <c r="AB144" s="4" t="s">
        <v>47</v>
      </c>
      <c r="AC144" s="4" t="s">
        <v>57</v>
      </c>
      <c r="AD144" s="4" t="s">
        <v>58</v>
      </c>
      <c r="AE144" s="4" t="s">
        <v>48</v>
      </c>
      <c r="AF144" s="4" t="s">
        <v>41</v>
      </c>
      <c r="AG144" s="4" t="s">
        <v>412</v>
      </c>
    </row>
    <row r="145" spans="1:33" ht="16.5" customHeight="1" x14ac:dyDescent="0.2">
      <c r="A145" s="2" t="s">
        <v>31</v>
      </c>
      <c r="B145" s="19" t="s">
        <v>50</v>
      </c>
      <c r="C145" s="19"/>
      <c r="D145" s="19"/>
      <c r="E145" s="20" t="s">
        <v>33</v>
      </c>
      <c r="F145" s="20"/>
      <c r="G145" s="21" t="s">
        <v>407</v>
      </c>
      <c r="H145" s="21"/>
      <c r="I145" s="21"/>
      <c r="J145" s="3" t="s">
        <v>35</v>
      </c>
      <c r="K145" s="4" t="s">
        <v>247</v>
      </c>
      <c r="L145" s="4" t="s">
        <v>37</v>
      </c>
      <c r="N145" s="21" t="s">
        <v>460</v>
      </c>
      <c r="O145" s="21"/>
      <c r="P145" s="21" t="s">
        <v>461</v>
      </c>
      <c r="Q145" s="21"/>
      <c r="R145" s="21"/>
      <c r="S145" s="3" t="s">
        <v>40</v>
      </c>
      <c r="T145" s="21" t="s">
        <v>41</v>
      </c>
      <c r="U145" s="21"/>
      <c r="V145" s="4" t="s">
        <v>42</v>
      </c>
      <c r="W145" s="4" t="s">
        <v>209</v>
      </c>
      <c r="X145" s="4" t="s">
        <v>210</v>
      </c>
      <c r="Y145" s="21" t="s">
        <v>65</v>
      </c>
      <c r="Z145" s="21"/>
      <c r="AA145" s="4" t="s">
        <v>46</v>
      </c>
      <c r="AB145" s="4" t="s">
        <v>47</v>
      </c>
      <c r="AC145" s="4" t="s">
        <v>57</v>
      </c>
      <c r="AD145" s="4" t="s">
        <v>58</v>
      </c>
      <c r="AE145" s="4" t="s">
        <v>48</v>
      </c>
      <c r="AF145" s="4" t="s">
        <v>41</v>
      </c>
      <c r="AG145" s="4" t="s">
        <v>412</v>
      </c>
    </row>
    <row r="146" spans="1:33" ht="16.5" customHeight="1" x14ac:dyDescent="0.2">
      <c r="A146" s="2" t="s">
        <v>31</v>
      </c>
      <c r="B146" s="19" t="s">
        <v>50</v>
      </c>
      <c r="C146" s="19"/>
      <c r="D146" s="19"/>
      <c r="E146" s="20" t="s">
        <v>33</v>
      </c>
      <c r="F146" s="20"/>
      <c r="G146" s="21" t="s">
        <v>407</v>
      </c>
      <c r="H146" s="21"/>
      <c r="I146" s="21"/>
      <c r="J146" s="3" t="s">
        <v>35</v>
      </c>
      <c r="K146" s="4" t="s">
        <v>152</v>
      </c>
      <c r="L146" s="4" t="s">
        <v>37</v>
      </c>
      <c r="N146" s="21" t="s">
        <v>462</v>
      </c>
      <c r="O146" s="21"/>
      <c r="P146" s="21" t="s">
        <v>463</v>
      </c>
      <c r="Q146" s="21"/>
      <c r="R146" s="21"/>
      <c r="S146" s="3" t="s">
        <v>40</v>
      </c>
      <c r="T146" s="21" t="s">
        <v>41</v>
      </c>
      <c r="U146" s="21"/>
      <c r="V146" s="4" t="s">
        <v>42</v>
      </c>
      <c r="W146" s="4" t="s">
        <v>272</v>
      </c>
      <c r="X146" s="4" t="s">
        <v>273</v>
      </c>
      <c r="Y146" s="21" t="s">
        <v>56</v>
      </c>
      <c r="Z146" s="21"/>
      <c r="AA146" s="4" t="s">
        <v>46</v>
      </c>
      <c r="AB146" s="4" t="s">
        <v>47</v>
      </c>
      <c r="AC146" s="4" t="s">
        <v>139</v>
      </c>
      <c r="AD146" s="4" t="s">
        <v>140</v>
      </c>
      <c r="AE146" s="4" t="s">
        <v>48</v>
      </c>
      <c r="AF146" s="4" t="s">
        <v>41</v>
      </c>
      <c r="AG146" s="4" t="s">
        <v>412</v>
      </c>
    </row>
    <row r="147" spans="1:33" ht="16.5" customHeight="1" x14ac:dyDescent="0.2">
      <c r="A147" s="2" t="s">
        <v>31</v>
      </c>
      <c r="B147" s="19" t="s">
        <v>50</v>
      </c>
      <c r="C147" s="19"/>
      <c r="D147" s="19"/>
      <c r="E147" s="20" t="s">
        <v>33</v>
      </c>
      <c r="F147" s="20"/>
      <c r="G147" s="21" t="s">
        <v>407</v>
      </c>
      <c r="H147" s="21"/>
      <c r="I147" s="21"/>
      <c r="J147" s="3" t="s">
        <v>35</v>
      </c>
      <c r="K147" s="4" t="s">
        <v>169</v>
      </c>
      <c r="L147" s="4" t="s">
        <v>445</v>
      </c>
      <c r="N147" s="21" t="s">
        <v>464</v>
      </c>
      <c r="O147" s="21"/>
      <c r="P147" s="21" t="s">
        <v>465</v>
      </c>
      <c r="Q147" s="21"/>
      <c r="R147" s="21"/>
      <c r="S147" s="3" t="s">
        <v>40</v>
      </c>
      <c r="T147" s="21" t="s">
        <v>41</v>
      </c>
      <c r="U147" s="21"/>
      <c r="V147" s="4" t="s">
        <v>59</v>
      </c>
      <c r="W147" s="4" t="s">
        <v>272</v>
      </c>
      <c r="X147" s="4" t="s">
        <v>277</v>
      </c>
      <c r="Y147" s="21" t="s">
        <v>56</v>
      </c>
      <c r="Z147" s="21"/>
      <c r="AA147" s="4" t="s">
        <v>46</v>
      </c>
      <c r="AB147" s="4" t="s">
        <v>47</v>
      </c>
      <c r="AC147" s="4" t="s">
        <v>139</v>
      </c>
      <c r="AD147" s="4" t="s">
        <v>466</v>
      </c>
      <c r="AE147" s="4" t="s">
        <v>48</v>
      </c>
      <c r="AF147" s="4" t="s">
        <v>41</v>
      </c>
      <c r="AG147" s="4" t="s">
        <v>412</v>
      </c>
    </row>
    <row r="148" spans="1:33" ht="16.5" customHeight="1" x14ac:dyDescent="0.2">
      <c r="A148" s="2" t="s">
        <v>31</v>
      </c>
      <c r="B148" s="19" t="s">
        <v>50</v>
      </c>
      <c r="C148" s="19"/>
      <c r="D148" s="19"/>
      <c r="E148" s="20" t="s">
        <v>33</v>
      </c>
      <c r="F148" s="20"/>
      <c r="G148" s="21" t="s">
        <v>407</v>
      </c>
      <c r="H148" s="21"/>
      <c r="I148" s="21"/>
      <c r="J148" s="3" t="s">
        <v>35</v>
      </c>
      <c r="K148" s="4" t="s">
        <v>74</v>
      </c>
      <c r="L148" s="4" t="s">
        <v>37</v>
      </c>
      <c r="N148" s="21" t="s">
        <v>467</v>
      </c>
      <c r="O148" s="21"/>
      <c r="P148" s="21" t="s">
        <v>468</v>
      </c>
      <c r="Q148" s="21"/>
      <c r="R148" s="21"/>
      <c r="S148" s="3" t="s">
        <v>40</v>
      </c>
      <c r="T148" s="21" t="s">
        <v>41</v>
      </c>
      <c r="U148" s="21"/>
      <c r="V148" s="4" t="s">
        <v>42</v>
      </c>
      <c r="W148" s="4" t="s">
        <v>469</v>
      </c>
      <c r="X148" s="4" t="s">
        <v>470</v>
      </c>
      <c r="Y148" s="21" t="s">
        <v>65</v>
      </c>
      <c r="Z148" s="21"/>
      <c r="AA148" s="4" t="s">
        <v>46</v>
      </c>
      <c r="AB148" s="4" t="s">
        <v>47</v>
      </c>
      <c r="AC148" s="4" t="s">
        <v>57</v>
      </c>
      <c r="AD148" s="4" t="s">
        <v>58</v>
      </c>
      <c r="AE148" s="4" t="s">
        <v>48</v>
      </c>
      <c r="AF148" s="4" t="s">
        <v>41</v>
      </c>
      <c r="AG148" s="4" t="s">
        <v>412</v>
      </c>
    </row>
    <row r="149" spans="1:33" ht="16.5" customHeight="1" x14ac:dyDescent="0.2">
      <c r="A149" s="2" t="s">
        <v>31</v>
      </c>
      <c r="B149" s="19" t="s">
        <v>50</v>
      </c>
      <c r="C149" s="19"/>
      <c r="D149" s="19"/>
      <c r="E149" s="20" t="s">
        <v>33</v>
      </c>
      <c r="F149" s="20"/>
      <c r="G149" s="21" t="s">
        <v>407</v>
      </c>
      <c r="H149" s="21"/>
      <c r="I149" s="21"/>
      <c r="J149" s="3" t="s">
        <v>35</v>
      </c>
      <c r="K149" s="4" t="s">
        <v>74</v>
      </c>
      <c r="L149" s="4" t="s">
        <v>37</v>
      </c>
      <c r="N149" s="21" t="s">
        <v>467</v>
      </c>
      <c r="O149" s="21"/>
      <c r="P149" s="21" t="s">
        <v>468</v>
      </c>
      <c r="Q149" s="21"/>
      <c r="R149" s="21"/>
      <c r="S149" s="3" t="s">
        <v>40</v>
      </c>
      <c r="T149" s="21" t="s">
        <v>41</v>
      </c>
      <c r="U149" s="21"/>
      <c r="V149" s="4" t="s">
        <v>59</v>
      </c>
      <c r="W149" s="4" t="s">
        <v>469</v>
      </c>
      <c r="X149" s="4" t="s">
        <v>471</v>
      </c>
      <c r="Y149" s="21" t="s">
        <v>65</v>
      </c>
      <c r="Z149" s="21"/>
      <c r="AA149" s="4" t="s">
        <v>46</v>
      </c>
      <c r="AB149" s="4" t="s">
        <v>47</v>
      </c>
      <c r="AC149" s="4" t="s">
        <v>57</v>
      </c>
      <c r="AD149" s="4" t="s">
        <v>58</v>
      </c>
      <c r="AE149" s="4" t="s">
        <v>48</v>
      </c>
      <c r="AF149" s="4" t="s">
        <v>41</v>
      </c>
      <c r="AG149" s="4" t="s">
        <v>412</v>
      </c>
    </row>
    <row r="150" spans="1:33" ht="16.5" customHeight="1" x14ac:dyDescent="0.2">
      <c r="A150" s="2" t="s">
        <v>31</v>
      </c>
      <c r="B150" s="19" t="s">
        <v>50</v>
      </c>
      <c r="C150" s="19"/>
      <c r="D150" s="19"/>
      <c r="E150" s="20" t="s">
        <v>33</v>
      </c>
      <c r="F150" s="20"/>
      <c r="G150" s="21" t="s">
        <v>407</v>
      </c>
      <c r="H150" s="21"/>
      <c r="I150" s="21"/>
      <c r="J150" s="3" t="s">
        <v>35</v>
      </c>
      <c r="K150" s="4" t="s">
        <v>247</v>
      </c>
      <c r="L150" s="4" t="s">
        <v>37</v>
      </c>
      <c r="N150" s="21" t="s">
        <v>472</v>
      </c>
      <c r="O150" s="21"/>
      <c r="P150" s="21" t="s">
        <v>473</v>
      </c>
      <c r="Q150" s="21"/>
      <c r="R150" s="21"/>
      <c r="S150" s="3" t="s">
        <v>40</v>
      </c>
      <c r="T150" s="21" t="s">
        <v>41</v>
      </c>
      <c r="U150" s="21"/>
      <c r="V150" s="4" t="s">
        <v>42</v>
      </c>
      <c r="W150" s="4" t="s">
        <v>202</v>
      </c>
      <c r="X150" s="4" t="s">
        <v>203</v>
      </c>
      <c r="Y150" s="21" t="s">
        <v>65</v>
      </c>
      <c r="Z150" s="21"/>
      <c r="AA150" s="4" t="s">
        <v>46</v>
      </c>
      <c r="AB150" s="4" t="s">
        <v>47</v>
      </c>
      <c r="AC150" s="4" t="s">
        <v>57</v>
      </c>
      <c r="AD150" s="4" t="s">
        <v>58</v>
      </c>
      <c r="AE150" s="4" t="s">
        <v>48</v>
      </c>
      <c r="AF150" s="4" t="s">
        <v>41</v>
      </c>
      <c r="AG150" s="4" t="s">
        <v>412</v>
      </c>
    </row>
    <row r="151" spans="1:33" ht="16.5" customHeight="1" x14ac:dyDescent="0.2">
      <c r="A151" s="2" t="s">
        <v>31</v>
      </c>
      <c r="B151" s="19" t="s">
        <v>50</v>
      </c>
      <c r="C151" s="19"/>
      <c r="D151" s="19"/>
      <c r="E151" s="20" t="s">
        <v>33</v>
      </c>
      <c r="F151" s="20"/>
      <c r="G151" s="21" t="s">
        <v>407</v>
      </c>
      <c r="H151" s="21"/>
      <c r="I151" s="21"/>
      <c r="J151" s="3" t="s">
        <v>35</v>
      </c>
      <c r="K151" s="4" t="s">
        <v>152</v>
      </c>
      <c r="L151" s="4" t="s">
        <v>37</v>
      </c>
      <c r="N151" s="21" t="s">
        <v>474</v>
      </c>
      <c r="O151" s="21"/>
      <c r="P151" s="21" t="s">
        <v>475</v>
      </c>
      <c r="Q151" s="21"/>
      <c r="R151" s="21"/>
      <c r="S151" s="3" t="s">
        <v>40</v>
      </c>
      <c r="T151" s="21" t="s">
        <v>41</v>
      </c>
      <c r="U151" s="21"/>
      <c r="V151" s="4" t="s">
        <v>42</v>
      </c>
      <c r="W151" s="4" t="s">
        <v>476</v>
      </c>
      <c r="X151" s="4" t="s">
        <v>477</v>
      </c>
      <c r="Y151" s="21" t="s">
        <v>56</v>
      </c>
      <c r="Z151" s="21"/>
      <c r="AA151" s="4" t="s">
        <v>46</v>
      </c>
      <c r="AB151" s="4" t="s">
        <v>47</v>
      </c>
      <c r="AC151" s="4" t="s">
        <v>139</v>
      </c>
      <c r="AD151" s="4" t="s">
        <v>140</v>
      </c>
      <c r="AE151" s="4" t="s">
        <v>48</v>
      </c>
      <c r="AF151" s="4" t="s">
        <v>41</v>
      </c>
      <c r="AG151" s="4" t="s">
        <v>412</v>
      </c>
    </row>
    <row r="152" spans="1:33" ht="16.5" customHeight="1" x14ac:dyDescent="0.2">
      <c r="A152" s="2" t="s">
        <v>31</v>
      </c>
      <c r="B152" s="19" t="s">
        <v>50</v>
      </c>
      <c r="C152" s="19"/>
      <c r="D152" s="19"/>
      <c r="E152" s="20" t="s">
        <v>33</v>
      </c>
      <c r="F152" s="20"/>
      <c r="G152" s="21" t="s">
        <v>407</v>
      </c>
      <c r="H152" s="21"/>
      <c r="I152" s="21"/>
      <c r="J152" s="3" t="s">
        <v>35</v>
      </c>
      <c r="K152" s="4" t="s">
        <v>120</v>
      </c>
      <c r="L152" s="4" t="s">
        <v>37</v>
      </c>
      <c r="N152" s="21" t="s">
        <v>478</v>
      </c>
      <c r="O152" s="21"/>
      <c r="P152" s="21" t="s">
        <v>479</v>
      </c>
      <c r="Q152" s="21"/>
      <c r="R152" s="21"/>
      <c r="S152" s="3" t="s">
        <v>40</v>
      </c>
      <c r="T152" s="21" t="s">
        <v>41</v>
      </c>
      <c r="U152" s="21"/>
      <c r="V152" s="4" t="s">
        <v>42</v>
      </c>
      <c r="W152" s="4" t="s">
        <v>43</v>
      </c>
      <c r="X152" s="4" t="s">
        <v>44</v>
      </c>
      <c r="Y152" s="21" t="s">
        <v>65</v>
      </c>
      <c r="Z152" s="21"/>
      <c r="AA152" s="4" t="s">
        <v>46</v>
      </c>
      <c r="AB152" s="4" t="s">
        <v>47</v>
      </c>
      <c r="AC152" s="4" t="s">
        <v>57</v>
      </c>
      <c r="AD152" s="4" t="s">
        <v>58</v>
      </c>
      <c r="AE152" s="4" t="s">
        <v>48</v>
      </c>
      <c r="AF152" s="4" t="s">
        <v>41</v>
      </c>
      <c r="AG152" s="4" t="s">
        <v>412</v>
      </c>
    </row>
    <row r="153" spans="1:33" ht="16.5" customHeight="1" x14ac:dyDescent="0.2">
      <c r="A153" s="2" t="s">
        <v>31</v>
      </c>
      <c r="B153" s="19" t="s">
        <v>50</v>
      </c>
      <c r="C153" s="19"/>
      <c r="D153" s="19"/>
      <c r="E153" s="20" t="s">
        <v>33</v>
      </c>
      <c r="F153" s="20"/>
      <c r="G153" s="21" t="s">
        <v>407</v>
      </c>
      <c r="H153" s="21"/>
      <c r="I153" s="21"/>
      <c r="J153" s="3" t="s">
        <v>35</v>
      </c>
      <c r="K153" s="4" t="s">
        <v>152</v>
      </c>
      <c r="L153" s="4" t="s">
        <v>231</v>
      </c>
      <c r="N153" s="21" t="s">
        <v>480</v>
      </c>
      <c r="O153" s="21"/>
      <c r="P153" s="21" t="s">
        <v>481</v>
      </c>
      <c r="Q153" s="21"/>
      <c r="R153" s="21"/>
      <c r="S153" s="3" t="s">
        <v>40</v>
      </c>
      <c r="T153" s="21" t="s">
        <v>41</v>
      </c>
      <c r="U153" s="21"/>
      <c r="V153" s="4" t="s">
        <v>42</v>
      </c>
      <c r="W153" s="4" t="s">
        <v>43</v>
      </c>
      <c r="X153" s="4" t="s">
        <v>44</v>
      </c>
      <c r="Y153" s="21" t="s">
        <v>56</v>
      </c>
      <c r="Z153" s="21"/>
      <c r="AA153" s="4" t="s">
        <v>46</v>
      </c>
      <c r="AB153" s="4" t="s">
        <v>47</v>
      </c>
      <c r="AC153" s="4" t="s">
        <v>139</v>
      </c>
      <c r="AD153" s="4" t="s">
        <v>449</v>
      </c>
      <c r="AE153" s="4" t="s">
        <v>48</v>
      </c>
      <c r="AF153" s="4" t="s">
        <v>41</v>
      </c>
      <c r="AG153" s="4" t="s">
        <v>412</v>
      </c>
    </row>
    <row r="154" spans="1:33" ht="16.5" customHeight="1" x14ac:dyDescent="0.2">
      <c r="A154" s="2" t="s">
        <v>31</v>
      </c>
      <c r="B154" s="19" t="s">
        <v>50</v>
      </c>
      <c r="C154" s="19"/>
      <c r="D154" s="19"/>
      <c r="E154" s="20" t="s">
        <v>33</v>
      </c>
      <c r="F154" s="20"/>
      <c r="G154" s="21" t="s">
        <v>407</v>
      </c>
      <c r="H154" s="21"/>
      <c r="I154" s="21"/>
      <c r="J154" s="3" t="s">
        <v>35</v>
      </c>
      <c r="K154" s="4" t="s">
        <v>152</v>
      </c>
      <c r="L154" s="4" t="s">
        <v>37</v>
      </c>
      <c r="N154" s="21" t="s">
        <v>482</v>
      </c>
      <c r="O154" s="21"/>
      <c r="P154" s="21" t="s">
        <v>483</v>
      </c>
      <c r="Q154" s="21"/>
      <c r="R154" s="21"/>
      <c r="S154" s="3" t="s">
        <v>40</v>
      </c>
      <c r="T154" s="21" t="s">
        <v>41</v>
      </c>
      <c r="U154" s="21"/>
      <c r="V154" s="4" t="s">
        <v>42</v>
      </c>
      <c r="W154" s="4" t="s">
        <v>484</v>
      </c>
      <c r="X154" s="4" t="s">
        <v>485</v>
      </c>
      <c r="Y154" s="21" t="s">
        <v>56</v>
      </c>
      <c r="Z154" s="21"/>
      <c r="AA154" s="4" t="s">
        <v>46</v>
      </c>
      <c r="AB154" s="4" t="s">
        <v>47</v>
      </c>
      <c r="AC154" s="4" t="s">
        <v>139</v>
      </c>
      <c r="AD154" s="4" t="s">
        <v>140</v>
      </c>
      <c r="AE154" s="4" t="s">
        <v>48</v>
      </c>
      <c r="AF154" s="4" t="s">
        <v>41</v>
      </c>
      <c r="AG154" s="4" t="s">
        <v>412</v>
      </c>
    </row>
    <row r="155" spans="1:33" ht="16.5" customHeight="1" x14ac:dyDescent="0.2">
      <c r="A155" s="2" t="s">
        <v>31</v>
      </c>
      <c r="B155" s="19" t="s">
        <v>50</v>
      </c>
      <c r="C155" s="19"/>
      <c r="D155" s="19"/>
      <c r="E155" s="20" t="s">
        <v>33</v>
      </c>
      <c r="F155" s="20"/>
      <c r="G155" s="21" t="s">
        <v>407</v>
      </c>
      <c r="H155" s="21"/>
      <c r="I155" s="21"/>
      <c r="J155" s="3" t="s">
        <v>35</v>
      </c>
      <c r="K155" s="4" t="s">
        <v>61</v>
      </c>
      <c r="L155" s="4" t="s">
        <v>37</v>
      </c>
      <c r="N155" s="21" t="s">
        <v>486</v>
      </c>
      <c r="O155" s="21"/>
      <c r="P155" s="21" t="s">
        <v>487</v>
      </c>
      <c r="Q155" s="21"/>
      <c r="R155" s="21"/>
      <c r="S155" s="3" t="s">
        <v>40</v>
      </c>
      <c r="T155" s="21" t="s">
        <v>41</v>
      </c>
      <c r="U155" s="21"/>
      <c r="V155" s="4" t="s">
        <v>42</v>
      </c>
      <c r="W155" s="4" t="s">
        <v>234</v>
      </c>
      <c r="X155" s="4" t="s">
        <v>235</v>
      </c>
      <c r="Y155" s="21" t="s">
        <v>65</v>
      </c>
      <c r="Z155" s="21"/>
      <c r="AA155" s="4" t="s">
        <v>46</v>
      </c>
      <c r="AB155" s="4" t="s">
        <v>47</v>
      </c>
      <c r="AC155" s="4" t="s">
        <v>57</v>
      </c>
      <c r="AD155" s="4" t="s">
        <v>58</v>
      </c>
      <c r="AE155" s="4" t="s">
        <v>48</v>
      </c>
      <c r="AF155" s="4" t="s">
        <v>41</v>
      </c>
      <c r="AG155" s="4" t="s">
        <v>412</v>
      </c>
    </row>
    <row r="156" spans="1:33" ht="16.5" customHeight="1" x14ac:dyDescent="0.2">
      <c r="A156" s="2" t="s">
        <v>31</v>
      </c>
      <c r="B156" s="19" t="s">
        <v>50</v>
      </c>
      <c r="C156" s="19"/>
      <c r="D156" s="19"/>
      <c r="E156" s="20" t="s">
        <v>33</v>
      </c>
      <c r="F156" s="20"/>
      <c r="G156" s="21" t="s">
        <v>407</v>
      </c>
      <c r="H156" s="21"/>
      <c r="I156" s="21"/>
      <c r="J156" s="3" t="s">
        <v>35</v>
      </c>
      <c r="K156" s="4" t="s">
        <v>61</v>
      </c>
      <c r="L156" s="4" t="s">
        <v>37</v>
      </c>
      <c r="N156" s="21" t="s">
        <v>488</v>
      </c>
      <c r="O156" s="21"/>
      <c r="P156" s="21" t="s">
        <v>489</v>
      </c>
      <c r="Q156" s="21"/>
      <c r="R156" s="21"/>
      <c r="S156" s="3" t="s">
        <v>40</v>
      </c>
      <c r="T156" s="21" t="s">
        <v>41</v>
      </c>
      <c r="U156" s="21"/>
      <c r="V156" s="4" t="s">
        <v>42</v>
      </c>
      <c r="W156" s="4" t="s">
        <v>234</v>
      </c>
      <c r="X156" s="4" t="s">
        <v>235</v>
      </c>
      <c r="Y156" s="21" t="s">
        <v>65</v>
      </c>
      <c r="Z156" s="21"/>
      <c r="AA156" s="4" t="s">
        <v>46</v>
      </c>
      <c r="AB156" s="4" t="s">
        <v>47</v>
      </c>
      <c r="AC156" s="4" t="s">
        <v>57</v>
      </c>
      <c r="AD156" s="4" t="s">
        <v>58</v>
      </c>
      <c r="AE156" s="4" t="s">
        <v>48</v>
      </c>
      <c r="AF156" s="4" t="s">
        <v>41</v>
      </c>
      <c r="AG156" s="4" t="s">
        <v>412</v>
      </c>
    </row>
    <row r="157" spans="1:33" ht="16.5" customHeight="1" x14ac:dyDescent="0.2">
      <c r="A157" s="2" t="s">
        <v>31</v>
      </c>
      <c r="B157" s="19" t="s">
        <v>50</v>
      </c>
      <c r="C157" s="19"/>
      <c r="D157" s="19"/>
      <c r="E157" s="20" t="s">
        <v>33</v>
      </c>
      <c r="F157" s="20"/>
      <c r="G157" s="21" t="s">
        <v>407</v>
      </c>
      <c r="H157" s="21"/>
      <c r="I157" s="21"/>
      <c r="J157" s="3" t="s">
        <v>35</v>
      </c>
      <c r="K157" s="4" t="s">
        <v>152</v>
      </c>
      <c r="L157" s="4" t="s">
        <v>37</v>
      </c>
      <c r="N157" s="21" t="s">
        <v>490</v>
      </c>
      <c r="O157" s="21"/>
      <c r="P157" s="21" t="s">
        <v>491</v>
      </c>
      <c r="Q157" s="21"/>
      <c r="R157" s="21"/>
      <c r="S157" s="3" t="s">
        <v>40</v>
      </c>
      <c r="T157" s="21" t="s">
        <v>41</v>
      </c>
      <c r="U157" s="21"/>
      <c r="V157" s="4" t="s">
        <v>42</v>
      </c>
      <c r="W157" s="4" t="s">
        <v>234</v>
      </c>
      <c r="X157" s="4" t="s">
        <v>235</v>
      </c>
      <c r="Y157" s="21" t="s">
        <v>56</v>
      </c>
      <c r="Z157" s="21"/>
      <c r="AA157" s="4" t="s">
        <v>46</v>
      </c>
      <c r="AB157" s="4" t="s">
        <v>47</v>
      </c>
      <c r="AC157" s="4" t="s">
        <v>139</v>
      </c>
      <c r="AD157" s="4" t="s">
        <v>140</v>
      </c>
      <c r="AE157" s="4" t="s">
        <v>48</v>
      </c>
      <c r="AF157" s="4" t="s">
        <v>41</v>
      </c>
      <c r="AG157" s="4" t="s">
        <v>412</v>
      </c>
    </row>
    <row r="158" spans="1:33" ht="16.5" customHeight="1" x14ac:dyDescent="0.2">
      <c r="A158" s="2" t="s">
        <v>31</v>
      </c>
      <c r="B158" s="19" t="s">
        <v>50</v>
      </c>
      <c r="C158" s="19"/>
      <c r="D158" s="19"/>
      <c r="E158" s="20" t="s">
        <v>33</v>
      </c>
      <c r="F158" s="20"/>
      <c r="G158" s="21" t="s">
        <v>407</v>
      </c>
      <c r="H158" s="21"/>
      <c r="I158" s="21"/>
      <c r="J158" s="3" t="s">
        <v>35</v>
      </c>
      <c r="K158" s="4" t="s">
        <v>146</v>
      </c>
      <c r="L158" s="4" t="s">
        <v>68</v>
      </c>
      <c r="N158" s="21" t="s">
        <v>492</v>
      </c>
      <c r="O158" s="21"/>
      <c r="P158" s="21" t="s">
        <v>493</v>
      </c>
      <c r="Q158" s="21"/>
      <c r="R158" s="21"/>
      <c r="S158" s="3" t="s">
        <v>40</v>
      </c>
      <c r="T158" s="21" t="s">
        <v>41</v>
      </c>
      <c r="U158" s="21"/>
      <c r="V158" s="4" t="s">
        <v>42</v>
      </c>
      <c r="W158" s="4" t="s">
        <v>350</v>
      </c>
      <c r="X158" s="4" t="s">
        <v>339</v>
      </c>
      <c r="Y158" s="21" t="s">
        <v>138</v>
      </c>
      <c r="Z158" s="21"/>
      <c r="AA158" s="4" t="s">
        <v>46</v>
      </c>
      <c r="AB158" s="4" t="s">
        <v>47</v>
      </c>
      <c r="AC158" s="4" t="s">
        <v>81</v>
      </c>
      <c r="AD158" s="4" t="s">
        <v>41</v>
      </c>
      <c r="AE158" s="4" t="s">
        <v>48</v>
      </c>
      <c r="AF158" s="4" t="s">
        <v>41</v>
      </c>
      <c r="AG158" s="4" t="s">
        <v>412</v>
      </c>
    </row>
    <row r="159" spans="1:33" ht="16.5" customHeight="1" x14ac:dyDescent="0.2">
      <c r="A159" s="2" t="s">
        <v>31</v>
      </c>
      <c r="B159" s="19" t="s">
        <v>50</v>
      </c>
      <c r="C159" s="19"/>
      <c r="D159" s="19"/>
      <c r="E159" s="20" t="s">
        <v>33</v>
      </c>
      <c r="F159" s="20"/>
      <c r="G159" s="21" t="s">
        <v>407</v>
      </c>
      <c r="H159" s="21"/>
      <c r="I159" s="21"/>
      <c r="J159" s="3" t="s">
        <v>35</v>
      </c>
      <c r="K159" s="4" t="s">
        <v>61</v>
      </c>
      <c r="L159" s="4" t="s">
        <v>37</v>
      </c>
      <c r="N159" s="21" t="s">
        <v>494</v>
      </c>
      <c r="O159" s="21"/>
      <c r="P159" s="21" t="s">
        <v>495</v>
      </c>
      <c r="Q159" s="21"/>
      <c r="R159" s="21"/>
      <c r="S159" s="3" t="s">
        <v>40</v>
      </c>
      <c r="T159" s="21" t="s">
        <v>41</v>
      </c>
      <c r="U159" s="21"/>
      <c r="V159" s="4" t="s">
        <v>42</v>
      </c>
      <c r="W159" s="4" t="s">
        <v>355</v>
      </c>
      <c r="X159" s="4" t="s">
        <v>356</v>
      </c>
      <c r="Y159" s="21" t="s">
        <v>65</v>
      </c>
      <c r="Z159" s="21"/>
      <c r="AA159" s="4" t="s">
        <v>46</v>
      </c>
      <c r="AB159" s="4" t="s">
        <v>47</v>
      </c>
      <c r="AC159" s="4" t="s">
        <v>57</v>
      </c>
      <c r="AD159" s="4" t="s">
        <v>58</v>
      </c>
      <c r="AE159" s="4" t="s">
        <v>48</v>
      </c>
      <c r="AF159" s="4" t="s">
        <v>41</v>
      </c>
      <c r="AG159" s="4" t="s">
        <v>412</v>
      </c>
    </row>
    <row r="160" spans="1:33" ht="16.5" customHeight="1" x14ac:dyDescent="0.2">
      <c r="A160" s="2" t="s">
        <v>31</v>
      </c>
      <c r="B160" s="19" t="s">
        <v>50</v>
      </c>
      <c r="C160" s="19"/>
      <c r="D160" s="19"/>
      <c r="E160" s="20" t="s">
        <v>33</v>
      </c>
      <c r="F160" s="20"/>
      <c r="G160" s="21" t="s">
        <v>407</v>
      </c>
      <c r="H160" s="21"/>
      <c r="I160" s="21"/>
      <c r="J160" s="3" t="s">
        <v>35</v>
      </c>
      <c r="K160" s="4" t="s">
        <v>152</v>
      </c>
      <c r="L160" s="4" t="s">
        <v>37</v>
      </c>
      <c r="N160" s="21" t="s">
        <v>496</v>
      </c>
      <c r="O160" s="21"/>
      <c r="P160" s="21" t="s">
        <v>497</v>
      </c>
      <c r="Q160" s="21"/>
      <c r="R160" s="21"/>
      <c r="S160" s="3" t="s">
        <v>40</v>
      </c>
      <c r="T160" s="21" t="s">
        <v>41</v>
      </c>
      <c r="U160" s="21"/>
      <c r="V160" s="4" t="s">
        <v>42</v>
      </c>
      <c r="W160" s="4" t="s">
        <v>310</v>
      </c>
      <c r="X160" s="4" t="s">
        <v>311</v>
      </c>
      <c r="Y160" s="21" t="s">
        <v>56</v>
      </c>
      <c r="Z160" s="21"/>
      <c r="AA160" s="4" t="s">
        <v>46</v>
      </c>
      <c r="AB160" s="4" t="s">
        <v>47</v>
      </c>
      <c r="AC160" s="4" t="s">
        <v>57</v>
      </c>
      <c r="AD160" s="4" t="s">
        <v>58</v>
      </c>
      <c r="AE160" s="4" t="s">
        <v>48</v>
      </c>
      <c r="AF160" s="4" t="s">
        <v>41</v>
      </c>
      <c r="AG160" s="4" t="s">
        <v>412</v>
      </c>
    </row>
    <row r="161" spans="1:33" ht="16.5" customHeight="1" x14ac:dyDescent="0.2">
      <c r="A161" s="2" t="s">
        <v>31</v>
      </c>
      <c r="B161" s="19" t="s">
        <v>50</v>
      </c>
      <c r="C161" s="19"/>
      <c r="D161" s="19"/>
      <c r="E161" s="20" t="s">
        <v>33</v>
      </c>
      <c r="F161" s="20"/>
      <c r="G161" s="21" t="s">
        <v>407</v>
      </c>
      <c r="H161" s="21"/>
      <c r="I161" s="21"/>
      <c r="J161" s="3" t="s">
        <v>35</v>
      </c>
      <c r="K161" s="4" t="s">
        <v>169</v>
      </c>
      <c r="L161" s="4" t="s">
        <v>37</v>
      </c>
      <c r="N161" s="21" t="s">
        <v>498</v>
      </c>
      <c r="O161" s="21"/>
      <c r="P161" s="21" t="s">
        <v>499</v>
      </c>
      <c r="Q161" s="21"/>
      <c r="R161" s="21"/>
      <c r="S161" s="3" t="s">
        <v>40</v>
      </c>
      <c r="T161" s="21" t="s">
        <v>41</v>
      </c>
      <c r="U161" s="21"/>
      <c r="V161" s="4" t="s">
        <v>42</v>
      </c>
      <c r="W161" s="4" t="s">
        <v>108</v>
      </c>
      <c r="X161" s="4" t="s">
        <v>109</v>
      </c>
      <c r="Y161" s="21" t="s">
        <v>56</v>
      </c>
      <c r="Z161" s="21"/>
      <c r="AA161" s="4" t="s">
        <v>46</v>
      </c>
      <c r="AB161" s="4" t="s">
        <v>47</v>
      </c>
      <c r="AC161" s="4" t="s">
        <v>57</v>
      </c>
      <c r="AD161" s="4" t="s">
        <v>58</v>
      </c>
      <c r="AE161" s="4" t="s">
        <v>48</v>
      </c>
      <c r="AF161" s="4" t="s">
        <v>41</v>
      </c>
      <c r="AG161" s="4" t="s">
        <v>412</v>
      </c>
    </row>
    <row r="162" spans="1:33" ht="16.5" customHeight="1" x14ac:dyDescent="0.2">
      <c r="A162" s="2" t="s">
        <v>31</v>
      </c>
      <c r="B162" s="19" t="s">
        <v>50</v>
      </c>
      <c r="C162" s="19"/>
      <c r="D162" s="19"/>
      <c r="E162" s="20" t="s">
        <v>33</v>
      </c>
      <c r="F162" s="20"/>
      <c r="G162" s="21" t="s">
        <v>407</v>
      </c>
      <c r="H162" s="21"/>
      <c r="I162" s="21"/>
      <c r="J162" s="3" t="s">
        <v>35</v>
      </c>
      <c r="K162" s="4" t="s">
        <v>169</v>
      </c>
      <c r="L162" s="4" t="s">
        <v>231</v>
      </c>
      <c r="N162" s="21" t="s">
        <v>500</v>
      </c>
      <c r="O162" s="21"/>
      <c r="P162" s="21" t="s">
        <v>501</v>
      </c>
      <c r="Q162" s="21"/>
      <c r="R162" s="21"/>
      <c r="S162" s="3" t="s">
        <v>40</v>
      </c>
      <c r="T162" s="21" t="s">
        <v>41</v>
      </c>
      <c r="U162" s="21"/>
      <c r="V162" s="4" t="s">
        <v>42</v>
      </c>
      <c r="W162" s="4" t="s">
        <v>108</v>
      </c>
      <c r="X162" s="4" t="s">
        <v>109</v>
      </c>
      <c r="Y162" s="21" t="s">
        <v>56</v>
      </c>
      <c r="Z162" s="21"/>
      <c r="AA162" s="4" t="s">
        <v>46</v>
      </c>
      <c r="AB162" s="4" t="s">
        <v>47</v>
      </c>
      <c r="AC162" s="4" t="s">
        <v>57</v>
      </c>
      <c r="AD162" s="4" t="s">
        <v>236</v>
      </c>
      <c r="AE162" s="4" t="s">
        <v>48</v>
      </c>
      <c r="AF162" s="4" t="s">
        <v>41</v>
      </c>
      <c r="AG162" s="4" t="s">
        <v>412</v>
      </c>
    </row>
    <row r="163" spans="1:33" ht="16.5" customHeight="1" x14ac:dyDescent="0.2">
      <c r="A163" s="2" t="s">
        <v>31</v>
      </c>
      <c r="B163" s="19" t="s">
        <v>50</v>
      </c>
      <c r="C163" s="19"/>
      <c r="D163" s="19"/>
      <c r="E163" s="20" t="s">
        <v>33</v>
      </c>
      <c r="F163" s="20"/>
      <c r="G163" s="21" t="s">
        <v>407</v>
      </c>
      <c r="H163" s="21"/>
      <c r="I163" s="21"/>
      <c r="J163" s="3" t="s">
        <v>35</v>
      </c>
      <c r="K163" s="4" t="s">
        <v>247</v>
      </c>
      <c r="L163" s="4" t="s">
        <v>37</v>
      </c>
      <c r="N163" s="21" t="s">
        <v>502</v>
      </c>
      <c r="O163" s="21"/>
      <c r="P163" s="21" t="s">
        <v>503</v>
      </c>
      <c r="Q163" s="21"/>
      <c r="R163" s="21"/>
      <c r="S163" s="3" t="s">
        <v>40</v>
      </c>
      <c r="T163" s="21" t="s">
        <v>41</v>
      </c>
      <c r="U163" s="21"/>
      <c r="V163" s="4" t="s">
        <v>42</v>
      </c>
      <c r="W163" s="4" t="s">
        <v>54</v>
      </c>
      <c r="X163" s="4" t="s">
        <v>55</v>
      </c>
      <c r="Y163" s="21" t="s">
        <v>65</v>
      </c>
      <c r="Z163" s="21"/>
      <c r="AA163" s="4" t="s">
        <v>46</v>
      </c>
      <c r="AB163" s="4" t="s">
        <v>47</v>
      </c>
      <c r="AC163" s="4" t="s">
        <v>66</v>
      </c>
      <c r="AD163" s="4" t="s">
        <v>73</v>
      </c>
      <c r="AE163" s="4" t="s">
        <v>48</v>
      </c>
      <c r="AF163" s="4" t="s">
        <v>41</v>
      </c>
      <c r="AG163" s="4" t="s">
        <v>412</v>
      </c>
    </row>
    <row r="164" spans="1:33" ht="16.5" customHeight="1" x14ac:dyDescent="0.2">
      <c r="A164" s="2" t="s">
        <v>31</v>
      </c>
      <c r="B164" s="19" t="s">
        <v>50</v>
      </c>
      <c r="C164" s="19"/>
      <c r="D164" s="19"/>
      <c r="E164" s="20" t="s">
        <v>33</v>
      </c>
      <c r="F164" s="20"/>
      <c r="G164" s="21" t="s">
        <v>407</v>
      </c>
      <c r="H164" s="21"/>
      <c r="I164" s="21"/>
      <c r="J164" s="3" t="s">
        <v>35</v>
      </c>
      <c r="K164" s="4" t="s">
        <v>413</v>
      </c>
      <c r="L164" s="4" t="s">
        <v>37</v>
      </c>
      <c r="N164" s="21" t="s">
        <v>504</v>
      </c>
      <c r="O164" s="21"/>
      <c r="P164" s="21" t="s">
        <v>505</v>
      </c>
      <c r="Q164" s="21"/>
      <c r="R164" s="21"/>
      <c r="S164" s="3" t="s">
        <v>40</v>
      </c>
      <c r="T164" s="21" t="s">
        <v>41</v>
      </c>
      <c r="U164" s="21"/>
      <c r="V164" s="4" t="s">
        <v>42</v>
      </c>
      <c r="W164" s="4" t="s">
        <v>54</v>
      </c>
      <c r="X164" s="4" t="s">
        <v>55</v>
      </c>
      <c r="Y164" s="21" t="s">
        <v>198</v>
      </c>
      <c r="Z164" s="21"/>
      <c r="AA164" s="4" t="s">
        <v>46</v>
      </c>
      <c r="AB164" s="4" t="s">
        <v>47</v>
      </c>
      <c r="AC164" s="4" t="s">
        <v>139</v>
      </c>
      <c r="AD164" s="4" t="s">
        <v>140</v>
      </c>
      <c r="AE164" s="4" t="s">
        <v>48</v>
      </c>
      <c r="AF164" s="4" t="s">
        <v>41</v>
      </c>
      <c r="AG164" s="4" t="s">
        <v>412</v>
      </c>
    </row>
    <row r="165" spans="1:33" ht="16.5" customHeight="1" x14ac:dyDescent="0.2">
      <c r="A165" s="2" t="s">
        <v>31</v>
      </c>
      <c r="B165" s="19" t="s">
        <v>50</v>
      </c>
      <c r="C165" s="19"/>
      <c r="D165" s="19"/>
      <c r="E165" s="20" t="s">
        <v>33</v>
      </c>
      <c r="F165" s="20"/>
      <c r="G165" s="21" t="s">
        <v>407</v>
      </c>
      <c r="H165" s="21"/>
      <c r="I165" s="21"/>
      <c r="J165" s="3" t="s">
        <v>35</v>
      </c>
      <c r="K165" s="4" t="s">
        <v>247</v>
      </c>
      <c r="L165" s="4" t="s">
        <v>179</v>
      </c>
      <c r="N165" s="21" t="s">
        <v>506</v>
      </c>
      <c r="O165" s="21"/>
      <c r="P165" s="21" t="s">
        <v>507</v>
      </c>
      <c r="Q165" s="21"/>
      <c r="R165" s="21"/>
      <c r="S165" s="3" t="s">
        <v>40</v>
      </c>
      <c r="T165" s="21" t="s">
        <v>41</v>
      </c>
      <c r="U165" s="21"/>
      <c r="V165" s="4" t="s">
        <v>59</v>
      </c>
      <c r="W165" s="4" t="s">
        <v>54</v>
      </c>
      <c r="X165" s="4" t="s">
        <v>60</v>
      </c>
      <c r="Y165" s="21" t="s">
        <v>65</v>
      </c>
      <c r="Z165" s="21"/>
      <c r="AA165" s="4" t="s">
        <v>46</v>
      </c>
      <c r="AB165" s="4" t="s">
        <v>47</v>
      </c>
      <c r="AC165" s="4" t="s">
        <v>66</v>
      </c>
      <c r="AD165" s="4" t="s">
        <v>183</v>
      </c>
      <c r="AE165" s="4" t="s">
        <v>48</v>
      </c>
      <c r="AF165" s="4" t="s">
        <v>41</v>
      </c>
      <c r="AG165" s="4" t="s">
        <v>412</v>
      </c>
    </row>
    <row r="166" spans="1:33" ht="16.5" customHeight="1" x14ac:dyDescent="0.2">
      <c r="A166" s="2" t="s">
        <v>31</v>
      </c>
      <c r="B166" s="19" t="s">
        <v>50</v>
      </c>
      <c r="C166" s="19"/>
      <c r="D166" s="19"/>
      <c r="E166" s="20" t="s">
        <v>33</v>
      </c>
      <c r="F166" s="20"/>
      <c r="G166" s="21" t="s">
        <v>407</v>
      </c>
      <c r="H166" s="21"/>
      <c r="I166" s="21"/>
      <c r="J166" s="3" t="s">
        <v>35</v>
      </c>
      <c r="K166" s="4" t="s">
        <v>247</v>
      </c>
      <c r="L166" s="4" t="s">
        <v>37</v>
      </c>
      <c r="N166" s="21" t="s">
        <v>506</v>
      </c>
      <c r="O166" s="21"/>
      <c r="P166" s="21" t="s">
        <v>507</v>
      </c>
      <c r="Q166" s="21"/>
      <c r="R166" s="21"/>
      <c r="S166" s="3" t="s">
        <v>40</v>
      </c>
      <c r="T166" s="21" t="s">
        <v>41</v>
      </c>
      <c r="U166" s="21"/>
      <c r="V166" s="4" t="s">
        <v>59</v>
      </c>
      <c r="W166" s="4" t="s">
        <v>54</v>
      </c>
      <c r="X166" s="4" t="s">
        <v>60</v>
      </c>
      <c r="Y166" s="21" t="s">
        <v>65</v>
      </c>
      <c r="Z166" s="21"/>
      <c r="AA166" s="4" t="s">
        <v>46</v>
      </c>
      <c r="AB166" s="4" t="s">
        <v>47</v>
      </c>
      <c r="AC166" s="4" t="s">
        <v>66</v>
      </c>
      <c r="AD166" s="4" t="s">
        <v>73</v>
      </c>
      <c r="AE166" s="4" t="s">
        <v>48</v>
      </c>
      <c r="AF166" s="4" t="s">
        <v>41</v>
      </c>
      <c r="AG166" s="4" t="s">
        <v>412</v>
      </c>
    </row>
    <row r="167" spans="1:33" ht="0.75" customHeight="1" x14ac:dyDescent="0.2"/>
    <row r="168" spans="1:33" ht="12" customHeight="1" x14ac:dyDescent="0.2"/>
    <row r="169" spans="1:33" ht="16.5" customHeight="1" x14ac:dyDescent="0.2">
      <c r="A169" s="2" t="s">
        <v>31</v>
      </c>
      <c r="B169" s="19" t="s">
        <v>50</v>
      </c>
      <c r="C169" s="19"/>
      <c r="D169" s="19"/>
      <c r="E169" s="20" t="s">
        <v>33</v>
      </c>
      <c r="F169" s="20"/>
      <c r="G169" s="21" t="s">
        <v>407</v>
      </c>
      <c r="H169" s="21"/>
      <c r="I169" s="21"/>
      <c r="J169" s="3" t="s">
        <v>35</v>
      </c>
      <c r="K169" s="4" t="s">
        <v>169</v>
      </c>
      <c r="L169" s="4" t="s">
        <v>68</v>
      </c>
      <c r="N169" s="21" t="s">
        <v>508</v>
      </c>
      <c r="O169" s="21"/>
      <c r="P169" s="21" t="s">
        <v>509</v>
      </c>
      <c r="Q169" s="21"/>
      <c r="R169" s="21"/>
      <c r="S169" s="3" t="s">
        <v>40</v>
      </c>
      <c r="T169" s="21" t="s">
        <v>41</v>
      </c>
      <c r="U169" s="21"/>
      <c r="V169" s="4" t="s">
        <v>42</v>
      </c>
      <c r="W169" s="4" t="s">
        <v>130</v>
      </c>
      <c r="X169" s="4" t="s">
        <v>60</v>
      </c>
      <c r="Y169" s="21" t="s">
        <v>56</v>
      </c>
      <c r="Z169" s="21"/>
      <c r="AA169" s="4" t="s">
        <v>46</v>
      </c>
      <c r="AB169" s="4" t="s">
        <v>47</v>
      </c>
      <c r="AC169" s="4" t="s">
        <v>57</v>
      </c>
      <c r="AD169" s="4" t="s">
        <v>98</v>
      </c>
      <c r="AE169" s="4" t="s">
        <v>48</v>
      </c>
      <c r="AF169" s="4" t="s">
        <v>41</v>
      </c>
      <c r="AG169" s="4" t="s">
        <v>412</v>
      </c>
    </row>
    <row r="170" spans="1:33" ht="16.5" customHeight="1" x14ac:dyDescent="0.2">
      <c r="A170" s="2" t="s">
        <v>31</v>
      </c>
      <c r="B170" s="19" t="s">
        <v>50</v>
      </c>
      <c r="C170" s="19"/>
      <c r="D170" s="19"/>
      <c r="E170" s="20" t="s">
        <v>33</v>
      </c>
      <c r="F170" s="20"/>
      <c r="G170" s="21" t="s">
        <v>510</v>
      </c>
      <c r="H170" s="21"/>
      <c r="I170" s="21"/>
      <c r="J170" s="3" t="s">
        <v>35</v>
      </c>
      <c r="K170" s="4" t="s">
        <v>82</v>
      </c>
      <c r="L170" s="4" t="s">
        <v>37</v>
      </c>
      <c r="N170" s="21" t="s">
        <v>511</v>
      </c>
      <c r="O170" s="21"/>
      <c r="P170" s="21" t="s">
        <v>512</v>
      </c>
      <c r="Q170" s="21"/>
      <c r="R170" s="21"/>
      <c r="S170" s="3" t="s">
        <v>40</v>
      </c>
      <c r="T170" s="21" t="s">
        <v>41</v>
      </c>
      <c r="U170" s="21"/>
      <c r="V170" s="4" t="s">
        <v>42</v>
      </c>
      <c r="W170" s="4" t="s">
        <v>54</v>
      </c>
      <c r="X170" s="4" t="s">
        <v>55</v>
      </c>
      <c r="Y170" s="21" t="s">
        <v>56</v>
      </c>
      <c r="Z170" s="21"/>
      <c r="AA170" s="4" t="s">
        <v>46</v>
      </c>
      <c r="AB170" s="4" t="s">
        <v>47</v>
      </c>
      <c r="AC170" s="4" t="s">
        <v>57</v>
      </c>
      <c r="AD170" s="4" t="s">
        <v>58</v>
      </c>
      <c r="AE170" s="4" t="s">
        <v>48</v>
      </c>
      <c r="AF170" s="4" t="s">
        <v>41</v>
      </c>
      <c r="AG170" s="4" t="s">
        <v>513</v>
      </c>
    </row>
    <row r="171" spans="1:33" ht="16.5" customHeight="1" x14ac:dyDescent="0.2">
      <c r="A171" s="2" t="s">
        <v>31</v>
      </c>
      <c r="B171" s="19" t="s">
        <v>110</v>
      </c>
      <c r="C171" s="19"/>
      <c r="D171" s="19"/>
      <c r="E171" s="20" t="s">
        <v>33</v>
      </c>
      <c r="F171" s="20"/>
      <c r="G171" s="21" t="s">
        <v>510</v>
      </c>
      <c r="H171" s="21"/>
      <c r="I171" s="21"/>
      <c r="J171" s="3" t="s">
        <v>111</v>
      </c>
      <c r="K171" s="4" t="s">
        <v>514</v>
      </c>
      <c r="N171" s="21" t="s">
        <v>511</v>
      </c>
      <c r="O171" s="21"/>
      <c r="P171" s="21" t="s">
        <v>512</v>
      </c>
      <c r="Q171" s="21"/>
      <c r="R171" s="21"/>
      <c r="S171" s="3" t="s">
        <v>40</v>
      </c>
      <c r="T171" s="21" t="s">
        <v>515</v>
      </c>
      <c r="U171" s="21"/>
      <c r="V171" s="4" t="s">
        <v>42</v>
      </c>
      <c r="W171" s="4" t="s">
        <v>54</v>
      </c>
      <c r="X171" s="4" t="s">
        <v>55</v>
      </c>
      <c r="Y171" s="21" t="s">
        <v>116</v>
      </c>
      <c r="Z171" s="21"/>
      <c r="AA171" s="4" t="s">
        <v>46</v>
      </c>
      <c r="AB171" s="4" t="s">
        <v>117</v>
      </c>
      <c r="AC171" s="4" t="s">
        <v>118</v>
      </c>
      <c r="AD171" s="4" t="s">
        <v>516</v>
      </c>
      <c r="AE171" s="4" t="s">
        <v>48</v>
      </c>
      <c r="AF171" s="4" t="s">
        <v>41</v>
      </c>
      <c r="AG171" s="4" t="s">
        <v>513</v>
      </c>
    </row>
    <row r="172" spans="1:33" ht="16.5" customHeight="1" x14ac:dyDescent="0.2">
      <c r="A172" s="2" t="s">
        <v>31</v>
      </c>
      <c r="B172" s="19" t="s">
        <v>50</v>
      </c>
      <c r="C172" s="19"/>
      <c r="D172" s="19"/>
      <c r="E172" s="20" t="s">
        <v>33</v>
      </c>
      <c r="F172" s="20"/>
      <c r="G172" s="21" t="s">
        <v>510</v>
      </c>
      <c r="H172" s="21"/>
      <c r="I172" s="21"/>
      <c r="J172" s="3" t="s">
        <v>35</v>
      </c>
      <c r="K172" s="4" t="s">
        <v>82</v>
      </c>
      <c r="L172" s="4" t="s">
        <v>37</v>
      </c>
      <c r="N172" s="21" t="s">
        <v>517</v>
      </c>
      <c r="O172" s="21"/>
      <c r="P172" s="21" t="s">
        <v>518</v>
      </c>
      <c r="Q172" s="21"/>
      <c r="R172" s="21"/>
      <c r="S172" s="3" t="s">
        <v>40</v>
      </c>
      <c r="T172" s="21" t="s">
        <v>41</v>
      </c>
      <c r="U172" s="21"/>
      <c r="V172" s="4" t="s">
        <v>42</v>
      </c>
      <c r="W172" s="4" t="s">
        <v>234</v>
      </c>
      <c r="X172" s="4" t="s">
        <v>235</v>
      </c>
      <c r="Y172" s="21" t="s">
        <v>56</v>
      </c>
      <c r="Z172" s="21"/>
      <c r="AA172" s="4" t="s">
        <v>46</v>
      </c>
      <c r="AB172" s="4" t="s">
        <v>47</v>
      </c>
      <c r="AC172" s="4" t="s">
        <v>139</v>
      </c>
      <c r="AD172" s="4" t="s">
        <v>140</v>
      </c>
      <c r="AE172" s="4" t="s">
        <v>48</v>
      </c>
      <c r="AF172" s="4" t="s">
        <v>41</v>
      </c>
      <c r="AG172" s="4" t="s">
        <v>513</v>
      </c>
    </row>
    <row r="173" spans="1:33" ht="16.5" customHeight="1" x14ac:dyDescent="0.2">
      <c r="A173" s="2" t="s">
        <v>31</v>
      </c>
      <c r="B173" s="19" t="s">
        <v>50</v>
      </c>
      <c r="C173" s="19"/>
      <c r="D173" s="19"/>
      <c r="E173" s="20" t="s">
        <v>33</v>
      </c>
      <c r="F173" s="20"/>
      <c r="G173" s="21" t="s">
        <v>519</v>
      </c>
      <c r="H173" s="21"/>
      <c r="I173" s="21"/>
      <c r="J173" s="3" t="s">
        <v>35</v>
      </c>
      <c r="K173" s="4" t="s">
        <v>99</v>
      </c>
      <c r="L173" s="4" t="s">
        <v>445</v>
      </c>
      <c r="N173" s="21" t="s">
        <v>520</v>
      </c>
      <c r="O173" s="21"/>
      <c r="P173" s="21" t="s">
        <v>521</v>
      </c>
      <c r="Q173" s="21"/>
      <c r="R173" s="21"/>
      <c r="S173" s="3" t="s">
        <v>40</v>
      </c>
      <c r="T173" s="21" t="s">
        <v>41</v>
      </c>
      <c r="U173" s="21"/>
      <c r="V173" s="4" t="s">
        <v>42</v>
      </c>
      <c r="W173" s="4" t="s">
        <v>229</v>
      </c>
      <c r="X173" s="4" t="s">
        <v>448</v>
      </c>
      <c r="Y173" s="21" t="s">
        <v>56</v>
      </c>
      <c r="Z173" s="21"/>
      <c r="AA173" s="4" t="s">
        <v>46</v>
      </c>
      <c r="AB173" s="4" t="s">
        <v>47</v>
      </c>
      <c r="AC173" s="4" t="s">
        <v>139</v>
      </c>
      <c r="AD173" s="4" t="s">
        <v>466</v>
      </c>
      <c r="AE173" s="4" t="s">
        <v>48</v>
      </c>
      <c r="AF173" s="4" t="s">
        <v>41</v>
      </c>
      <c r="AG173" s="4" t="s">
        <v>522</v>
      </c>
    </row>
    <row r="174" spans="1:33" ht="16.5" customHeight="1" x14ac:dyDescent="0.2">
      <c r="A174" s="2" t="s">
        <v>31</v>
      </c>
      <c r="B174" s="19" t="s">
        <v>110</v>
      </c>
      <c r="C174" s="19"/>
      <c r="D174" s="19"/>
      <c r="E174" s="20" t="s">
        <v>33</v>
      </c>
      <c r="F174" s="20"/>
      <c r="G174" s="21" t="s">
        <v>519</v>
      </c>
      <c r="H174" s="21"/>
      <c r="I174" s="21"/>
      <c r="J174" s="3" t="s">
        <v>111</v>
      </c>
      <c r="K174" s="4" t="s">
        <v>426</v>
      </c>
      <c r="N174" s="21" t="s">
        <v>520</v>
      </c>
      <c r="O174" s="21"/>
      <c r="P174" s="21" t="s">
        <v>521</v>
      </c>
      <c r="Q174" s="21"/>
      <c r="R174" s="21"/>
      <c r="S174" s="3" t="s">
        <v>40</v>
      </c>
      <c r="T174" s="21" t="s">
        <v>523</v>
      </c>
      <c r="U174" s="21"/>
      <c r="V174" s="4" t="s">
        <v>42</v>
      </c>
      <c r="W174" s="4" t="s">
        <v>54</v>
      </c>
      <c r="X174" s="4" t="s">
        <v>203</v>
      </c>
      <c r="Y174" s="21" t="s">
        <v>116</v>
      </c>
      <c r="Z174" s="21"/>
      <c r="AA174" s="4" t="s">
        <v>46</v>
      </c>
      <c r="AB174" s="4" t="s">
        <v>117</v>
      </c>
      <c r="AC174" s="4" t="s">
        <v>243</v>
      </c>
      <c r="AD174" s="4" t="s">
        <v>524</v>
      </c>
      <c r="AE174" s="4" t="s">
        <v>48</v>
      </c>
      <c r="AF174" s="4" t="s">
        <v>41</v>
      </c>
      <c r="AG174" s="4" t="s">
        <v>522</v>
      </c>
    </row>
    <row r="175" spans="1:33" ht="16.5" customHeight="1" x14ac:dyDescent="0.2">
      <c r="A175" s="2" t="s">
        <v>31</v>
      </c>
      <c r="B175" s="19" t="s">
        <v>50</v>
      </c>
      <c r="C175" s="19"/>
      <c r="D175" s="19"/>
      <c r="E175" s="20" t="s">
        <v>33</v>
      </c>
      <c r="F175" s="20"/>
      <c r="G175" s="21" t="s">
        <v>519</v>
      </c>
      <c r="H175" s="21"/>
      <c r="I175" s="21"/>
      <c r="J175" s="3" t="s">
        <v>35</v>
      </c>
      <c r="K175" s="4" t="s">
        <v>152</v>
      </c>
      <c r="L175" s="4" t="s">
        <v>37</v>
      </c>
      <c r="N175" s="21" t="s">
        <v>525</v>
      </c>
      <c r="O175" s="21"/>
      <c r="P175" s="21" t="s">
        <v>526</v>
      </c>
      <c r="Q175" s="21"/>
      <c r="R175" s="21"/>
      <c r="S175" s="3" t="s">
        <v>40</v>
      </c>
      <c r="T175" s="21" t="s">
        <v>41</v>
      </c>
      <c r="U175" s="21"/>
      <c r="V175" s="4" t="s">
        <v>42</v>
      </c>
      <c r="W175" s="4" t="s">
        <v>177</v>
      </c>
      <c r="X175" s="4" t="s">
        <v>178</v>
      </c>
      <c r="Y175" s="21" t="s">
        <v>56</v>
      </c>
      <c r="Z175" s="21"/>
      <c r="AA175" s="4" t="s">
        <v>46</v>
      </c>
      <c r="AB175" s="4" t="s">
        <v>47</v>
      </c>
      <c r="AC175" s="4" t="s">
        <v>139</v>
      </c>
      <c r="AD175" s="4" t="s">
        <v>140</v>
      </c>
      <c r="AE175" s="4" t="s">
        <v>48</v>
      </c>
      <c r="AF175" s="4" t="s">
        <v>41</v>
      </c>
      <c r="AG175" s="4" t="s">
        <v>522</v>
      </c>
    </row>
    <row r="176" spans="1:33" ht="16.5" customHeight="1" x14ac:dyDescent="0.2">
      <c r="A176" s="2" t="s">
        <v>31</v>
      </c>
      <c r="B176" s="19" t="s">
        <v>50</v>
      </c>
      <c r="C176" s="19"/>
      <c r="D176" s="19"/>
      <c r="E176" s="20" t="s">
        <v>33</v>
      </c>
      <c r="F176" s="20"/>
      <c r="G176" s="21" t="s">
        <v>519</v>
      </c>
      <c r="H176" s="21"/>
      <c r="I176" s="21"/>
      <c r="J176" s="3" t="s">
        <v>35</v>
      </c>
      <c r="K176" s="4" t="s">
        <v>99</v>
      </c>
      <c r="L176" s="4" t="s">
        <v>37</v>
      </c>
      <c r="N176" s="21" t="s">
        <v>527</v>
      </c>
      <c r="O176" s="21"/>
      <c r="P176" s="21" t="s">
        <v>528</v>
      </c>
      <c r="Q176" s="21"/>
      <c r="R176" s="21"/>
      <c r="S176" s="3" t="s">
        <v>40</v>
      </c>
      <c r="T176" s="21" t="s">
        <v>41</v>
      </c>
      <c r="U176" s="21"/>
      <c r="V176" s="4" t="s">
        <v>42</v>
      </c>
      <c r="W176" s="4" t="s">
        <v>187</v>
      </c>
      <c r="X176" s="4" t="s">
        <v>188</v>
      </c>
      <c r="Y176" s="21" t="s">
        <v>56</v>
      </c>
      <c r="Z176" s="21"/>
      <c r="AA176" s="4" t="s">
        <v>46</v>
      </c>
      <c r="AB176" s="4" t="s">
        <v>47</v>
      </c>
      <c r="AC176" s="4" t="s">
        <v>139</v>
      </c>
      <c r="AD176" s="4" t="s">
        <v>140</v>
      </c>
      <c r="AE176" s="4" t="s">
        <v>48</v>
      </c>
      <c r="AF176" s="4" t="s">
        <v>41</v>
      </c>
      <c r="AG176" s="4" t="s">
        <v>522</v>
      </c>
    </row>
    <row r="177" spans="1:33" ht="16.5" customHeight="1" x14ac:dyDescent="0.2">
      <c r="A177" s="2" t="s">
        <v>31</v>
      </c>
      <c r="B177" s="19" t="s">
        <v>50</v>
      </c>
      <c r="C177" s="19"/>
      <c r="D177" s="19"/>
      <c r="E177" s="20" t="s">
        <v>33</v>
      </c>
      <c r="F177" s="20"/>
      <c r="G177" s="21" t="s">
        <v>519</v>
      </c>
      <c r="H177" s="21"/>
      <c r="I177" s="21"/>
      <c r="J177" s="3" t="s">
        <v>35</v>
      </c>
      <c r="K177" s="4" t="s">
        <v>152</v>
      </c>
      <c r="L177" s="4" t="s">
        <v>37</v>
      </c>
      <c r="N177" s="21" t="s">
        <v>529</v>
      </c>
      <c r="O177" s="21"/>
      <c r="P177" s="21" t="s">
        <v>530</v>
      </c>
      <c r="Q177" s="21"/>
      <c r="R177" s="21"/>
      <c r="S177" s="3" t="s">
        <v>40</v>
      </c>
      <c r="T177" s="21" t="s">
        <v>41</v>
      </c>
      <c r="U177" s="21"/>
      <c r="V177" s="4" t="s">
        <v>42</v>
      </c>
      <c r="W177" s="4" t="s">
        <v>213</v>
      </c>
      <c r="X177" s="4" t="s">
        <v>531</v>
      </c>
      <c r="Y177" s="21" t="s">
        <v>56</v>
      </c>
      <c r="Z177" s="21"/>
      <c r="AA177" s="4" t="s">
        <v>46</v>
      </c>
      <c r="AB177" s="4" t="s">
        <v>47</v>
      </c>
      <c r="AC177" s="4" t="s">
        <v>139</v>
      </c>
      <c r="AD177" s="4" t="s">
        <v>140</v>
      </c>
      <c r="AE177" s="4" t="s">
        <v>48</v>
      </c>
      <c r="AF177" s="4" t="s">
        <v>41</v>
      </c>
      <c r="AG177" s="4" t="s">
        <v>522</v>
      </c>
    </row>
    <row r="178" spans="1:33" ht="16.5" customHeight="1" x14ac:dyDescent="0.2">
      <c r="A178" s="2" t="s">
        <v>31</v>
      </c>
      <c r="B178" s="19" t="s">
        <v>50</v>
      </c>
      <c r="C178" s="19"/>
      <c r="D178" s="19"/>
      <c r="E178" s="20" t="s">
        <v>33</v>
      </c>
      <c r="F178" s="20"/>
      <c r="G178" s="21" t="s">
        <v>519</v>
      </c>
      <c r="H178" s="21"/>
      <c r="I178" s="21"/>
      <c r="J178" s="3" t="s">
        <v>35</v>
      </c>
      <c r="K178" s="4" t="s">
        <v>99</v>
      </c>
      <c r="L178" s="4" t="s">
        <v>37</v>
      </c>
      <c r="N178" s="21" t="s">
        <v>532</v>
      </c>
      <c r="O178" s="21"/>
      <c r="P178" s="21" t="s">
        <v>533</v>
      </c>
      <c r="Q178" s="21"/>
      <c r="R178" s="21"/>
      <c r="S178" s="3" t="s">
        <v>40</v>
      </c>
      <c r="T178" s="21" t="s">
        <v>41</v>
      </c>
      <c r="U178" s="21"/>
      <c r="V178" s="4" t="s">
        <v>42</v>
      </c>
      <c r="W178" s="4" t="s">
        <v>229</v>
      </c>
      <c r="X178" s="4" t="s">
        <v>448</v>
      </c>
      <c r="Y178" s="21" t="s">
        <v>56</v>
      </c>
      <c r="Z178" s="21"/>
      <c r="AA178" s="4" t="s">
        <v>46</v>
      </c>
      <c r="AB178" s="4" t="s">
        <v>47</v>
      </c>
      <c r="AC178" s="4" t="s">
        <v>139</v>
      </c>
      <c r="AD178" s="4" t="s">
        <v>140</v>
      </c>
      <c r="AE178" s="4" t="s">
        <v>48</v>
      </c>
      <c r="AF178" s="4" t="s">
        <v>41</v>
      </c>
      <c r="AG178" s="4" t="s">
        <v>522</v>
      </c>
    </row>
    <row r="179" spans="1:33" ht="16.5" customHeight="1" x14ac:dyDescent="0.2">
      <c r="A179" s="2" t="s">
        <v>31</v>
      </c>
      <c r="B179" s="19" t="s">
        <v>50</v>
      </c>
      <c r="C179" s="19"/>
      <c r="D179" s="19"/>
      <c r="E179" s="20" t="s">
        <v>33</v>
      </c>
      <c r="F179" s="20"/>
      <c r="G179" s="21" t="s">
        <v>519</v>
      </c>
      <c r="H179" s="21"/>
      <c r="I179" s="21"/>
      <c r="J179" s="3" t="s">
        <v>35</v>
      </c>
      <c r="K179" s="4" t="s">
        <v>99</v>
      </c>
      <c r="L179" s="4" t="s">
        <v>68</v>
      </c>
      <c r="N179" s="21" t="s">
        <v>534</v>
      </c>
      <c r="O179" s="21"/>
      <c r="P179" s="21" t="s">
        <v>535</v>
      </c>
      <c r="Q179" s="21"/>
      <c r="R179" s="21"/>
      <c r="S179" s="3" t="s">
        <v>40</v>
      </c>
      <c r="T179" s="21" t="s">
        <v>41</v>
      </c>
      <c r="U179" s="21"/>
      <c r="V179" s="4" t="s">
        <v>59</v>
      </c>
      <c r="W179" s="4" t="s">
        <v>536</v>
      </c>
      <c r="X179" s="4" t="s">
        <v>537</v>
      </c>
      <c r="Y179" s="21" t="s">
        <v>56</v>
      </c>
      <c r="Z179" s="21"/>
      <c r="AA179" s="4" t="s">
        <v>46</v>
      </c>
      <c r="AB179" s="4" t="s">
        <v>47</v>
      </c>
      <c r="AC179" s="4" t="s">
        <v>139</v>
      </c>
      <c r="AD179" s="4" t="s">
        <v>151</v>
      </c>
      <c r="AE179" s="4" t="s">
        <v>48</v>
      </c>
      <c r="AF179" s="4" t="s">
        <v>41</v>
      </c>
      <c r="AG179" s="4" t="s">
        <v>522</v>
      </c>
    </row>
    <row r="180" spans="1:33" ht="16.5" customHeight="1" x14ac:dyDescent="0.2">
      <c r="A180" s="2" t="s">
        <v>31</v>
      </c>
      <c r="B180" s="19" t="s">
        <v>50</v>
      </c>
      <c r="C180" s="19"/>
      <c r="D180" s="19"/>
      <c r="E180" s="20" t="s">
        <v>33</v>
      </c>
      <c r="F180" s="20"/>
      <c r="G180" s="21" t="s">
        <v>519</v>
      </c>
      <c r="H180" s="21"/>
      <c r="I180" s="21"/>
      <c r="J180" s="3" t="s">
        <v>35</v>
      </c>
      <c r="K180" s="4" t="s">
        <v>74</v>
      </c>
      <c r="L180" s="4" t="s">
        <v>538</v>
      </c>
      <c r="N180" s="21" t="s">
        <v>539</v>
      </c>
      <c r="O180" s="21"/>
      <c r="P180" s="21" t="s">
        <v>540</v>
      </c>
      <c r="Q180" s="21"/>
      <c r="R180" s="21"/>
      <c r="S180" s="3" t="s">
        <v>40</v>
      </c>
      <c r="T180" s="21" t="s">
        <v>41</v>
      </c>
      <c r="U180" s="21"/>
      <c r="V180" s="4" t="s">
        <v>59</v>
      </c>
      <c r="W180" s="4" t="s">
        <v>234</v>
      </c>
      <c r="X180" s="4" t="s">
        <v>339</v>
      </c>
      <c r="Y180" s="21" t="s">
        <v>65</v>
      </c>
      <c r="Z180" s="21"/>
      <c r="AA180" s="4" t="s">
        <v>46</v>
      </c>
      <c r="AB180" s="4" t="s">
        <v>47</v>
      </c>
      <c r="AC180" s="4" t="s">
        <v>57</v>
      </c>
      <c r="AD180" s="4" t="s">
        <v>541</v>
      </c>
      <c r="AE180" s="4" t="s">
        <v>48</v>
      </c>
      <c r="AF180" s="4" t="s">
        <v>41</v>
      </c>
      <c r="AG180" s="4" t="s">
        <v>522</v>
      </c>
    </row>
    <row r="181" spans="1:33" ht="16.5" customHeight="1" x14ac:dyDescent="0.2">
      <c r="A181" s="2" t="s">
        <v>31</v>
      </c>
      <c r="B181" s="19" t="s">
        <v>50</v>
      </c>
      <c r="C181" s="19"/>
      <c r="D181" s="19"/>
      <c r="E181" s="20" t="s">
        <v>33</v>
      </c>
      <c r="F181" s="20"/>
      <c r="G181" s="21" t="s">
        <v>519</v>
      </c>
      <c r="H181" s="21"/>
      <c r="I181" s="21"/>
      <c r="J181" s="3" t="s">
        <v>35</v>
      </c>
      <c r="K181" s="4" t="s">
        <v>204</v>
      </c>
      <c r="L181" s="4" t="s">
        <v>37</v>
      </c>
      <c r="N181" s="21" t="s">
        <v>542</v>
      </c>
      <c r="O181" s="21"/>
      <c r="P181" s="21" t="s">
        <v>543</v>
      </c>
      <c r="Q181" s="21"/>
      <c r="R181" s="21"/>
      <c r="S181" s="3" t="s">
        <v>40</v>
      </c>
      <c r="T181" s="21" t="s">
        <v>41</v>
      </c>
      <c r="U181" s="21"/>
      <c r="V181" s="4" t="s">
        <v>42</v>
      </c>
      <c r="W181" s="4" t="s">
        <v>544</v>
      </c>
      <c r="X181" s="4" t="s">
        <v>545</v>
      </c>
      <c r="Y181" s="21" t="s">
        <v>198</v>
      </c>
      <c r="Z181" s="21"/>
      <c r="AA181" s="4" t="s">
        <v>46</v>
      </c>
      <c r="AB181" s="4" t="s">
        <v>47</v>
      </c>
      <c r="AC181" s="4" t="s">
        <v>257</v>
      </c>
      <c r="AD181" s="4" t="s">
        <v>258</v>
      </c>
      <c r="AE181" s="4" t="s">
        <v>48</v>
      </c>
      <c r="AF181" s="4" t="s">
        <v>41</v>
      </c>
      <c r="AG181" s="4" t="s">
        <v>522</v>
      </c>
    </row>
    <row r="182" spans="1:33" ht="16.5" customHeight="1" x14ac:dyDescent="0.2">
      <c r="A182" s="2" t="s">
        <v>31</v>
      </c>
      <c r="B182" s="19" t="s">
        <v>50</v>
      </c>
      <c r="C182" s="19"/>
      <c r="D182" s="19"/>
      <c r="E182" s="20" t="s">
        <v>33</v>
      </c>
      <c r="F182" s="20"/>
      <c r="G182" s="21" t="s">
        <v>519</v>
      </c>
      <c r="H182" s="21"/>
      <c r="I182" s="21"/>
      <c r="J182" s="3" t="s">
        <v>35</v>
      </c>
      <c r="K182" s="4" t="s">
        <v>82</v>
      </c>
      <c r="L182" s="4" t="s">
        <v>37</v>
      </c>
      <c r="N182" s="21" t="s">
        <v>546</v>
      </c>
      <c r="O182" s="21"/>
      <c r="P182" s="21" t="s">
        <v>547</v>
      </c>
      <c r="Q182" s="21"/>
      <c r="R182" s="21"/>
      <c r="S182" s="3" t="s">
        <v>40</v>
      </c>
      <c r="T182" s="21" t="s">
        <v>41</v>
      </c>
      <c r="U182" s="21"/>
      <c r="V182" s="4" t="s">
        <v>42</v>
      </c>
      <c r="W182" s="4" t="s">
        <v>548</v>
      </c>
      <c r="X182" s="4" t="s">
        <v>549</v>
      </c>
      <c r="Y182" s="21" t="s">
        <v>56</v>
      </c>
      <c r="Z182" s="21"/>
      <c r="AA182" s="4" t="s">
        <v>46</v>
      </c>
      <c r="AB182" s="4" t="s">
        <v>47</v>
      </c>
      <c r="AC182" s="4" t="s">
        <v>139</v>
      </c>
      <c r="AD182" s="4" t="s">
        <v>140</v>
      </c>
      <c r="AE182" s="4" t="s">
        <v>48</v>
      </c>
      <c r="AF182" s="4" t="s">
        <v>41</v>
      </c>
      <c r="AG182" s="4" t="s">
        <v>522</v>
      </c>
    </row>
    <row r="183" spans="1:33" ht="16.5" customHeight="1" x14ac:dyDescent="0.2">
      <c r="A183" s="2" t="s">
        <v>31</v>
      </c>
      <c r="B183" s="19" t="s">
        <v>50</v>
      </c>
      <c r="C183" s="19"/>
      <c r="D183" s="19"/>
      <c r="E183" s="20" t="s">
        <v>33</v>
      </c>
      <c r="F183" s="20"/>
      <c r="G183" s="21" t="s">
        <v>519</v>
      </c>
      <c r="H183" s="21"/>
      <c r="I183" s="21"/>
      <c r="J183" s="3" t="s">
        <v>35</v>
      </c>
      <c r="K183" s="4" t="s">
        <v>314</v>
      </c>
      <c r="L183" s="4" t="s">
        <v>231</v>
      </c>
      <c r="N183" s="21" t="s">
        <v>550</v>
      </c>
      <c r="O183" s="21"/>
      <c r="P183" s="21" t="s">
        <v>551</v>
      </c>
      <c r="Q183" s="21"/>
      <c r="R183" s="21"/>
      <c r="S183" s="3" t="s">
        <v>40</v>
      </c>
      <c r="T183" s="21" t="s">
        <v>41</v>
      </c>
      <c r="U183" s="21"/>
      <c r="V183" s="4" t="s">
        <v>42</v>
      </c>
      <c r="W183" s="4" t="s">
        <v>261</v>
      </c>
      <c r="X183" s="4" t="s">
        <v>262</v>
      </c>
      <c r="Y183" s="21" t="s">
        <v>65</v>
      </c>
      <c r="Z183" s="21"/>
      <c r="AA183" s="4" t="s">
        <v>46</v>
      </c>
      <c r="AB183" s="4" t="s">
        <v>47</v>
      </c>
      <c r="AC183" s="4" t="s">
        <v>57</v>
      </c>
      <c r="AD183" s="4" t="s">
        <v>236</v>
      </c>
      <c r="AE183" s="4" t="s">
        <v>48</v>
      </c>
      <c r="AF183" s="4" t="s">
        <v>41</v>
      </c>
      <c r="AG183" s="4" t="s">
        <v>522</v>
      </c>
    </row>
    <row r="184" spans="1:33" ht="16.5" customHeight="1" x14ac:dyDescent="0.2">
      <c r="A184" s="2" t="s">
        <v>31</v>
      </c>
      <c r="B184" s="19" t="s">
        <v>50</v>
      </c>
      <c r="C184" s="19"/>
      <c r="D184" s="19"/>
      <c r="E184" s="20" t="s">
        <v>33</v>
      </c>
      <c r="F184" s="20"/>
      <c r="G184" s="21" t="s">
        <v>519</v>
      </c>
      <c r="H184" s="21"/>
      <c r="I184" s="21"/>
      <c r="J184" s="3" t="s">
        <v>35</v>
      </c>
      <c r="K184" s="4" t="s">
        <v>152</v>
      </c>
      <c r="L184" s="4" t="s">
        <v>37</v>
      </c>
      <c r="N184" s="21" t="s">
        <v>552</v>
      </c>
      <c r="O184" s="21"/>
      <c r="P184" s="21" t="s">
        <v>553</v>
      </c>
      <c r="Q184" s="21"/>
      <c r="R184" s="21"/>
      <c r="S184" s="3" t="s">
        <v>40</v>
      </c>
      <c r="T184" s="21" t="s">
        <v>41</v>
      </c>
      <c r="U184" s="21"/>
      <c r="V184" s="4" t="s">
        <v>42</v>
      </c>
      <c r="W184" s="4" t="s">
        <v>217</v>
      </c>
      <c r="X184" s="4" t="s">
        <v>218</v>
      </c>
      <c r="Y184" s="21" t="s">
        <v>56</v>
      </c>
      <c r="Z184" s="21"/>
      <c r="AA184" s="4" t="s">
        <v>46</v>
      </c>
      <c r="AB184" s="4" t="s">
        <v>47</v>
      </c>
      <c r="AC184" s="4" t="s">
        <v>139</v>
      </c>
      <c r="AD184" s="4" t="s">
        <v>140</v>
      </c>
      <c r="AE184" s="4" t="s">
        <v>48</v>
      </c>
      <c r="AF184" s="4" t="s">
        <v>41</v>
      </c>
      <c r="AG184" s="4" t="s">
        <v>522</v>
      </c>
    </row>
    <row r="185" spans="1:33" ht="16.5" customHeight="1" x14ac:dyDescent="0.2">
      <c r="A185" s="2" t="s">
        <v>31</v>
      </c>
      <c r="B185" s="19" t="s">
        <v>110</v>
      </c>
      <c r="C185" s="19"/>
      <c r="D185" s="19"/>
      <c r="E185" s="20" t="s">
        <v>33</v>
      </c>
      <c r="F185" s="20"/>
      <c r="G185" s="21" t="s">
        <v>519</v>
      </c>
      <c r="H185" s="21"/>
      <c r="I185" s="21"/>
      <c r="J185" s="3" t="s">
        <v>111</v>
      </c>
      <c r="K185" s="4" t="s">
        <v>554</v>
      </c>
      <c r="N185" s="21" t="s">
        <v>552</v>
      </c>
      <c r="O185" s="21"/>
      <c r="P185" s="21" t="s">
        <v>553</v>
      </c>
      <c r="Q185" s="21"/>
      <c r="R185" s="21"/>
      <c r="S185" s="3" t="s">
        <v>40</v>
      </c>
      <c r="T185" s="21" t="s">
        <v>555</v>
      </c>
      <c r="U185" s="21"/>
      <c r="V185" s="4" t="s">
        <v>42</v>
      </c>
      <c r="W185" s="4" t="s">
        <v>54</v>
      </c>
      <c r="X185" s="4" t="s">
        <v>218</v>
      </c>
      <c r="Y185" s="21" t="s">
        <v>116</v>
      </c>
      <c r="Z185" s="21"/>
      <c r="AA185" s="4" t="s">
        <v>46</v>
      </c>
      <c r="AB185" s="4" t="s">
        <v>117</v>
      </c>
      <c r="AC185" s="4" t="s">
        <v>243</v>
      </c>
      <c r="AD185" s="4" t="s">
        <v>556</v>
      </c>
      <c r="AE185" s="4" t="s">
        <v>48</v>
      </c>
      <c r="AF185" s="4" t="s">
        <v>41</v>
      </c>
      <c r="AG185" s="4" t="s">
        <v>522</v>
      </c>
    </row>
    <row r="186" spans="1:33" ht="16.5" customHeight="1" x14ac:dyDescent="0.2">
      <c r="A186" s="2" t="s">
        <v>31</v>
      </c>
      <c r="B186" s="19" t="s">
        <v>50</v>
      </c>
      <c r="C186" s="19"/>
      <c r="D186" s="19"/>
      <c r="E186" s="20" t="s">
        <v>33</v>
      </c>
      <c r="F186" s="20"/>
      <c r="G186" s="21" t="s">
        <v>519</v>
      </c>
      <c r="H186" s="21"/>
      <c r="I186" s="21"/>
      <c r="J186" s="3" t="s">
        <v>35</v>
      </c>
      <c r="K186" s="4" t="s">
        <v>74</v>
      </c>
      <c r="L186" s="4" t="s">
        <v>37</v>
      </c>
      <c r="N186" s="21" t="s">
        <v>557</v>
      </c>
      <c r="O186" s="21"/>
      <c r="P186" s="21" t="s">
        <v>558</v>
      </c>
      <c r="Q186" s="21"/>
      <c r="R186" s="21"/>
      <c r="S186" s="3" t="s">
        <v>40</v>
      </c>
      <c r="T186" s="21" t="s">
        <v>41</v>
      </c>
      <c r="U186" s="21"/>
      <c r="V186" s="4" t="s">
        <v>42</v>
      </c>
      <c r="W186" s="4" t="s">
        <v>559</v>
      </c>
      <c r="X186" s="4" t="s">
        <v>560</v>
      </c>
      <c r="Y186" s="21" t="s">
        <v>65</v>
      </c>
      <c r="Z186" s="21"/>
      <c r="AA186" s="4" t="s">
        <v>46</v>
      </c>
      <c r="AB186" s="4" t="s">
        <v>47</v>
      </c>
      <c r="AC186" s="4" t="s">
        <v>57</v>
      </c>
      <c r="AD186" s="4" t="s">
        <v>58</v>
      </c>
      <c r="AE186" s="4" t="s">
        <v>48</v>
      </c>
      <c r="AF186" s="4" t="s">
        <v>41</v>
      </c>
      <c r="AG186" s="4" t="s">
        <v>522</v>
      </c>
    </row>
    <row r="187" spans="1:33" ht="16.5" customHeight="1" x14ac:dyDescent="0.2">
      <c r="A187" s="2" t="s">
        <v>31</v>
      </c>
      <c r="B187" s="19" t="s">
        <v>110</v>
      </c>
      <c r="C187" s="19"/>
      <c r="D187" s="19"/>
      <c r="E187" s="20" t="s">
        <v>33</v>
      </c>
      <c r="F187" s="20"/>
      <c r="G187" s="21" t="s">
        <v>519</v>
      </c>
      <c r="H187" s="21"/>
      <c r="I187" s="21"/>
      <c r="J187" s="3" t="s">
        <v>111</v>
      </c>
      <c r="K187" s="4" t="s">
        <v>561</v>
      </c>
      <c r="N187" s="21" t="s">
        <v>557</v>
      </c>
      <c r="O187" s="21"/>
      <c r="P187" s="21" t="s">
        <v>558</v>
      </c>
      <c r="Q187" s="21"/>
      <c r="R187" s="21"/>
      <c r="S187" s="3" t="s">
        <v>40</v>
      </c>
      <c r="T187" s="21" t="s">
        <v>427</v>
      </c>
      <c r="U187" s="21"/>
      <c r="V187" s="4" t="s">
        <v>42</v>
      </c>
      <c r="W187" s="4" t="s">
        <v>54</v>
      </c>
      <c r="X187" s="4" t="s">
        <v>55</v>
      </c>
      <c r="Y187" s="21" t="s">
        <v>116</v>
      </c>
      <c r="Z187" s="21"/>
      <c r="AA187" s="4" t="s">
        <v>46</v>
      </c>
      <c r="AB187" s="4" t="s">
        <v>117</v>
      </c>
      <c r="AC187" s="4" t="s">
        <v>118</v>
      </c>
      <c r="AD187" s="4" t="s">
        <v>562</v>
      </c>
      <c r="AE187" s="4" t="s">
        <v>48</v>
      </c>
      <c r="AF187" s="4" t="s">
        <v>41</v>
      </c>
      <c r="AG187" s="4" t="s">
        <v>522</v>
      </c>
    </row>
    <row r="188" spans="1:33" ht="16.5" customHeight="1" x14ac:dyDescent="0.2">
      <c r="A188" s="2" t="s">
        <v>31</v>
      </c>
      <c r="B188" s="19" t="s">
        <v>50</v>
      </c>
      <c r="C188" s="19"/>
      <c r="D188" s="19"/>
      <c r="E188" s="20" t="s">
        <v>33</v>
      </c>
      <c r="F188" s="20"/>
      <c r="G188" s="21" t="s">
        <v>519</v>
      </c>
      <c r="H188" s="21"/>
      <c r="I188" s="21"/>
      <c r="J188" s="3" t="s">
        <v>35</v>
      </c>
      <c r="K188" s="4" t="s">
        <v>146</v>
      </c>
      <c r="L188" s="4" t="s">
        <v>37</v>
      </c>
      <c r="N188" s="21" t="s">
        <v>563</v>
      </c>
      <c r="O188" s="21"/>
      <c r="P188" s="21" t="s">
        <v>564</v>
      </c>
      <c r="Q188" s="21"/>
      <c r="R188" s="21"/>
      <c r="S188" s="3" t="s">
        <v>40</v>
      </c>
      <c r="T188" s="21" t="s">
        <v>41</v>
      </c>
      <c r="U188" s="21"/>
      <c r="V188" s="4" t="s">
        <v>42</v>
      </c>
      <c r="W188" s="4" t="s">
        <v>157</v>
      </c>
      <c r="X188" s="4" t="s">
        <v>158</v>
      </c>
      <c r="Y188" s="21" t="s">
        <v>138</v>
      </c>
      <c r="Z188" s="21"/>
      <c r="AA188" s="4" t="s">
        <v>46</v>
      </c>
      <c r="AB188" s="4" t="s">
        <v>47</v>
      </c>
      <c r="AC188" s="4" t="s">
        <v>139</v>
      </c>
      <c r="AD188" s="4" t="s">
        <v>140</v>
      </c>
      <c r="AE188" s="4" t="s">
        <v>48</v>
      </c>
      <c r="AF188" s="4" t="s">
        <v>41</v>
      </c>
      <c r="AG188" s="4" t="s">
        <v>522</v>
      </c>
    </row>
    <row r="189" spans="1:33" ht="16.5" customHeight="1" x14ac:dyDescent="0.2">
      <c r="A189" s="2" t="s">
        <v>31</v>
      </c>
      <c r="B189" s="19" t="s">
        <v>50</v>
      </c>
      <c r="C189" s="19"/>
      <c r="D189" s="19"/>
      <c r="E189" s="20" t="s">
        <v>33</v>
      </c>
      <c r="F189" s="20"/>
      <c r="G189" s="21" t="s">
        <v>519</v>
      </c>
      <c r="H189" s="21"/>
      <c r="I189" s="21"/>
      <c r="J189" s="3" t="s">
        <v>35</v>
      </c>
      <c r="K189" s="4" t="s">
        <v>99</v>
      </c>
      <c r="L189" s="4" t="s">
        <v>37</v>
      </c>
      <c r="N189" s="21" t="s">
        <v>565</v>
      </c>
      <c r="O189" s="21"/>
      <c r="P189" s="21" t="s">
        <v>566</v>
      </c>
      <c r="Q189" s="21"/>
      <c r="R189" s="21"/>
      <c r="S189" s="3" t="s">
        <v>40</v>
      </c>
      <c r="T189" s="21" t="s">
        <v>41</v>
      </c>
      <c r="U189" s="21"/>
      <c r="V189" s="4" t="s">
        <v>42</v>
      </c>
      <c r="W189" s="4" t="s">
        <v>567</v>
      </c>
      <c r="X189" s="4" t="s">
        <v>568</v>
      </c>
      <c r="Y189" s="21" t="s">
        <v>56</v>
      </c>
      <c r="Z189" s="21"/>
      <c r="AA189" s="4" t="s">
        <v>46</v>
      </c>
      <c r="AB189" s="4" t="s">
        <v>47</v>
      </c>
      <c r="AC189" s="4" t="s">
        <v>139</v>
      </c>
      <c r="AD189" s="4" t="s">
        <v>140</v>
      </c>
      <c r="AE189" s="4" t="s">
        <v>48</v>
      </c>
      <c r="AF189" s="4" t="s">
        <v>41</v>
      </c>
      <c r="AG189" s="4" t="s">
        <v>522</v>
      </c>
    </row>
    <row r="190" spans="1:33" ht="16.5" customHeight="1" x14ac:dyDescent="0.2">
      <c r="A190" s="2" t="s">
        <v>31</v>
      </c>
      <c r="B190" s="19" t="s">
        <v>50</v>
      </c>
      <c r="C190" s="19"/>
      <c r="D190" s="19"/>
      <c r="E190" s="20" t="s">
        <v>33</v>
      </c>
      <c r="F190" s="20"/>
      <c r="G190" s="21" t="s">
        <v>519</v>
      </c>
      <c r="H190" s="21"/>
      <c r="I190" s="21"/>
      <c r="J190" s="3" t="s">
        <v>35</v>
      </c>
      <c r="K190" s="4" t="s">
        <v>99</v>
      </c>
      <c r="L190" s="4" t="s">
        <v>37</v>
      </c>
      <c r="N190" s="21" t="s">
        <v>569</v>
      </c>
      <c r="O190" s="21"/>
      <c r="P190" s="21" t="s">
        <v>570</v>
      </c>
      <c r="Q190" s="21"/>
      <c r="R190" s="21"/>
      <c r="S190" s="3" t="s">
        <v>40</v>
      </c>
      <c r="T190" s="21" t="s">
        <v>41</v>
      </c>
      <c r="U190" s="21"/>
      <c r="V190" s="4" t="s">
        <v>42</v>
      </c>
      <c r="W190" s="4" t="s">
        <v>307</v>
      </c>
      <c r="X190" s="4" t="s">
        <v>304</v>
      </c>
      <c r="Y190" s="21" t="s">
        <v>56</v>
      </c>
      <c r="Z190" s="21"/>
      <c r="AA190" s="4" t="s">
        <v>46</v>
      </c>
      <c r="AB190" s="4" t="s">
        <v>47</v>
      </c>
      <c r="AC190" s="4" t="s">
        <v>139</v>
      </c>
      <c r="AD190" s="4" t="s">
        <v>140</v>
      </c>
      <c r="AE190" s="4" t="s">
        <v>48</v>
      </c>
      <c r="AF190" s="4" t="s">
        <v>41</v>
      </c>
      <c r="AG190" s="4" t="s">
        <v>522</v>
      </c>
    </row>
    <row r="191" spans="1:33" ht="16.5" customHeight="1" x14ac:dyDescent="0.2">
      <c r="A191" s="2" t="s">
        <v>31</v>
      </c>
      <c r="B191" s="19" t="s">
        <v>50</v>
      </c>
      <c r="C191" s="19"/>
      <c r="D191" s="19"/>
      <c r="E191" s="20" t="s">
        <v>33</v>
      </c>
      <c r="F191" s="20"/>
      <c r="G191" s="21" t="s">
        <v>519</v>
      </c>
      <c r="H191" s="21"/>
      <c r="I191" s="21"/>
      <c r="J191" s="3" t="s">
        <v>35</v>
      </c>
      <c r="K191" s="4" t="s">
        <v>247</v>
      </c>
      <c r="L191" s="4" t="s">
        <v>37</v>
      </c>
      <c r="N191" s="21" t="s">
        <v>571</v>
      </c>
      <c r="O191" s="21"/>
      <c r="P191" s="21" t="s">
        <v>572</v>
      </c>
      <c r="Q191" s="21"/>
      <c r="R191" s="21"/>
      <c r="S191" s="3" t="s">
        <v>40</v>
      </c>
      <c r="T191" s="21" t="s">
        <v>41</v>
      </c>
      <c r="U191" s="21"/>
      <c r="V191" s="4" t="s">
        <v>42</v>
      </c>
      <c r="W191" s="4" t="s">
        <v>573</v>
      </c>
      <c r="X191" s="4" t="s">
        <v>574</v>
      </c>
      <c r="Y191" s="21" t="s">
        <v>65</v>
      </c>
      <c r="Z191" s="21"/>
      <c r="AA191" s="4" t="s">
        <v>46</v>
      </c>
      <c r="AB191" s="4" t="s">
        <v>47</v>
      </c>
      <c r="AC191" s="4" t="s">
        <v>57</v>
      </c>
      <c r="AD191" s="4" t="s">
        <v>58</v>
      </c>
      <c r="AE191" s="4" t="s">
        <v>48</v>
      </c>
      <c r="AF191" s="4" t="s">
        <v>41</v>
      </c>
      <c r="AG191" s="4" t="s">
        <v>522</v>
      </c>
    </row>
    <row r="192" spans="1:33" ht="16.5" customHeight="1" x14ac:dyDescent="0.2">
      <c r="A192" s="2" t="s">
        <v>31</v>
      </c>
      <c r="B192" s="19" t="s">
        <v>50</v>
      </c>
      <c r="C192" s="19"/>
      <c r="D192" s="19"/>
      <c r="E192" s="20" t="s">
        <v>33</v>
      </c>
      <c r="F192" s="20"/>
      <c r="G192" s="21" t="s">
        <v>519</v>
      </c>
      <c r="H192" s="21"/>
      <c r="I192" s="21"/>
      <c r="J192" s="3" t="s">
        <v>35</v>
      </c>
      <c r="K192" s="4" t="s">
        <v>133</v>
      </c>
      <c r="L192" s="4" t="s">
        <v>68</v>
      </c>
      <c r="N192" s="21" t="s">
        <v>575</v>
      </c>
      <c r="O192" s="21"/>
      <c r="P192" s="21" t="s">
        <v>576</v>
      </c>
      <c r="Q192" s="21"/>
      <c r="R192" s="21"/>
      <c r="S192" s="3" t="s">
        <v>40</v>
      </c>
      <c r="T192" s="21" t="s">
        <v>41</v>
      </c>
      <c r="U192" s="21"/>
      <c r="V192" s="4" t="s">
        <v>59</v>
      </c>
      <c r="W192" s="4" t="s">
        <v>268</v>
      </c>
      <c r="X192" s="4" t="s">
        <v>577</v>
      </c>
      <c r="Y192" s="21" t="s">
        <v>138</v>
      </c>
      <c r="Z192" s="21"/>
      <c r="AA192" s="4" t="s">
        <v>46</v>
      </c>
      <c r="AB192" s="4" t="s">
        <v>47</v>
      </c>
      <c r="AC192" s="4" t="s">
        <v>139</v>
      </c>
      <c r="AD192" s="4" t="s">
        <v>151</v>
      </c>
      <c r="AE192" s="4" t="s">
        <v>48</v>
      </c>
      <c r="AF192" s="4" t="s">
        <v>41</v>
      </c>
      <c r="AG192" s="4" t="s">
        <v>522</v>
      </c>
    </row>
    <row r="193" spans="1:33" ht="16.5" customHeight="1" x14ac:dyDescent="0.2">
      <c r="A193" s="2" t="s">
        <v>31</v>
      </c>
      <c r="B193" s="19" t="s">
        <v>50</v>
      </c>
      <c r="C193" s="19"/>
      <c r="D193" s="19"/>
      <c r="E193" s="20" t="s">
        <v>33</v>
      </c>
      <c r="F193" s="20"/>
      <c r="G193" s="21" t="s">
        <v>519</v>
      </c>
      <c r="H193" s="21"/>
      <c r="I193" s="21"/>
      <c r="J193" s="3" t="s">
        <v>35</v>
      </c>
      <c r="K193" s="4" t="s">
        <v>152</v>
      </c>
      <c r="L193" s="4" t="s">
        <v>68</v>
      </c>
      <c r="N193" s="21" t="s">
        <v>578</v>
      </c>
      <c r="O193" s="21"/>
      <c r="P193" s="21" t="s">
        <v>579</v>
      </c>
      <c r="Q193" s="21"/>
      <c r="R193" s="21"/>
      <c r="S193" s="3" t="s">
        <v>40</v>
      </c>
      <c r="T193" s="21" t="s">
        <v>41</v>
      </c>
      <c r="U193" s="21"/>
      <c r="V193" s="4" t="s">
        <v>42</v>
      </c>
      <c r="W193" s="4" t="s">
        <v>580</v>
      </c>
      <c r="X193" s="4" t="s">
        <v>581</v>
      </c>
      <c r="Y193" s="21" t="s">
        <v>56</v>
      </c>
      <c r="Z193" s="21"/>
      <c r="AA193" s="4" t="s">
        <v>46</v>
      </c>
      <c r="AB193" s="4" t="s">
        <v>47</v>
      </c>
      <c r="AC193" s="4" t="s">
        <v>139</v>
      </c>
      <c r="AD193" s="4" t="s">
        <v>151</v>
      </c>
      <c r="AE193" s="4" t="s">
        <v>48</v>
      </c>
      <c r="AF193" s="4" t="s">
        <v>41</v>
      </c>
      <c r="AG193" s="4" t="s">
        <v>522</v>
      </c>
    </row>
    <row r="194" spans="1:33" ht="16.5" customHeight="1" x14ac:dyDescent="0.2">
      <c r="A194" s="2" t="s">
        <v>31</v>
      </c>
      <c r="B194" s="19" t="s">
        <v>50</v>
      </c>
      <c r="C194" s="19"/>
      <c r="D194" s="19"/>
      <c r="E194" s="20" t="s">
        <v>33</v>
      </c>
      <c r="F194" s="20"/>
      <c r="G194" s="21" t="s">
        <v>519</v>
      </c>
      <c r="H194" s="21"/>
      <c r="I194" s="21"/>
      <c r="J194" s="3" t="s">
        <v>35</v>
      </c>
      <c r="K194" s="4" t="s">
        <v>74</v>
      </c>
      <c r="L194" s="4" t="s">
        <v>68</v>
      </c>
      <c r="N194" s="21" t="s">
        <v>582</v>
      </c>
      <c r="O194" s="21"/>
      <c r="P194" s="21" t="s">
        <v>583</v>
      </c>
      <c r="Q194" s="21"/>
      <c r="R194" s="21"/>
      <c r="S194" s="3" t="s">
        <v>40</v>
      </c>
      <c r="T194" s="21" t="s">
        <v>41</v>
      </c>
      <c r="U194" s="21"/>
      <c r="V194" s="4" t="s">
        <v>59</v>
      </c>
      <c r="W194" s="4" t="s">
        <v>567</v>
      </c>
      <c r="X194" s="4" t="s">
        <v>584</v>
      </c>
      <c r="Y194" s="21" t="s">
        <v>65</v>
      </c>
      <c r="Z194" s="21"/>
      <c r="AA194" s="4" t="s">
        <v>46</v>
      </c>
      <c r="AB194" s="4" t="s">
        <v>47</v>
      </c>
      <c r="AC194" s="4" t="s">
        <v>57</v>
      </c>
      <c r="AD194" s="4" t="s">
        <v>98</v>
      </c>
      <c r="AE194" s="4" t="s">
        <v>48</v>
      </c>
      <c r="AF194" s="4" t="s">
        <v>41</v>
      </c>
      <c r="AG194" s="4" t="s">
        <v>522</v>
      </c>
    </row>
    <row r="195" spans="1:33" ht="16.5" customHeight="1" x14ac:dyDescent="0.2">
      <c r="A195" s="2" t="s">
        <v>31</v>
      </c>
      <c r="B195" s="19" t="s">
        <v>50</v>
      </c>
      <c r="C195" s="19"/>
      <c r="D195" s="19"/>
      <c r="E195" s="20" t="s">
        <v>33</v>
      </c>
      <c r="F195" s="20"/>
      <c r="G195" s="21" t="s">
        <v>519</v>
      </c>
      <c r="H195" s="21"/>
      <c r="I195" s="21"/>
      <c r="J195" s="3" t="s">
        <v>35</v>
      </c>
      <c r="K195" s="4" t="s">
        <v>383</v>
      </c>
      <c r="L195" s="4" t="s">
        <v>37</v>
      </c>
      <c r="N195" s="21" t="s">
        <v>585</v>
      </c>
      <c r="O195" s="21"/>
      <c r="P195" s="21" t="s">
        <v>586</v>
      </c>
      <c r="Q195" s="21"/>
      <c r="R195" s="21"/>
      <c r="S195" s="3" t="s">
        <v>40</v>
      </c>
      <c r="T195" s="21" t="s">
        <v>41</v>
      </c>
      <c r="U195" s="21"/>
      <c r="V195" s="4" t="s">
        <v>42</v>
      </c>
      <c r="W195" s="4" t="s">
        <v>54</v>
      </c>
      <c r="X195" s="4" t="s">
        <v>55</v>
      </c>
      <c r="Y195" s="21" t="s">
        <v>198</v>
      </c>
      <c r="Z195" s="21"/>
      <c r="AA195" s="4" t="s">
        <v>46</v>
      </c>
      <c r="AB195" s="4" t="s">
        <v>47</v>
      </c>
      <c r="AC195" s="4" t="s">
        <v>139</v>
      </c>
      <c r="AD195" s="4" t="s">
        <v>140</v>
      </c>
      <c r="AE195" s="4" t="s">
        <v>48</v>
      </c>
      <c r="AF195" s="4" t="s">
        <v>41</v>
      </c>
      <c r="AG195" s="4" t="s">
        <v>522</v>
      </c>
    </row>
    <row r="196" spans="1:33" ht="16.5" customHeight="1" x14ac:dyDescent="0.2">
      <c r="A196" s="2" t="s">
        <v>31</v>
      </c>
      <c r="B196" s="19" t="s">
        <v>50</v>
      </c>
      <c r="C196" s="19"/>
      <c r="D196" s="19"/>
      <c r="E196" s="20" t="s">
        <v>33</v>
      </c>
      <c r="F196" s="20"/>
      <c r="G196" s="21" t="s">
        <v>519</v>
      </c>
      <c r="H196" s="21"/>
      <c r="I196" s="21"/>
      <c r="J196" s="3" t="s">
        <v>35</v>
      </c>
      <c r="K196" s="4" t="s">
        <v>99</v>
      </c>
      <c r="L196" s="4" t="s">
        <v>37</v>
      </c>
      <c r="N196" s="21" t="s">
        <v>587</v>
      </c>
      <c r="O196" s="21"/>
      <c r="P196" s="21" t="s">
        <v>588</v>
      </c>
      <c r="Q196" s="21"/>
      <c r="R196" s="21"/>
      <c r="S196" s="3" t="s">
        <v>40</v>
      </c>
      <c r="T196" s="21" t="s">
        <v>41</v>
      </c>
      <c r="U196" s="21"/>
      <c r="V196" s="4" t="s">
        <v>59</v>
      </c>
      <c r="W196" s="4" t="s">
        <v>239</v>
      </c>
      <c r="X196" s="4" t="s">
        <v>166</v>
      </c>
      <c r="Y196" s="21" t="s">
        <v>56</v>
      </c>
      <c r="Z196" s="21"/>
      <c r="AA196" s="4" t="s">
        <v>46</v>
      </c>
      <c r="AB196" s="4" t="s">
        <v>47</v>
      </c>
      <c r="AC196" s="4" t="s">
        <v>139</v>
      </c>
      <c r="AD196" s="4" t="s">
        <v>140</v>
      </c>
      <c r="AE196" s="4" t="s">
        <v>48</v>
      </c>
      <c r="AF196" s="4" t="s">
        <v>41</v>
      </c>
      <c r="AG196" s="4" t="s">
        <v>522</v>
      </c>
    </row>
    <row r="197" spans="1:33" ht="16.5" customHeight="1" x14ac:dyDescent="0.2">
      <c r="A197" s="2" t="s">
        <v>31</v>
      </c>
      <c r="B197" s="19" t="s">
        <v>50</v>
      </c>
      <c r="C197" s="19"/>
      <c r="D197" s="19"/>
      <c r="E197" s="20" t="s">
        <v>33</v>
      </c>
      <c r="F197" s="20"/>
      <c r="G197" s="21" t="s">
        <v>519</v>
      </c>
      <c r="H197" s="21"/>
      <c r="I197" s="21"/>
      <c r="J197" s="3" t="s">
        <v>35</v>
      </c>
      <c r="K197" s="4" t="s">
        <v>99</v>
      </c>
      <c r="L197" s="4" t="s">
        <v>37</v>
      </c>
      <c r="N197" s="21" t="s">
        <v>589</v>
      </c>
      <c r="O197" s="21"/>
      <c r="P197" s="21" t="s">
        <v>590</v>
      </c>
      <c r="Q197" s="21"/>
      <c r="R197" s="21"/>
      <c r="S197" s="3" t="s">
        <v>40</v>
      </c>
      <c r="T197" s="21" t="s">
        <v>41</v>
      </c>
      <c r="U197" s="21"/>
      <c r="V197" s="4" t="s">
        <v>42</v>
      </c>
      <c r="W197" s="4" t="s">
        <v>157</v>
      </c>
      <c r="X197" s="4" t="s">
        <v>158</v>
      </c>
      <c r="Y197" s="21" t="s">
        <v>56</v>
      </c>
      <c r="Z197" s="21"/>
      <c r="AA197" s="4" t="s">
        <v>46</v>
      </c>
      <c r="AB197" s="4" t="s">
        <v>47</v>
      </c>
      <c r="AC197" s="4" t="s">
        <v>139</v>
      </c>
      <c r="AD197" s="4" t="s">
        <v>140</v>
      </c>
      <c r="AE197" s="4" t="s">
        <v>48</v>
      </c>
      <c r="AF197" s="4" t="s">
        <v>41</v>
      </c>
      <c r="AG197" s="4" t="s">
        <v>522</v>
      </c>
    </row>
    <row r="198" spans="1:33" ht="16.5" customHeight="1" x14ac:dyDescent="0.2">
      <c r="A198" s="2" t="s">
        <v>31</v>
      </c>
      <c r="B198" s="19" t="s">
        <v>50</v>
      </c>
      <c r="C198" s="19"/>
      <c r="D198" s="19"/>
      <c r="E198" s="20" t="s">
        <v>33</v>
      </c>
      <c r="F198" s="20"/>
      <c r="G198" s="21" t="s">
        <v>519</v>
      </c>
      <c r="H198" s="21"/>
      <c r="I198" s="21"/>
      <c r="J198" s="3" t="s">
        <v>35</v>
      </c>
      <c r="K198" s="4" t="s">
        <v>152</v>
      </c>
      <c r="L198" s="4" t="s">
        <v>37</v>
      </c>
      <c r="N198" s="21" t="s">
        <v>591</v>
      </c>
      <c r="O198" s="21"/>
      <c r="P198" s="21" t="s">
        <v>592</v>
      </c>
      <c r="Q198" s="21"/>
      <c r="R198" s="21"/>
      <c r="S198" s="3" t="s">
        <v>40</v>
      </c>
      <c r="T198" s="21" t="s">
        <v>41</v>
      </c>
      <c r="U198" s="21"/>
      <c r="V198" s="4" t="s">
        <v>42</v>
      </c>
      <c r="W198" s="4" t="s">
        <v>261</v>
      </c>
      <c r="X198" s="4" t="s">
        <v>262</v>
      </c>
      <c r="Y198" s="21" t="s">
        <v>56</v>
      </c>
      <c r="Z198" s="21"/>
      <c r="AA198" s="4" t="s">
        <v>46</v>
      </c>
      <c r="AB198" s="4" t="s">
        <v>47</v>
      </c>
      <c r="AC198" s="4" t="s">
        <v>139</v>
      </c>
      <c r="AD198" s="4" t="s">
        <v>140</v>
      </c>
      <c r="AE198" s="4" t="s">
        <v>48</v>
      </c>
      <c r="AF198" s="4" t="s">
        <v>41</v>
      </c>
      <c r="AG198" s="4" t="s">
        <v>522</v>
      </c>
    </row>
    <row r="199" spans="1:33" ht="16.5" customHeight="1" x14ac:dyDescent="0.2">
      <c r="A199" s="2" t="s">
        <v>31</v>
      </c>
      <c r="B199" s="19" t="s">
        <v>50</v>
      </c>
      <c r="C199" s="19"/>
      <c r="D199" s="19"/>
      <c r="E199" s="20" t="s">
        <v>33</v>
      </c>
      <c r="F199" s="20"/>
      <c r="G199" s="21" t="s">
        <v>519</v>
      </c>
      <c r="H199" s="21"/>
      <c r="I199" s="21"/>
      <c r="J199" s="3" t="s">
        <v>35</v>
      </c>
      <c r="K199" s="4" t="s">
        <v>82</v>
      </c>
      <c r="L199" s="4" t="s">
        <v>68</v>
      </c>
      <c r="N199" s="21" t="s">
        <v>593</v>
      </c>
      <c r="O199" s="21"/>
      <c r="P199" s="21" t="s">
        <v>594</v>
      </c>
      <c r="Q199" s="21"/>
      <c r="R199" s="21"/>
      <c r="S199" s="3" t="s">
        <v>40</v>
      </c>
      <c r="T199" s="21" t="s">
        <v>41</v>
      </c>
      <c r="U199" s="21"/>
      <c r="V199" s="4" t="s">
        <v>42</v>
      </c>
      <c r="W199" s="4" t="s">
        <v>209</v>
      </c>
      <c r="X199" s="4" t="s">
        <v>210</v>
      </c>
      <c r="Y199" s="21" t="s">
        <v>56</v>
      </c>
      <c r="Z199" s="21"/>
      <c r="AA199" s="4" t="s">
        <v>46</v>
      </c>
      <c r="AB199" s="4" t="s">
        <v>47</v>
      </c>
      <c r="AC199" s="4" t="s">
        <v>139</v>
      </c>
      <c r="AD199" s="4" t="s">
        <v>151</v>
      </c>
      <c r="AE199" s="4" t="s">
        <v>48</v>
      </c>
      <c r="AF199" s="4" t="s">
        <v>41</v>
      </c>
      <c r="AG199" s="4" t="s">
        <v>522</v>
      </c>
    </row>
    <row r="200" spans="1:33" ht="16.5" customHeight="1" x14ac:dyDescent="0.2">
      <c r="A200" s="2" t="s">
        <v>31</v>
      </c>
      <c r="B200" s="19" t="s">
        <v>50</v>
      </c>
      <c r="C200" s="19"/>
      <c r="D200" s="19"/>
      <c r="E200" s="20" t="s">
        <v>33</v>
      </c>
      <c r="F200" s="20"/>
      <c r="G200" s="21" t="s">
        <v>519</v>
      </c>
      <c r="H200" s="21"/>
      <c r="I200" s="21"/>
      <c r="J200" s="3" t="s">
        <v>35</v>
      </c>
      <c r="K200" s="4" t="s">
        <v>74</v>
      </c>
      <c r="L200" s="4" t="s">
        <v>37</v>
      </c>
      <c r="N200" s="21" t="s">
        <v>595</v>
      </c>
      <c r="O200" s="21"/>
      <c r="P200" s="21" t="s">
        <v>596</v>
      </c>
      <c r="Q200" s="21"/>
      <c r="R200" s="21"/>
      <c r="S200" s="3" t="s">
        <v>40</v>
      </c>
      <c r="T200" s="21" t="s">
        <v>41</v>
      </c>
      <c r="U200" s="21"/>
      <c r="V200" s="4" t="s">
        <v>59</v>
      </c>
      <c r="W200" s="4" t="s">
        <v>94</v>
      </c>
      <c r="X200" s="4" t="s">
        <v>105</v>
      </c>
      <c r="Y200" s="21" t="s">
        <v>65</v>
      </c>
      <c r="Z200" s="21"/>
      <c r="AA200" s="4" t="s">
        <v>46</v>
      </c>
      <c r="AB200" s="4" t="s">
        <v>47</v>
      </c>
      <c r="AC200" s="4" t="s">
        <v>66</v>
      </c>
      <c r="AD200" s="4" t="s">
        <v>73</v>
      </c>
      <c r="AE200" s="4" t="s">
        <v>48</v>
      </c>
      <c r="AF200" s="4" t="s">
        <v>41</v>
      </c>
      <c r="AG200" s="4" t="s">
        <v>522</v>
      </c>
    </row>
    <row r="201" spans="1:33" ht="16.5" customHeight="1" x14ac:dyDescent="0.2">
      <c r="A201" s="2" t="s">
        <v>31</v>
      </c>
      <c r="B201" s="19" t="s">
        <v>50</v>
      </c>
      <c r="C201" s="19"/>
      <c r="D201" s="19"/>
      <c r="E201" s="20" t="s">
        <v>33</v>
      </c>
      <c r="F201" s="20"/>
      <c r="G201" s="21" t="s">
        <v>519</v>
      </c>
      <c r="H201" s="21"/>
      <c r="I201" s="21"/>
      <c r="J201" s="3" t="s">
        <v>35</v>
      </c>
      <c r="K201" s="4" t="s">
        <v>82</v>
      </c>
      <c r="L201" s="4" t="s">
        <v>37</v>
      </c>
      <c r="N201" s="21" t="s">
        <v>597</v>
      </c>
      <c r="O201" s="21"/>
      <c r="P201" s="21" t="s">
        <v>598</v>
      </c>
      <c r="Q201" s="21"/>
      <c r="R201" s="21"/>
      <c r="S201" s="3" t="s">
        <v>40</v>
      </c>
      <c r="T201" s="21" t="s">
        <v>41</v>
      </c>
      <c r="U201" s="21"/>
      <c r="V201" s="4" t="s">
        <v>59</v>
      </c>
      <c r="W201" s="4" t="s">
        <v>130</v>
      </c>
      <c r="X201" s="4" t="s">
        <v>131</v>
      </c>
      <c r="Y201" s="21" t="s">
        <v>56</v>
      </c>
      <c r="Z201" s="21"/>
      <c r="AA201" s="4" t="s">
        <v>46</v>
      </c>
      <c r="AB201" s="4" t="s">
        <v>47</v>
      </c>
      <c r="AC201" s="4" t="s">
        <v>57</v>
      </c>
      <c r="AD201" s="4" t="s">
        <v>58</v>
      </c>
      <c r="AE201" s="4" t="s">
        <v>48</v>
      </c>
      <c r="AF201" s="4" t="s">
        <v>41</v>
      </c>
      <c r="AG201" s="4" t="s">
        <v>522</v>
      </c>
    </row>
    <row r="202" spans="1:33" ht="16.5" customHeight="1" x14ac:dyDescent="0.2">
      <c r="A202" s="2" t="s">
        <v>31</v>
      </c>
      <c r="B202" s="19" t="s">
        <v>50</v>
      </c>
      <c r="C202" s="19"/>
      <c r="D202" s="19"/>
      <c r="E202" s="20" t="s">
        <v>33</v>
      </c>
      <c r="F202" s="20"/>
      <c r="G202" s="21" t="s">
        <v>519</v>
      </c>
      <c r="H202" s="21"/>
      <c r="I202" s="21"/>
      <c r="J202" s="3" t="s">
        <v>35</v>
      </c>
      <c r="K202" s="4" t="s">
        <v>146</v>
      </c>
      <c r="L202" s="4" t="s">
        <v>37</v>
      </c>
      <c r="N202" s="21" t="s">
        <v>599</v>
      </c>
      <c r="O202" s="21"/>
      <c r="P202" s="21" t="s">
        <v>600</v>
      </c>
      <c r="Q202" s="21"/>
      <c r="R202" s="21"/>
      <c r="S202" s="3" t="s">
        <v>40</v>
      </c>
      <c r="T202" s="21" t="s">
        <v>41</v>
      </c>
      <c r="U202" s="21"/>
      <c r="V202" s="4" t="s">
        <v>42</v>
      </c>
      <c r="W202" s="4" t="s">
        <v>381</v>
      </c>
      <c r="X202" s="4" t="s">
        <v>382</v>
      </c>
      <c r="Y202" s="21" t="s">
        <v>138</v>
      </c>
      <c r="Z202" s="21"/>
      <c r="AA202" s="4" t="s">
        <v>46</v>
      </c>
      <c r="AB202" s="4" t="s">
        <v>47</v>
      </c>
      <c r="AC202" s="4" t="s">
        <v>57</v>
      </c>
      <c r="AD202" s="4" t="s">
        <v>58</v>
      </c>
      <c r="AE202" s="4" t="s">
        <v>48</v>
      </c>
      <c r="AF202" s="4" t="s">
        <v>41</v>
      </c>
      <c r="AG202" s="4" t="s">
        <v>522</v>
      </c>
    </row>
    <row r="203" spans="1:33" ht="16.5" customHeight="1" x14ac:dyDescent="0.2">
      <c r="A203" s="2" t="s">
        <v>31</v>
      </c>
      <c r="B203" s="19" t="s">
        <v>50</v>
      </c>
      <c r="C203" s="19"/>
      <c r="D203" s="19"/>
      <c r="E203" s="20" t="s">
        <v>33</v>
      </c>
      <c r="F203" s="20"/>
      <c r="G203" s="21" t="s">
        <v>519</v>
      </c>
      <c r="H203" s="21"/>
      <c r="I203" s="21"/>
      <c r="J203" s="3" t="s">
        <v>35</v>
      </c>
      <c r="K203" s="4" t="s">
        <v>51</v>
      </c>
      <c r="L203" s="4" t="s">
        <v>231</v>
      </c>
      <c r="N203" s="21" t="s">
        <v>601</v>
      </c>
      <c r="O203" s="21"/>
      <c r="P203" s="21" t="s">
        <v>602</v>
      </c>
      <c r="Q203" s="21"/>
      <c r="R203" s="21"/>
      <c r="S203" s="3" t="s">
        <v>40</v>
      </c>
      <c r="T203" s="21" t="s">
        <v>41</v>
      </c>
      <c r="U203" s="21"/>
      <c r="V203" s="4" t="s">
        <v>42</v>
      </c>
      <c r="W203" s="4" t="s">
        <v>130</v>
      </c>
      <c r="X203" s="4" t="s">
        <v>60</v>
      </c>
      <c r="Y203" s="21" t="s">
        <v>56</v>
      </c>
      <c r="Z203" s="21"/>
      <c r="AA203" s="4" t="s">
        <v>46</v>
      </c>
      <c r="AB203" s="4" t="s">
        <v>47</v>
      </c>
      <c r="AC203" s="4" t="s">
        <v>57</v>
      </c>
      <c r="AD203" s="4" t="s">
        <v>236</v>
      </c>
      <c r="AE203" s="4" t="s">
        <v>48</v>
      </c>
      <c r="AF203" s="4" t="s">
        <v>41</v>
      </c>
      <c r="AG203" s="4" t="s">
        <v>522</v>
      </c>
    </row>
    <row r="204" spans="1:33" ht="16.5" customHeight="1" x14ac:dyDescent="0.2">
      <c r="A204" s="2" t="s">
        <v>31</v>
      </c>
      <c r="B204" s="19" t="s">
        <v>50</v>
      </c>
      <c r="C204" s="19"/>
      <c r="D204" s="19"/>
      <c r="E204" s="20" t="s">
        <v>33</v>
      </c>
      <c r="F204" s="20"/>
      <c r="G204" s="21" t="s">
        <v>519</v>
      </c>
      <c r="H204" s="21"/>
      <c r="I204" s="21"/>
      <c r="J204" s="3" t="s">
        <v>35</v>
      </c>
      <c r="K204" s="4" t="s">
        <v>51</v>
      </c>
      <c r="L204" s="4" t="s">
        <v>231</v>
      </c>
      <c r="N204" s="21" t="s">
        <v>601</v>
      </c>
      <c r="O204" s="21"/>
      <c r="P204" s="21" t="s">
        <v>602</v>
      </c>
      <c r="Q204" s="21"/>
      <c r="R204" s="21"/>
      <c r="S204" s="3" t="s">
        <v>40</v>
      </c>
      <c r="T204" s="21" t="s">
        <v>41</v>
      </c>
      <c r="U204" s="21"/>
      <c r="V204" s="4" t="s">
        <v>59</v>
      </c>
      <c r="W204" s="4" t="s">
        <v>130</v>
      </c>
      <c r="X204" s="4" t="s">
        <v>131</v>
      </c>
      <c r="Y204" s="21" t="s">
        <v>56</v>
      </c>
      <c r="Z204" s="21"/>
      <c r="AA204" s="4" t="s">
        <v>46</v>
      </c>
      <c r="AB204" s="4" t="s">
        <v>47</v>
      </c>
      <c r="AC204" s="4" t="s">
        <v>57</v>
      </c>
      <c r="AD204" s="4" t="s">
        <v>236</v>
      </c>
      <c r="AE204" s="4" t="s">
        <v>48</v>
      </c>
      <c r="AF204" s="4" t="s">
        <v>41</v>
      </c>
      <c r="AG204" s="4" t="s">
        <v>522</v>
      </c>
    </row>
    <row r="205" spans="1:33" ht="16.5" customHeight="1" x14ac:dyDescent="0.2">
      <c r="A205" s="2" t="s">
        <v>31</v>
      </c>
      <c r="B205" s="19" t="s">
        <v>50</v>
      </c>
      <c r="C205" s="19"/>
      <c r="D205" s="19"/>
      <c r="E205" s="20" t="s">
        <v>33</v>
      </c>
      <c r="F205" s="20"/>
      <c r="G205" s="21" t="s">
        <v>519</v>
      </c>
      <c r="H205" s="21"/>
      <c r="I205" s="21"/>
      <c r="J205" s="3" t="s">
        <v>35</v>
      </c>
      <c r="K205" s="4" t="s">
        <v>99</v>
      </c>
      <c r="L205" s="4" t="s">
        <v>37</v>
      </c>
      <c r="N205" s="21" t="s">
        <v>603</v>
      </c>
      <c r="O205" s="21"/>
      <c r="P205" s="21" t="s">
        <v>604</v>
      </c>
      <c r="Q205" s="21"/>
      <c r="R205" s="21"/>
      <c r="S205" s="3" t="s">
        <v>40</v>
      </c>
      <c r="T205" s="21" t="s">
        <v>41</v>
      </c>
      <c r="U205" s="21"/>
      <c r="V205" s="4" t="s">
        <v>42</v>
      </c>
      <c r="W205" s="4" t="s">
        <v>469</v>
      </c>
      <c r="X205" s="4" t="s">
        <v>470</v>
      </c>
      <c r="Y205" s="21" t="s">
        <v>56</v>
      </c>
      <c r="Z205" s="21"/>
      <c r="AA205" s="4" t="s">
        <v>46</v>
      </c>
      <c r="AB205" s="4" t="s">
        <v>47</v>
      </c>
      <c r="AC205" s="4" t="s">
        <v>139</v>
      </c>
      <c r="AD205" s="4" t="s">
        <v>140</v>
      </c>
      <c r="AE205" s="4" t="s">
        <v>48</v>
      </c>
      <c r="AF205" s="4" t="s">
        <v>41</v>
      </c>
      <c r="AG205" s="4" t="s">
        <v>522</v>
      </c>
    </row>
    <row r="206" spans="1:33" ht="16.5" customHeight="1" x14ac:dyDescent="0.2">
      <c r="A206" s="2" t="s">
        <v>31</v>
      </c>
      <c r="B206" s="19" t="s">
        <v>50</v>
      </c>
      <c r="C206" s="19"/>
      <c r="D206" s="19"/>
      <c r="E206" s="20" t="s">
        <v>33</v>
      </c>
      <c r="F206" s="20"/>
      <c r="G206" s="21" t="s">
        <v>519</v>
      </c>
      <c r="H206" s="21"/>
      <c r="I206" s="21"/>
      <c r="J206" s="3" t="s">
        <v>35</v>
      </c>
      <c r="K206" s="4" t="s">
        <v>120</v>
      </c>
      <c r="L206" s="4" t="s">
        <v>37</v>
      </c>
      <c r="N206" s="21" t="s">
        <v>605</v>
      </c>
      <c r="O206" s="21"/>
      <c r="P206" s="21" t="s">
        <v>606</v>
      </c>
      <c r="Q206" s="21"/>
      <c r="R206" s="21"/>
      <c r="S206" s="3" t="s">
        <v>40</v>
      </c>
      <c r="T206" s="21" t="s">
        <v>41</v>
      </c>
      <c r="U206" s="21"/>
      <c r="V206" s="4" t="s">
        <v>42</v>
      </c>
      <c r="W206" s="4" t="s">
        <v>607</v>
      </c>
      <c r="X206" s="4" t="s">
        <v>471</v>
      </c>
      <c r="Y206" s="21" t="s">
        <v>65</v>
      </c>
      <c r="Z206" s="21"/>
      <c r="AA206" s="4" t="s">
        <v>46</v>
      </c>
      <c r="AB206" s="4" t="s">
        <v>47</v>
      </c>
      <c r="AC206" s="4" t="s">
        <v>57</v>
      </c>
      <c r="AD206" s="4" t="s">
        <v>58</v>
      </c>
      <c r="AE206" s="4" t="s">
        <v>48</v>
      </c>
      <c r="AF206" s="4" t="s">
        <v>41</v>
      </c>
      <c r="AG206" s="4" t="s">
        <v>522</v>
      </c>
    </row>
    <row r="207" spans="1:33" ht="16.5" customHeight="1" x14ac:dyDescent="0.2">
      <c r="A207" s="2" t="s">
        <v>31</v>
      </c>
      <c r="B207" s="19" t="s">
        <v>50</v>
      </c>
      <c r="C207" s="19"/>
      <c r="D207" s="19"/>
      <c r="E207" s="20" t="s">
        <v>33</v>
      </c>
      <c r="F207" s="20"/>
      <c r="G207" s="21" t="s">
        <v>519</v>
      </c>
      <c r="H207" s="21"/>
      <c r="I207" s="21"/>
      <c r="J207" s="3" t="s">
        <v>35</v>
      </c>
      <c r="K207" s="4" t="s">
        <v>99</v>
      </c>
      <c r="L207" s="4" t="s">
        <v>37</v>
      </c>
      <c r="N207" s="21" t="s">
        <v>608</v>
      </c>
      <c r="O207" s="21"/>
      <c r="P207" s="21" t="s">
        <v>609</v>
      </c>
      <c r="Q207" s="21"/>
      <c r="R207" s="21"/>
      <c r="S207" s="3" t="s">
        <v>40</v>
      </c>
      <c r="T207" s="21" t="s">
        <v>41</v>
      </c>
      <c r="U207" s="21"/>
      <c r="V207" s="4" t="s">
        <v>42</v>
      </c>
      <c r="W207" s="4" t="s">
        <v>43</v>
      </c>
      <c r="X207" s="4" t="s">
        <v>44</v>
      </c>
      <c r="Y207" s="21" t="s">
        <v>56</v>
      </c>
      <c r="Z207" s="21"/>
      <c r="AA207" s="4" t="s">
        <v>46</v>
      </c>
      <c r="AB207" s="4" t="s">
        <v>47</v>
      </c>
      <c r="AC207" s="4" t="s">
        <v>139</v>
      </c>
      <c r="AD207" s="4" t="s">
        <v>140</v>
      </c>
      <c r="AE207" s="4" t="s">
        <v>48</v>
      </c>
      <c r="AF207" s="4" t="s">
        <v>41</v>
      </c>
      <c r="AG207" s="4" t="s">
        <v>522</v>
      </c>
    </row>
    <row r="208" spans="1:33" ht="16.5" customHeight="1" x14ac:dyDescent="0.2">
      <c r="A208" s="2" t="s">
        <v>31</v>
      </c>
      <c r="B208" s="19" t="s">
        <v>50</v>
      </c>
      <c r="C208" s="19"/>
      <c r="D208" s="19"/>
      <c r="E208" s="20" t="s">
        <v>33</v>
      </c>
      <c r="F208" s="20"/>
      <c r="G208" s="21" t="s">
        <v>519</v>
      </c>
      <c r="H208" s="21"/>
      <c r="I208" s="21"/>
      <c r="J208" s="3" t="s">
        <v>35</v>
      </c>
      <c r="K208" s="4" t="s">
        <v>82</v>
      </c>
      <c r="L208" s="4" t="s">
        <v>37</v>
      </c>
      <c r="N208" s="21" t="s">
        <v>610</v>
      </c>
      <c r="O208" s="21"/>
      <c r="P208" s="21" t="s">
        <v>611</v>
      </c>
      <c r="Q208" s="21"/>
      <c r="R208" s="21"/>
      <c r="S208" s="3" t="s">
        <v>40</v>
      </c>
      <c r="T208" s="21" t="s">
        <v>41</v>
      </c>
      <c r="U208" s="21"/>
      <c r="V208" s="4" t="s">
        <v>42</v>
      </c>
      <c r="W208" s="4" t="s">
        <v>182</v>
      </c>
      <c r="X208" s="4" t="s">
        <v>294</v>
      </c>
      <c r="Y208" s="21" t="s">
        <v>56</v>
      </c>
      <c r="Z208" s="21"/>
      <c r="AA208" s="4" t="s">
        <v>46</v>
      </c>
      <c r="AB208" s="4" t="s">
        <v>47</v>
      </c>
      <c r="AC208" s="4" t="s">
        <v>57</v>
      </c>
      <c r="AD208" s="4" t="s">
        <v>58</v>
      </c>
      <c r="AE208" s="4" t="s">
        <v>48</v>
      </c>
      <c r="AF208" s="4" t="s">
        <v>41</v>
      </c>
      <c r="AG208" s="4" t="s">
        <v>522</v>
      </c>
    </row>
    <row r="209" spans="1:33" ht="16.5" customHeight="1" x14ac:dyDescent="0.2">
      <c r="A209" s="2" t="s">
        <v>31</v>
      </c>
      <c r="B209" s="19" t="s">
        <v>50</v>
      </c>
      <c r="C209" s="19"/>
      <c r="D209" s="19"/>
      <c r="E209" s="20" t="s">
        <v>33</v>
      </c>
      <c r="F209" s="20"/>
      <c r="G209" s="21" t="s">
        <v>519</v>
      </c>
      <c r="H209" s="21"/>
      <c r="I209" s="21"/>
      <c r="J209" s="3" t="s">
        <v>35</v>
      </c>
      <c r="K209" s="4" t="s">
        <v>82</v>
      </c>
      <c r="L209" s="4" t="s">
        <v>37</v>
      </c>
      <c r="N209" s="21" t="s">
        <v>610</v>
      </c>
      <c r="O209" s="21"/>
      <c r="P209" s="21" t="s">
        <v>611</v>
      </c>
      <c r="Q209" s="21"/>
      <c r="R209" s="21"/>
      <c r="S209" s="3" t="s">
        <v>40</v>
      </c>
      <c r="T209" s="21" t="s">
        <v>41</v>
      </c>
      <c r="U209" s="21"/>
      <c r="V209" s="4" t="s">
        <v>59</v>
      </c>
      <c r="W209" s="4" t="s">
        <v>182</v>
      </c>
      <c r="X209" s="4" t="s">
        <v>78</v>
      </c>
      <c r="Y209" s="21" t="s">
        <v>56</v>
      </c>
      <c r="Z209" s="21"/>
      <c r="AA209" s="4" t="s">
        <v>46</v>
      </c>
      <c r="AB209" s="4" t="s">
        <v>47</v>
      </c>
      <c r="AC209" s="4" t="s">
        <v>57</v>
      </c>
      <c r="AD209" s="4" t="s">
        <v>58</v>
      </c>
      <c r="AE209" s="4" t="s">
        <v>48</v>
      </c>
      <c r="AF209" s="4" t="s">
        <v>41</v>
      </c>
      <c r="AG209" s="4" t="s">
        <v>522</v>
      </c>
    </row>
    <row r="210" spans="1:33" ht="16.5" customHeight="1" x14ac:dyDescent="0.2">
      <c r="A210" s="2" t="s">
        <v>31</v>
      </c>
      <c r="B210" s="19" t="s">
        <v>50</v>
      </c>
      <c r="C210" s="19"/>
      <c r="D210" s="19"/>
      <c r="E210" s="20" t="s">
        <v>33</v>
      </c>
      <c r="F210" s="20"/>
      <c r="G210" s="21" t="s">
        <v>519</v>
      </c>
      <c r="H210" s="21"/>
      <c r="I210" s="21"/>
      <c r="J210" s="3" t="s">
        <v>35</v>
      </c>
      <c r="K210" s="4" t="s">
        <v>152</v>
      </c>
      <c r="L210" s="4" t="s">
        <v>37</v>
      </c>
      <c r="N210" s="21" t="s">
        <v>612</v>
      </c>
      <c r="O210" s="21"/>
      <c r="P210" s="21" t="s">
        <v>613</v>
      </c>
      <c r="Q210" s="21"/>
      <c r="R210" s="21"/>
      <c r="S210" s="3" t="s">
        <v>40</v>
      </c>
      <c r="T210" s="21" t="s">
        <v>41</v>
      </c>
      <c r="U210" s="21"/>
      <c r="V210" s="4" t="s">
        <v>42</v>
      </c>
      <c r="W210" s="4" t="s">
        <v>484</v>
      </c>
      <c r="X210" s="4" t="s">
        <v>485</v>
      </c>
      <c r="Y210" s="21" t="s">
        <v>56</v>
      </c>
      <c r="Z210" s="21"/>
      <c r="AA210" s="4" t="s">
        <v>46</v>
      </c>
      <c r="AB210" s="4" t="s">
        <v>47</v>
      </c>
      <c r="AC210" s="4" t="s">
        <v>139</v>
      </c>
      <c r="AD210" s="4" t="s">
        <v>140</v>
      </c>
      <c r="AE210" s="4" t="s">
        <v>48</v>
      </c>
      <c r="AF210" s="4" t="s">
        <v>41</v>
      </c>
      <c r="AG210" s="4" t="s">
        <v>522</v>
      </c>
    </row>
    <row r="211" spans="1:33" ht="16.5" customHeight="1" x14ac:dyDescent="0.2">
      <c r="A211" s="2" t="s">
        <v>31</v>
      </c>
      <c r="B211" s="19" t="s">
        <v>50</v>
      </c>
      <c r="C211" s="19"/>
      <c r="D211" s="19"/>
      <c r="E211" s="20" t="s">
        <v>33</v>
      </c>
      <c r="F211" s="20"/>
      <c r="G211" s="21" t="s">
        <v>519</v>
      </c>
      <c r="H211" s="21"/>
      <c r="I211" s="21"/>
      <c r="J211" s="3" t="s">
        <v>35</v>
      </c>
      <c r="K211" s="4" t="s">
        <v>99</v>
      </c>
      <c r="L211" s="4" t="s">
        <v>37</v>
      </c>
      <c r="N211" s="21" t="s">
        <v>614</v>
      </c>
      <c r="O211" s="21"/>
      <c r="P211" s="21" t="s">
        <v>615</v>
      </c>
      <c r="Q211" s="21"/>
      <c r="R211" s="21"/>
      <c r="S211" s="3" t="s">
        <v>40</v>
      </c>
      <c r="T211" s="21" t="s">
        <v>41</v>
      </c>
      <c r="U211" s="21"/>
      <c r="V211" s="4" t="s">
        <v>42</v>
      </c>
      <c r="W211" s="4" t="s">
        <v>484</v>
      </c>
      <c r="X211" s="4" t="s">
        <v>485</v>
      </c>
      <c r="Y211" s="21" t="s">
        <v>56</v>
      </c>
      <c r="Z211" s="21"/>
      <c r="AA211" s="4" t="s">
        <v>46</v>
      </c>
      <c r="AB211" s="4" t="s">
        <v>47</v>
      </c>
      <c r="AC211" s="4" t="s">
        <v>139</v>
      </c>
      <c r="AD211" s="4" t="s">
        <v>140</v>
      </c>
      <c r="AE211" s="4" t="s">
        <v>48</v>
      </c>
      <c r="AF211" s="4" t="s">
        <v>41</v>
      </c>
      <c r="AG211" s="4" t="s">
        <v>522</v>
      </c>
    </row>
    <row r="212" spans="1:33" ht="16.5" customHeight="1" x14ac:dyDescent="0.2">
      <c r="A212" s="2" t="s">
        <v>31</v>
      </c>
      <c r="B212" s="19" t="s">
        <v>50</v>
      </c>
      <c r="C212" s="19"/>
      <c r="D212" s="19"/>
      <c r="E212" s="20" t="s">
        <v>33</v>
      </c>
      <c r="F212" s="20"/>
      <c r="G212" s="21" t="s">
        <v>519</v>
      </c>
      <c r="H212" s="21"/>
      <c r="I212" s="21"/>
      <c r="J212" s="3" t="s">
        <v>35</v>
      </c>
      <c r="K212" s="4" t="s">
        <v>82</v>
      </c>
      <c r="L212" s="4" t="s">
        <v>445</v>
      </c>
      <c r="N212" s="21" t="s">
        <v>616</v>
      </c>
      <c r="O212" s="21"/>
      <c r="P212" s="21" t="s">
        <v>617</v>
      </c>
      <c r="Q212" s="21"/>
      <c r="R212" s="21"/>
      <c r="S212" s="3" t="s">
        <v>40</v>
      </c>
      <c r="T212" s="21" t="s">
        <v>41</v>
      </c>
      <c r="U212" s="21"/>
      <c r="V212" s="4" t="s">
        <v>42</v>
      </c>
      <c r="W212" s="4" t="s">
        <v>234</v>
      </c>
      <c r="X212" s="4" t="s">
        <v>235</v>
      </c>
      <c r="Y212" s="21" t="s">
        <v>56</v>
      </c>
      <c r="Z212" s="21"/>
      <c r="AA212" s="4" t="s">
        <v>46</v>
      </c>
      <c r="AB212" s="4" t="s">
        <v>47</v>
      </c>
      <c r="AC212" s="4" t="s">
        <v>139</v>
      </c>
      <c r="AD212" s="4" t="s">
        <v>466</v>
      </c>
      <c r="AE212" s="4" t="s">
        <v>48</v>
      </c>
      <c r="AF212" s="4" t="s">
        <v>41</v>
      </c>
      <c r="AG212" s="4" t="s">
        <v>522</v>
      </c>
    </row>
    <row r="213" spans="1:33" ht="16.5" customHeight="1" x14ac:dyDescent="0.2">
      <c r="A213" s="2" t="s">
        <v>31</v>
      </c>
      <c r="B213" s="19" t="s">
        <v>50</v>
      </c>
      <c r="C213" s="19"/>
      <c r="D213" s="19"/>
      <c r="E213" s="20" t="s">
        <v>33</v>
      </c>
      <c r="F213" s="20"/>
      <c r="G213" s="21" t="s">
        <v>519</v>
      </c>
      <c r="H213" s="21"/>
      <c r="I213" s="21"/>
      <c r="J213" s="3" t="s">
        <v>35</v>
      </c>
      <c r="K213" s="4" t="s">
        <v>82</v>
      </c>
      <c r="L213" s="4" t="s">
        <v>68</v>
      </c>
      <c r="N213" s="21" t="s">
        <v>618</v>
      </c>
      <c r="O213" s="21"/>
      <c r="P213" s="21" t="s">
        <v>619</v>
      </c>
      <c r="Q213" s="21"/>
      <c r="R213" s="21"/>
      <c r="S213" s="3" t="s">
        <v>40</v>
      </c>
      <c r="T213" s="21" t="s">
        <v>41</v>
      </c>
      <c r="U213" s="21"/>
      <c r="V213" s="4" t="s">
        <v>42</v>
      </c>
      <c r="W213" s="4" t="s">
        <v>299</v>
      </c>
      <c r="X213" s="4" t="s">
        <v>300</v>
      </c>
      <c r="Y213" s="21" t="s">
        <v>56</v>
      </c>
      <c r="Z213" s="21"/>
      <c r="AA213" s="4" t="s">
        <v>46</v>
      </c>
      <c r="AB213" s="4" t="s">
        <v>47</v>
      </c>
      <c r="AC213" s="4" t="s">
        <v>57</v>
      </c>
      <c r="AD213" s="4" t="s">
        <v>98</v>
      </c>
      <c r="AE213" s="4" t="s">
        <v>48</v>
      </c>
      <c r="AF213" s="4" t="s">
        <v>41</v>
      </c>
      <c r="AG213" s="4" t="s">
        <v>522</v>
      </c>
    </row>
    <row r="214" spans="1:33" ht="16.5" customHeight="1" x14ac:dyDescent="0.2">
      <c r="A214" s="2" t="s">
        <v>31</v>
      </c>
      <c r="B214" s="19" t="s">
        <v>50</v>
      </c>
      <c r="C214" s="19"/>
      <c r="D214" s="19"/>
      <c r="E214" s="20" t="s">
        <v>33</v>
      </c>
      <c r="F214" s="20"/>
      <c r="G214" s="21" t="s">
        <v>519</v>
      </c>
      <c r="H214" s="21"/>
      <c r="I214" s="21"/>
      <c r="J214" s="3" t="s">
        <v>35</v>
      </c>
      <c r="K214" s="4" t="s">
        <v>620</v>
      </c>
      <c r="L214" s="4" t="s">
        <v>68</v>
      </c>
      <c r="N214" s="21" t="s">
        <v>621</v>
      </c>
      <c r="O214" s="21"/>
      <c r="P214" s="21" t="s">
        <v>622</v>
      </c>
      <c r="Q214" s="21"/>
      <c r="R214" s="21"/>
      <c r="S214" s="3" t="s">
        <v>40</v>
      </c>
      <c r="T214" s="21" t="s">
        <v>41</v>
      </c>
      <c r="U214" s="21"/>
      <c r="V214" s="4" t="s">
        <v>42</v>
      </c>
      <c r="W214" s="4" t="s">
        <v>85</v>
      </c>
      <c r="X214" s="4" t="s">
        <v>86</v>
      </c>
      <c r="Y214" s="21" t="s">
        <v>56</v>
      </c>
      <c r="Z214" s="21"/>
      <c r="AA214" s="4" t="s">
        <v>46</v>
      </c>
      <c r="AB214" s="4" t="s">
        <v>47</v>
      </c>
      <c r="AC214" s="4" t="s">
        <v>57</v>
      </c>
      <c r="AD214" s="4" t="s">
        <v>98</v>
      </c>
      <c r="AE214" s="4" t="s">
        <v>48</v>
      </c>
      <c r="AF214" s="4" t="s">
        <v>41</v>
      </c>
      <c r="AG214" s="4" t="s">
        <v>522</v>
      </c>
    </row>
    <row r="215" spans="1:33" ht="16.5" customHeight="1" x14ac:dyDescent="0.2">
      <c r="A215" s="2" t="s">
        <v>31</v>
      </c>
      <c r="B215" s="19" t="s">
        <v>50</v>
      </c>
      <c r="C215" s="19"/>
      <c r="D215" s="19"/>
      <c r="E215" s="20" t="s">
        <v>33</v>
      </c>
      <c r="F215" s="20"/>
      <c r="G215" s="21" t="s">
        <v>519</v>
      </c>
      <c r="H215" s="21"/>
      <c r="I215" s="21"/>
      <c r="J215" s="3" t="s">
        <v>35</v>
      </c>
      <c r="K215" s="4" t="s">
        <v>82</v>
      </c>
      <c r="L215" s="4" t="s">
        <v>37</v>
      </c>
      <c r="N215" s="21" t="s">
        <v>623</v>
      </c>
      <c r="O215" s="21"/>
      <c r="P215" s="21" t="s">
        <v>624</v>
      </c>
      <c r="Q215" s="21"/>
      <c r="R215" s="21"/>
      <c r="S215" s="3" t="s">
        <v>40</v>
      </c>
      <c r="T215" s="21" t="s">
        <v>41</v>
      </c>
      <c r="U215" s="21"/>
      <c r="V215" s="4" t="s">
        <v>42</v>
      </c>
      <c r="W215" s="4" t="s">
        <v>94</v>
      </c>
      <c r="X215" s="4" t="s">
        <v>95</v>
      </c>
      <c r="Y215" s="21" t="s">
        <v>56</v>
      </c>
      <c r="Z215" s="21"/>
      <c r="AA215" s="4" t="s">
        <v>46</v>
      </c>
      <c r="AB215" s="4" t="s">
        <v>47</v>
      </c>
      <c r="AC215" s="4" t="s">
        <v>57</v>
      </c>
      <c r="AD215" s="4" t="s">
        <v>58</v>
      </c>
      <c r="AE215" s="4" t="s">
        <v>48</v>
      </c>
      <c r="AF215" s="4" t="s">
        <v>41</v>
      </c>
      <c r="AG215" s="4" t="s">
        <v>522</v>
      </c>
    </row>
    <row r="216" spans="1:33" ht="16.5" customHeight="1" x14ac:dyDescent="0.2">
      <c r="A216" s="2" t="s">
        <v>31</v>
      </c>
      <c r="B216" s="19" t="s">
        <v>50</v>
      </c>
      <c r="C216" s="19"/>
      <c r="D216" s="19"/>
      <c r="E216" s="20" t="s">
        <v>33</v>
      </c>
      <c r="F216" s="20"/>
      <c r="G216" s="21" t="s">
        <v>519</v>
      </c>
      <c r="H216" s="21"/>
      <c r="I216" s="21"/>
      <c r="J216" s="3" t="s">
        <v>35</v>
      </c>
      <c r="K216" s="4" t="s">
        <v>99</v>
      </c>
      <c r="L216" s="4" t="s">
        <v>68</v>
      </c>
      <c r="N216" s="21" t="s">
        <v>625</v>
      </c>
      <c r="O216" s="21"/>
      <c r="P216" s="21" t="s">
        <v>626</v>
      </c>
      <c r="Q216" s="21"/>
      <c r="R216" s="21"/>
      <c r="S216" s="3" t="s">
        <v>40</v>
      </c>
      <c r="T216" s="21" t="s">
        <v>41</v>
      </c>
      <c r="U216" s="21"/>
      <c r="V216" s="4" t="s">
        <v>42</v>
      </c>
      <c r="W216" s="4" t="s">
        <v>54</v>
      </c>
      <c r="X216" s="4" t="s">
        <v>55</v>
      </c>
      <c r="Y216" s="21" t="s">
        <v>56</v>
      </c>
      <c r="Z216" s="21"/>
      <c r="AA216" s="4" t="s">
        <v>46</v>
      </c>
      <c r="AB216" s="4" t="s">
        <v>47</v>
      </c>
      <c r="AC216" s="4" t="s">
        <v>57</v>
      </c>
      <c r="AD216" s="4" t="s">
        <v>98</v>
      </c>
      <c r="AE216" s="4" t="s">
        <v>48</v>
      </c>
      <c r="AF216" s="4" t="s">
        <v>41</v>
      </c>
      <c r="AG216" s="4" t="s">
        <v>522</v>
      </c>
    </row>
    <row r="217" spans="1:33" ht="16.5" customHeight="1" x14ac:dyDescent="0.2">
      <c r="A217" s="2" t="s">
        <v>31</v>
      </c>
      <c r="B217" s="19" t="s">
        <v>50</v>
      </c>
      <c r="C217" s="19"/>
      <c r="D217" s="19"/>
      <c r="E217" s="20" t="s">
        <v>33</v>
      </c>
      <c r="F217" s="20"/>
      <c r="G217" s="21" t="s">
        <v>519</v>
      </c>
      <c r="H217" s="21"/>
      <c r="I217" s="21"/>
      <c r="J217" s="3" t="s">
        <v>35</v>
      </c>
      <c r="K217" s="4" t="s">
        <v>204</v>
      </c>
      <c r="L217" s="4" t="s">
        <v>278</v>
      </c>
      <c r="N217" s="21" t="s">
        <v>627</v>
      </c>
      <c r="O217" s="21"/>
      <c r="P217" s="21" t="s">
        <v>628</v>
      </c>
      <c r="Q217" s="21"/>
      <c r="R217" s="21"/>
      <c r="S217" s="3" t="s">
        <v>40</v>
      </c>
      <c r="T217" s="21" t="s">
        <v>41</v>
      </c>
      <c r="U217" s="21"/>
      <c r="V217" s="4" t="s">
        <v>42</v>
      </c>
      <c r="W217" s="4" t="s">
        <v>54</v>
      </c>
      <c r="X217" s="4" t="s">
        <v>55</v>
      </c>
      <c r="Y217" s="21" t="s">
        <v>198</v>
      </c>
      <c r="Z217" s="21"/>
      <c r="AA217" s="4" t="s">
        <v>46</v>
      </c>
      <c r="AB217" s="4" t="s">
        <v>47</v>
      </c>
      <c r="AC217" s="4" t="s">
        <v>139</v>
      </c>
      <c r="AD217" s="4" t="s">
        <v>69</v>
      </c>
      <c r="AE217" s="4" t="s">
        <v>48</v>
      </c>
      <c r="AF217" s="4" t="s">
        <v>41</v>
      </c>
      <c r="AG217" s="4" t="s">
        <v>522</v>
      </c>
    </row>
    <row r="218" spans="1:33" ht="16.5" customHeight="1" x14ac:dyDescent="0.2">
      <c r="A218" s="2" t="s">
        <v>31</v>
      </c>
      <c r="B218" s="19" t="s">
        <v>50</v>
      </c>
      <c r="C218" s="19"/>
      <c r="D218" s="19"/>
      <c r="E218" s="20" t="s">
        <v>33</v>
      </c>
      <c r="F218" s="20"/>
      <c r="G218" s="21" t="s">
        <v>519</v>
      </c>
      <c r="H218" s="21"/>
      <c r="I218" s="21"/>
      <c r="J218" s="3" t="s">
        <v>35</v>
      </c>
      <c r="K218" s="4" t="s">
        <v>120</v>
      </c>
      <c r="L218" s="4" t="s">
        <v>68</v>
      </c>
      <c r="N218" s="21" t="s">
        <v>629</v>
      </c>
      <c r="O218" s="21"/>
      <c r="P218" s="21" t="s">
        <v>630</v>
      </c>
      <c r="Q218" s="21"/>
      <c r="R218" s="21"/>
      <c r="S218" s="3" t="s">
        <v>40</v>
      </c>
      <c r="T218" s="21" t="s">
        <v>41</v>
      </c>
      <c r="U218" s="21"/>
      <c r="V218" s="4" t="s">
        <v>42</v>
      </c>
      <c r="W218" s="4" t="s">
        <v>59</v>
      </c>
      <c r="X218" s="4" t="s">
        <v>131</v>
      </c>
      <c r="Y218" s="21" t="s">
        <v>65</v>
      </c>
      <c r="Z218" s="21"/>
      <c r="AA218" s="4" t="s">
        <v>46</v>
      </c>
      <c r="AB218" s="4" t="s">
        <v>47</v>
      </c>
      <c r="AC218" s="4" t="s">
        <v>66</v>
      </c>
      <c r="AD218" s="4" t="s">
        <v>69</v>
      </c>
      <c r="AE218" s="4" t="s">
        <v>48</v>
      </c>
      <c r="AF218" s="4" t="s">
        <v>41</v>
      </c>
      <c r="AG218" s="4" t="s">
        <v>522</v>
      </c>
    </row>
    <row r="219" spans="1:33" ht="16.5" customHeight="1" x14ac:dyDescent="0.2">
      <c r="A219" s="2" t="s">
        <v>31</v>
      </c>
      <c r="B219" s="19" t="s">
        <v>50</v>
      </c>
      <c r="C219" s="19"/>
      <c r="D219" s="19"/>
      <c r="E219" s="20" t="s">
        <v>33</v>
      </c>
      <c r="F219" s="20"/>
      <c r="G219" s="21" t="s">
        <v>519</v>
      </c>
      <c r="H219" s="21"/>
      <c r="I219" s="21"/>
      <c r="J219" s="3" t="s">
        <v>35</v>
      </c>
      <c r="K219" s="4" t="s">
        <v>247</v>
      </c>
      <c r="L219" s="4" t="s">
        <v>37</v>
      </c>
      <c r="N219" s="21" t="s">
        <v>631</v>
      </c>
      <c r="O219" s="21"/>
      <c r="P219" s="21" t="s">
        <v>632</v>
      </c>
      <c r="Q219" s="21"/>
      <c r="R219" s="21"/>
      <c r="S219" s="3" t="s">
        <v>40</v>
      </c>
      <c r="T219" s="21" t="s">
        <v>41</v>
      </c>
      <c r="U219" s="21"/>
      <c r="V219" s="4" t="s">
        <v>42</v>
      </c>
      <c r="W219" s="4" t="s">
        <v>59</v>
      </c>
      <c r="X219" s="4" t="s">
        <v>131</v>
      </c>
      <c r="Y219" s="21" t="s">
        <v>65</v>
      </c>
      <c r="Z219" s="21"/>
      <c r="AA219" s="4" t="s">
        <v>46</v>
      </c>
      <c r="AB219" s="4" t="s">
        <v>47</v>
      </c>
      <c r="AC219" s="4" t="s">
        <v>66</v>
      </c>
      <c r="AD219" s="4" t="s">
        <v>73</v>
      </c>
      <c r="AE219" s="4" t="s">
        <v>48</v>
      </c>
      <c r="AF219" s="4" t="s">
        <v>41</v>
      </c>
      <c r="AG219" s="4" t="s">
        <v>522</v>
      </c>
    </row>
    <row r="220" spans="1:33" ht="16.5" customHeight="1" x14ac:dyDescent="0.2">
      <c r="A220" s="2" t="s">
        <v>31</v>
      </c>
      <c r="B220" s="19" t="s">
        <v>50</v>
      </c>
      <c r="C220" s="19"/>
      <c r="D220" s="19"/>
      <c r="E220" s="20" t="s">
        <v>33</v>
      </c>
      <c r="F220" s="20"/>
      <c r="G220" s="21" t="s">
        <v>633</v>
      </c>
      <c r="H220" s="21"/>
      <c r="I220" s="21"/>
      <c r="J220" s="3" t="s">
        <v>35</v>
      </c>
      <c r="K220" s="4" t="s">
        <v>204</v>
      </c>
      <c r="L220" s="4" t="s">
        <v>37</v>
      </c>
      <c r="N220" s="21" t="s">
        <v>634</v>
      </c>
      <c r="O220" s="21"/>
      <c r="P220" s="21" t="s">
        <v>635</v>
      </c>
      <c r="Q220" s="21"/>
      <c r="R220" s="21"/>
      <c r="S220" s="3" t="s">
        <v>40</v>
      </c>
      <c r="T220" s="21" t="s">
        <v>41</v>
      </c>
      <c r="U220" s="21"/>
      <c r="V220" s="4" t="s">
        <v>42</v>
      </c>
      <c r="W220" s="4" t="s">
        <v>636</v>
      </c>
      <c r="X220" s="4" t="s">
        <v>637</v>
      </c>
      <c r="Y220" s="21" t="s">
        <v>198</v>
      </c>
      <c r="Z220" s="21"/>
      <c r="AA220" s="4" t="s">
        <v>46</v>
      </c>
      <c r="AB220" s="4" t="s">
        <v>47</v>
      </c>
      <c r="AC220" s="4" t="s">
        <v>257</v>
      </c>
      <c r="AD220" s="4" t="s">
        <v>258</v>
      </c>
      <c r="AE220" s="4" t="s">
        <v>48</v>
      </c>
      <c r="AF220" s="4" t="s">
        <v>41</v>
      </c>
      <c r="AG220" s="4" t="s">
        <v>638</v>
      </c>
    </row>
    <row r="221" spans="1:33" ht="16.5" customHeight="1" x14ac:dyDescent="0.2">
      <c r="A221" s="2" t="s">
        <v>31</v>
      </c>
      <c r="B221" s="19" t="s">
        <v>50</v>
      </c>
      <c r="C221" s="19"/>
      <c r="D221" s="19"/>
      <c r="E221" s="20" t="s">
        <v>33</v>
      </c>
      <c r="F221" s="20"/>
      <c r="G221" s="21" t="s">
        <v>639</v>
      </c>
      <c r="H221" s="21"/>
      <c r="I221" s="21"/>
      <c r="J221" s="3" t="s">
        <v>35</v>
      </c>
      <c r="K221" s="4" t="s">
        <v>152</v>
      </c>
      <c r="L221" s="4" t="s">
        <v>37</v>
      </c>
      <c r="N221" s="21" t="s">
        <v>640</v>
      </c>
      <c r="O221" s="21"/>
      <c r="P221" s="21" t="s">
        <v>641</v>
      </c>
      <c r="Q221" s="21"/>
      <c r="R221" s="21"/>
      <c r="S221" s="3" t="s">
        <v>40</v>
      </c>
      <c r="T221" s="21" t="s">
        <v>41</v>
      </c>
      <c r="U221" s="21"/>
      <c r="V221" s="4" t="s">
        <v>42</v>
      </c>
      <c r="W221" s="4" t="s">
        <v>642</v>
      </c>
      <c r="X221" s="4" t="s">
        <v>643</v>
      </c>
      <c r="Y221" s="21" t="s">
        <v>56</v>
      </c>
      <c r="Z221" s="21"/>
      <c r="AA221" s="4" t="s">
        <v>46</v>
      </c>
      <c r="AB221" s="4" t="s">
        <v>47</v>
      </c>
      <c r="AC221" s="4" t="s">
        <v>139</v>
      </c>
      <c r="AD221" s="4" t="s">
        <v>140</v>
      </c>
      <c r="AE221" s="4" t="s">
        <v>48</v>
      </c>
      <c r="AF221" s="4" t="s">
        <v>41</v>
      </c>
      <c r="AG221" s="4" t="s">
        <v>644</v>
      </c>
    </row>
    <row r="222" spans="1:33" ht="16.5" customHeight="1" x14ac:dyDescent="0.2">
      <c r="A222" s="2" t="s">
        <v>31</v>
      </c>
      <c r="B222" s="19" t="s">
        <v>32</v>
      </c>
      <c r="C222" s="19"/>
      <c r="D222" s="19"/>
      <c r="E222" s="20" t="s">
        <v>33</v>
      </c>
      <c r="F222" s="20"/>
      <c r="G222" s="21" t="s">
        <v>645</v>
      </c>
      <c r="H222" s="21"/>
      <c r="I222" s="21"/>
      <c r="J222" s="3" t="s">
        <v>35</v>
      </c>
      <c r="K222" s="4" t="s">
        <v>646</v>
      </c>
      <c r="L222" s="4" t="s">
        <v>37</v>
      </c>
      <c r="N222" s="21" t="s">
        <v>647</v>
      </c>
      <c r="O222" s="21"/>
      <c r="P222" s="21" t="s">
        <v>648</v>
      </c>
      <c r="Q222" s="21"/>
      <c r="R222" s="21"/>
      <c r="S222" s="3" t="s">
        <v>40</v>
      </c>
      <c r="T222" s="21" t="s">
        <v>41</v>
      </c>
      <c r="U222" s="21"/>
      <c r="V222" s="4" t="s">
        <v>42</v>
      </c>
      <c r="W222" s="4" t="s">
        <v>54</v>
      </c>
      <c r="X222" s="4" t="s">
        <v>55</v>
      </c>
      <c r="Y222" s="21" t="s">
        <v>45</v>
      </c>
      <c r="Z222" s="21"/>
      <c r="AA222" s="4" t="s">
        <v>46</v>
      </c>
      <c r="AB222" s="4" t="s">
        <v>47</v>
      </c>
      <c r="AD222" s="4" t="s">
        <v>41</v>
      </c>
      <c r="AE222" s="4" t="s">
        <v>48</v>
      </c>
      <c r="AF222" s="4" t="s">
        <v>41</v>
      </c>
      <c r="AG222" s="4" t="s">
        <v>649</v>
      </c>
    </row>
    <row r="223" spans="1:33" ht="16.5" customHeight="1" x14ac:dyDescent="0.2">
      <c r="A223" s="2" t="s">
        <v>31</v>
      </c>
      <c r="B223" s="19" t="s">
        <v>50</v>
      </c>
      <c r="C223" s="19"/>
      <c r="D223" s="19"/>
      <c r="E223" s="20" t="s">
        <v>33</v>
      </c>
      <c r="F223" s="20"/>
      <c r="G223" s="21" t="s">
        <v>645</v>
      </c>
      <c r="H223" s="21"/>
      <c r="I223" s="21"/>
      <c r="J223" s="3" t="s">
        <v>35</v>
      </c>
      <c r="K223" s="4" t="s">
        <v>152</v>
      </c>
      <c r="L223" s="4" t="s">
        <v>37</v>
      </c>
      <c r="N223" s="21" t="s">
        <v>650</v>
      </c>
      <c r="O223" s="21"/>
      <c r="P223" s="21" t="s">
        <v>651</v>
      </c>
      <c r="Q223" s="21"/>
      <c r="R223" s="21"/>
      <c r="S223" s="3" t="s">
        <v>40</v>
      </c>
      <c r="T223" s="21" t="s">
        <v>41</v>
      </c>
      <c r="U223" s="21"/>
      <c r="V223" s="4" t="s">
        <v>42</v>
      </c>
      <c r="W223" s="4" t="s">
        <v>229</v>
      </c>
      <c r="X223" s="4" t="s">
        <v>448</v>
      </c>
      <c r="Y223" s="21" t="s">
        <v>56</v>
      </c>
      <c r="Z223" s="21"/>
      <c r="AA223" s="4" t="s">
        <v>46</v>
      </c>
      <c r="AB223" s="4" t="s">
        <v>47</v>
      </c>
      <c r="AC223" s="4" t="s">
        <v>139</v>
      </c>
      <c r="AD223" s="4" t="s">
        <v>140</v>
      </c>
      <c r="AE223" s="4" t="s">
        <v>48</v>
      </c>
      <c r="AF223" s="4" t="s">
        <v>41</v>
      </c>
      <c r="AG223" s="4" t="s">
        <v>649</v>
      </c>
    </row>
    <row r="224" spans="1:33" ht="16.5" customHeight="1" x14ac:dyDescent="0.2">
      <c r="A224" s="2" t="s">
        <v>31</v>
      </c>
      <c r="B224" s="19" t="s">
        <v>50</v>
      </c>
      <c r="C224" s="19"/>
      <c r="D224" s="19"/>
      <c r="E224" s="20" t="s">
        <v>33</v>
      </c>
      <c r="F224" s="20"/>
      <c r="G224" s="21" t="s">
        <v>645</v>
      </c>
      <c r="H224" s="21"/>
      <c r="I224" s="21"/>
      <c r="J224" s="3" t="s">
        <v>35</v>
      </c>
      <c r="K224" s="4" t="s">
        <v>169</v>
      </c>
      <c r="L224" s="4" t="s">
        <v>445</v>
      </c>
      <c r="N224" s="21" t="s">
        <v>652</v>
      </c>
      <c r="O224" s="21"/>
      <c r="P224" s="21" t="s">
        <v>653</v>
      </c>
      <c r="Q224" s="21"/>
      <c r="R224" s="21"/>
      <c r="S224" s="3" t="s">
        <v>40</v>
      </c>
      <c r="T224" s="21" t="s">
        <v>41</v>
      </c>
      <c r="U224" s="21"/>
      <c r="V224" s="4" t="s">
        <v>42</v>
      </c>
      <c r="W224" s="4" t="s">
        <v>654</v>
      </c>
      <c r="X224" s="4" t="s">
        <v>655</v>
      </c>
      <c r="Y224" s="21" t="s">
        <v>56</v>
      </c>
      <c r="Z224" s="21"/>
      <c r="AA224" s="4" t="s">
        <v>46</v>
      </c>
      <c r="AB224" s="4" t="s">
        <v>47</v>
      </c>
      <c r="AC224" s="4" t="s">
        <v>139</v>
      </c>
      <c r="AD224" s="4" t="s">
        <v>466</v>
      </c>
      <c r="AE224" s="4" t="s">
        <v>48</v>
      </c>
      <c r="AF224" s="4" t="s">
        <v>41</v>
      </c>
      <c r="AG224" s="4" t="s">
        <v>649</v>
      </c>
    </row>
    <row r="225" spans="1:33" ht="16.5" customHeight="1" x14ac:dyDescent="0.2">
      <c r="A225" s="2" t="s">
        <v>31</v>
      </c>
      <c r="B225" s="19" t="s">
        <v>50</v>
      </c>
      <c r="C225" s="19"/>
      <c r="D225" s="19"/>
      <c r="E225" s="20" t="s">
        <v>33</v>
      </c>
      <c r="F225" s="20"/>
      <c r="G225" s="21" t="s">
        <v>645</v>
      </c>
      <c r="H225" s="21"/>
      <c r="I225" s="21"/>
      <c r="J225" s="3" t="s">
        <v>35</v>
      </c>
      <c r="K225" s="4" t="s">
        <v>169</v>
      </c>
      <c r="L225" s="4" t="s">
        <v>445</v>
      </c>
      <c r="N225" s="21" t="s">
        <v>652</v>
      </c>
      <c r="O225" s="21"/>
      <c r="P225" s="21" t="s">
        <v>653</v>
      </c>
      <c r="Q225" s="21"/>
      <c r="R225" s="21"/>
      <c r="S225" s="3" t="s">
        <v>40</v>
      </c>
      <c r="T225" s="21" t="s">
        <v>41</v>
      </c>
      <c r="U225" s="21"/>
      <c r="V225" s="4" t="s">
        <v>59</v>
      </c>
      <c r="W225" s="4" t="s">
        <v>654</v>
      </c>
      <c r="X225" s="4" t="s">
        <v>656</v>
      </c>
      <c r="Y225" s="21" t="s">
        <v>56</v>
      </c>
      <c r="Z225" s="21"/>
      <c r="AA225" s="4" t="s">
        <v>46</v>
      </c>
      <c r="AB225" s="4" t="s">
        <v>47</v>
      </c>
      <c r="AC225" s="4" t="s">
        <v>139</v>
      </c>
      <c r="AD225" s="4" t="s">
        <v>466</v>
      </c>
      <c r="AE225" s="4" t="s">
        <v>48</v>
      </c>
      <c r="AF225" s="4" t="s">
        <v>41</v>
      </c>
      <c r="AG225" s="4" t="s">
        <v>649</v>
      </c>
    </row>
    <row r="226" spans="1:33" ht="16.5" customHeight="1" x14ac:dyDescent="0.2">
      <c r="A226" s="2" t="s">
        <v>31</v>
      </c>
      <c r="B226" s="19" t="s">
        <v>50</v>
      </c>
      <c r="C226" s="19"/>
      <c r="D226" s="19"/>
      <c r="E226" s="20" t="s">
        <v>33</v>
      </c>
      <c r="F226" s="20"/>
      <c r="G226" s="21" t="s">
        <v>645</v>
      </c>
      <c r="H226" s="21"/>
      <c r="I226" s="21"/>
      <c r="J226" s="3" t="s">
        <v>35</v>
      </c>
      <c r="K226" s="4" t="s">
        <v>146</v>
      </c>
      <c r="L226" s="4" t="s">
        <v>68</v>
      </c>
      <c r="N226" s="21" t="s">
        <v>657</v>
      </c>
      <c r="O226" s="21"/>
      <c r="P226" s="21" t="s">
        <v>658</v>
      </c>
      <c r="Q226" s="21"/>
      <c r="R226" s="21"/>
      <c r="S226" s="3" t="s">
        <v>40</v>
      </c>
      <c r="T226" s="21" t="s">
        <v>41</v>
      </c>
      <c r="U226" s="21"/>
      <c r="V226" s="4" t="s">
        <v>59</v>
      </c>
      <c r="W226" s="4" t="s">
        <v>43</v>
      </c>
      <c r="X226" s="4" t="s">
        <v>319</v>
      </c>
      <c r="Y226" s="21" t="s">
        <v>138</v>
      </c>
      <c r="Z226" s="21"/>
      <c r="AA226" s="4" t="s">
        <v>46</v>
      </c>
      <c r="AB226" s="4" t="s">
        <v>47</v>
      </c>
      <c r="AC226" s="4" t="s">
        <v>139</v>
      </c>
      <c r="AD226" s="4" t="s">
        <v>151</v>
      </c>
      <c r="AE226" s="4" t="s">
        <v>48</v>
      </c>
      <c r="AF226" s="4" t="s">
        <v>41</v>
      </c>
      <c r="AG226" s="4" t="s">
        <v>649</v>
      </c>
    </row>
    <row r="227" spans="1:33" ht="16.5" customHeight="1" x14ac:dyDescent="0.2">
      <c r="A227" s="2" t="s">
        <v>31</v>
      </c>
      <c r="B227" s="19" t="s">
        <v>50</v>
      </c>
      <c r="C227" s="19"/>
      <c r="D227" s="19"/>
      <c r="E227" s="20" t="s">
        <v>33</v>
      </c>
      <c r="F227" s="20"/>
      <c r="G227" s="21" t="s">
        <v>645</v>
      </c>
      <c r="H227" s="21"/>
      <c r="I227" s="21"/>
      <c r="J227" s="3" t="s">
        <v>35</v>
      </c>
      <c r="K227" s="4" t="s">
        <v>146</v>
      </c>
      <c r="L227" s="4" t="s">
        <v>68</v>
      </c>
      <c r="N227" s="21" t="s">
        <v>657</v>
      </c>
      <c r="O227" s="21"/>
      <c r="P227" s="21" t="s">
        <v>658</v>
      </c>
      <c r="Q227" s="21"/>
      <c r="R227" s="21"/>
      <c r="S227" s="3" t="s">
        <v>40</v>
      </c>
      <c r="T227" s="21" t="s">
        <v>41</v>
      </c>
      <c r="U227" s="21"/>
      <c r="V227" s="4" t="s">
        <v>130</v>
      </c>
      <c r="W227" s="4" t="s">
        <v>43</v>
      </c>
      <c r="X227" s="4" t="s">
        <v>320</v>
      </c>
      <c r="Y227" s="21" t="s">
        <v>138</v>
      </c>
      <c r="Z227" s="21"/>
      <c r="AA227" s="4" t="s">
        <v>46</v>
      </c>
      <c r="AB227" s="4" t="s">
        <v>47</v>
      </c>
      <c r="AC227" s="4" t="s">
        <v>139</v>
      </c>
      <c r="AD227" s="4" t="s">
        <v>151</v>
      </c>
      <c r="AE227" s="4" t="s">
        <v>48</v>
      </c>
      <c r="AF227" s="4" t="s">
        <v>41</v>
      </c>
      <c r="AG227" s="4" t="s">
        <v>649</v>
      </c>
    </row>
    <row r="228" spans="1:33" ht="16.5" customHeight="1" x14ac:dyDescent="0.2">
      <c r="A228" s="2" t="s">
        <v>31</v>
      </c>
      <c r="B228" s="19" t="s">
        <v>50</v>
      </c>
      <c r="C228" s="19"/>
      <c r="D228" s="19"/>
      <c r="E228" s="20" t="s">
        <v>33</v>
      </c>
      <c r="F228" s="20"/>
      <c r="G228" s="21" t="s">
        <v>645</v>
      </c>
      <c r="H228" s="21"/>
      <c r="I228" s="21"/>
      <c r="J228" s="3" t="s">
        <v>35</v>
      </c>
      <c r="K228" s="4" t="s">
        <v>152</v>
      </c>
      <c r="L228" s="4" t="s">
        <v>37</v>
      </c>
      <c r="N228" s="21" t="s">
        <v>659</v>
      </c>
      <c r="O228" s="21"/>
      <c r="P228" s="21" t="s">
        <v>660</v>
      </c>
      <c r="Q228" s="21"/>
      <c r="R228" s="21"/>
      <c r="S228" s="3" t="s">
        <v>40</v>
      </c>
      <c r="T228" s="21" t="s">
        <v>41</v>
      </c>
      <c r="U228" s="21"/>
      <c r="V228" s="4" t="s">
        <v>42</v>
      </c>
      <c r="W228" s="4" t="s">
        <v>350</v>
      </c>
      <c r="X228" s="4" t="s">
        <v>339</v>
      </c>
      <c r="Y228" s="21" t="s">
        <v>56</v>
      </c>
      <c r="Z228" s="21"/>
      <c r="AA228" s="4" t="s">
        <v>46</v>
      </c>
      <c r="AB228" s="4" t="s">
        <v>47</v>
      </c>
      <c r="AC228" s="4" t="s">
        <v>139</v>
      </c>
      <c r="AD228" s="4" t="s">
        <v>140</v>
      </c>
      <c r="AE228" s="4" t="s">
        <v>48</v>
      </c>
      <c r="AF228" s="4" t="s">
        <v>41</v>
      </c>
      <c r="AG228" s="4" t="s">
        <v>649</v>
      </c>
    </row>
    <row r="229" spans="1:33" ht="16.5" customHeight="1" x14ac:dyDescent="0.2">
      <c r="A229" s="2" t="s">
        <v>31</v>
      </c>
      <c r="B229" s="19" t="s">
        <v>50</v>
      </c>
      <c r="C229" s="19"/>
      <c r="D229" s="19"/>
      <c r="E229" s="20" t="s">
        <v>33</v>
      </c>
      <c r="F229" s="20"/>
      <c r="G229" s="21" t="s">
        <v>645</v>
      </c>
      <c r="H229" s="21"/>
      <c r="I229" s="21"/>
      <c r="J229" s="3" t="s">
        <v>35</v>
      </c>
      <c r="K229" s="4" t="s">
        <v>661</v>
      </c>
      <c r="L229" s="4" t="s">
        <v>445</v>
      </c>
      <c r="N229" s="21" t="s">
        <v>662</v>
      </c>
      <c r="O229" s="21"/>
      <c r="P229" s="21" t="s">
        <v>663</v>
      </c>
      <c r="Q229" s="21"/>
      <c r="R229" s="21"/>
      <c r="S229" s="3" t="s">
        <v>40</v>
      </c>
      <c r="T229" s="21" t="s">
        <v>41</v>
      </c>
      <c r="U229" s="21"/>
      <c r="V229" s="4" t="s">
        <v>42</v>
      </c>
      <c r="W229" s="4" t="s">
        <v>130</v>
      </c>
      <c r="X229" s="4" t="s">
        <v>60</v>
      </c>
      <c r="Y229" s="21" t="s">
        <v>198</v>
      </c>
      <c r="Z229" s="21"/>
      <c r="AA229" s="4" t="s">
        <v>46</v>
      </c>
      <c r="AB229" s="4" t="s">
        <v>47</v>
      </c>
      <c r="AC229" s="4" t="s">
        <v>139</v>
      </c>
      <c r="AD229" s="4" t="s">
        <v>466</v>
      </c>
      <c r="AE229" s="4" t="s">
        <v>48</v>
      </c>
      <c r="AF229" s="4" t="s">
        <v>41</v>
      </c>
      <c r="AG229" s="4" t="s">
        <v>649</v>
      </c>
    </row>
    <row r="230" spans="1:33" ht="16.5" customHeight="1" x14ac:dyDescent="0.2">
      <c r="A230" s="2" t="s">
        <v>31</v>
      </c>
      <c r="B230" s="19" t="s">
        <v>32</v>
      </c>
      <c r="C230" s="19"/>
      <c r="D230" s="19"/>
      <c r="E230" s="20" t="s">
        <v>33</v>
      </c>
      <c r="F230" s="20"/>
      <c r="G230" s="21" t="s">
        <v>664</v>
      </c>
      <c r="H230" s="21"/>
      <c r="I230" s="21"/>
      <c r="J230" s="3" t="s">
        <v>35</v>
      </c>
      <c r="K230" s="4" t="s">
        <v>665</v>
      </c>
      <c r="L230" s="4" t="s">
        <v>37</v>
      </c>
      <c r="N230" s="21" t="s">
        <v>666</v>
      </c>
      <c r="O230" s="21"/>
      <c r="P230" s="21" t="s">
        <v>667</v>
      </c>
      <c r="Q230" s="21"/>
      <c r="R230" s="21"/>
      <c r="S230" s="3" t="s">
        <v>40</v>
      </c>
      <c r="T230" s="21" t="s">
        <v>668</v>
      </c>
      <c r="U230" s="21"/>
      <c r="V230" s="4" t="s">
        <v>130</v>
      </c>
      <c r="W230" s="4" t="s">
        <v>381</v>
      </c>
      <c r="X230" s="4" t="s">
        <v>60</v>
      </c>
      <c r="Y230" s="21" t="s">
        <v>669</v>
      </c>
      <c r="Z230" s="21"/>
      <c r="AA230" s="4" t="s">
        <v>46</v>
      </c>
      <c r="AB230" s="4" t="s">
        <v>47</v>
      </c>
      <c r="AD230" s="4" t="s">
        <v>41</v>
      </c>
      <c r="AE230" s="4" t="s">
        <v>48</v>
      </c>
      <c r="AF230" s="4" t="s">
        <v>41</v>
      </c>
      <c r="AG230" s="4" t="s">
        <v>670</v>
      </c>
    </row>
    <row r="231" spans="1:33" ht="16.5" customHeight="1" x14ac:dyDescent="0.2">
      <c r="A231" s="2" t="s">
        <v>31</v>
      </c>
      <c r="B231" s="19" t="s">
        <v>32</v>
      </c>
      <c r="C231" s="19"/>
      <c r="D231" s="19"/>
      <c r="E231" s="20" t="s">
        <v>33</v>
      </c>
      <c r="F231" s="20"/>
      <c r="G231" s="21" t="s">
        <v>664</v>
      </c>
      <c r="H231" s="21"/>
      <c r="I231" s="21"/>
      <c r="J231" s="3" t="s">
        <v>35</v>
      </c>
      <c r="K231" s="4" t="s">
        <v>665</v>
      </c>
      <c r="L231" s="4" t="s">
        <v>37</v>
      </c>
      <c r="N231" s="21" t="s">
        <v>671</v>
      </c>
      <c r="O231" s="21"/>
      <c r="P231" s="21" t="s">
        <v>672</v>
      </c>
      <c r="Q231" s="21"/>
      <c r="R231" s="21"/>
      <c r="S231" s="3" t="s">
        <v>40</v>
      </c>
      <c r="T231" s="21" t="s">
        <v>668</v>
      </c>
      <c r="U231" s="21"/>
      <c r="V231" s="4" t="s">
        <v>42</v>
      </c>
      <c r="W231" s="4" t="s">
        <v>54</v>
      </c>
      <c r="X231" s="4" t="s">
        <v>55</v>
      </c>
      <c r="Y231" s="21" t="s">
        <v>673</v>
      </c>
      <c r="Z231" s="21"/>
      <c r="AA231" s="4" t="s">
        <v>46</v>
      </c>
      <c r="AB231" s="4" t="s">
        <v>47</v>
      </c>
      <c r="AD231" s="4" t="s">
        <v>41</v>
      </c>
      <c r="AE231" s="4" t="s">
        <v>48</v>
      </c>
      <c r="AF231" s="4" t="s">
        <v>41</v>
      </c>
      <c r="AG231" s="4" t="s">
        <v>670</v>
      </c>
    </row>
    <row r="232" spans="1:33" ht="16.5" customHeight="1" x14ac:dyDescent="0.2">
      <c r="A232" s="2" t="s">
        <v>31</v>
      </c>
      <c r="B232" s="19" t="s">
        <v>32</v>
      </c>
      <c r="C232" s="19"/>
      <c r="D232" s="19"/>
      <c r="E232" s="20" t="s">
        <v>33</v>
      </c>
      <c r="F232" s="20"/>
      <c r="G232" s="21" t="s">
        <v>664</v>
      </c>
      <c r="H232" s="21"/>
      <c r="I232" s="21"/>
      <c r="J232" s="3" t="s">
        <v>35</v>
      </c>
      <c r="K232" s="4" t="s">
        <v>665</v>
      </c>
      <c r="L232" s="4" t="s">
        <v>37</v>
      </c>
      <c r="N232" s="21" t="s">
        <v>671</v>
      </c>
      <c r="O232" s="21"/>
      <c r="P232" s="21" t="s">
        <v>672</v>
      </c>
      <c r="Q232" s="21"/>
      <c r="R232" s="21"/>
      <c r="S232" s="3" t="s">
        <v>40</v>
      </c>
      <c r="T232" s="21" t="s">
        <v>668</v>
      </c>
      <c r="U232" s="21"/>
      <c r="V232" s="4" t="s">
        <v>59</v>
      </c>
      <c r="W232" s="4" t="s">
        <v>54</v>
      </c>
      <c r="X232" s="4" t="s">
        <v>60</v>
      </c>
      <c r="Y232" s="21" t="s">
        <v>673</v>
      </c>
      <c r="Z232" s="21"/>
      <c r="AA232" s="4" t="s">
        <v>46</v>
      </c>
      <c r="AB232" s="4" t="s">
        <v>47</v>
      </c>
      <c r="AD232" s="4" t="s">
        <v>41</v>
      </c>
      <c r="AE232" s="4" t="s">
        <v>48</v>
      </c>
      <c r="AF232" s="4" t="s">
        <v>41</v>
      </c>
      <c r="AG232" s="4" t="s">
        <v>670</v>
      </c>
    </row>
    <row r="233" spans="1:33" ht="16.5" customHeight="1" x14ac:dyDescent="0.2">
      <c r="A233" s="2" t="s">
        <v>31</v>
      </c>
      <c r="B233" s="19" t="s">
        <v>50</v>
      </c>
      <c r="C233" s="19"/>
      <c r="D233" s="19"/>
      <c r="E233" s="20" t="s">
        <v>33</v>
      </c>
      <c r="F233" s="20"/>
      <c r="G233" s="21" t="s">
        <v>664</v>
      </c>
      <c r="H233" s="21"/>
      <c r="I233" s="21"/>
      <c r="J233" s="3" t="s">
        <v>35</v>
      </c>
      <c r="K233" s="4" t="s">
        <v>99</v>
      </c>
      <c r="L233" s="4" t="s">
        <v>278</v>
      </c>
      <c r="N233" s="21" t="s">
        <v>674</v>
      </c>
      <c r="O233" s="21"/>
      <c r="P233" s="21" t="s">
        <v>675</v>
      </c>
      <c r="Q233" s="21"/>
      <c r="R233" s="21"/>
      <c r="S233" s="3" t="s">
        <v>40</v>
      </c>
      <c r="T233" s="21" t="s">
        <v>41</v>
      </c>
      <c r="U233" s="21"/>
      <c r="V233" s="4" t="s">
        <v>42</v>
      </c>
      <c r="W233" s="4" t="s">
        <v>43</v>
      </c>
      <c r="X233" s="4" t="s">
        <v>44</v>
      </c>
      <c r="Y233" s="21" t="s">
        <v>56</v>
      </c>
      <c r="Z233" s="21"/>
      <c r="AA233" s="4" t="s">
        <v>46</v>
      </c>
      <c r="AB233" s="4" t="s">
        <v>47</v>
      </c>
      <c r="AC233" s="4" t="s">
        <v>139</v>
      </c>
      <c r="AD233" s="4" t="s">
        <v>69</v>
      </c>
      <c r="AE233" s="4" t="s">
        <v>48</v>
      </c>
      <c r="AF233" s="4" t="s">
        <v>41</v>
      </c>
      <c r="AG233" s="4" t="s">
        <v>670</v>
      </c>
    </row>
    <row r="234" spans="1:33" ht="16.5" customHeight="1" x14ac:dyDescent="0.2">
      <c r="A234" s="2" t="s">
        <v>31</v>
      </c>
      <c r="B234" s="19" t="s">
        <v>50</v>
      </c>
      <c r="C234" s="19"/>
      <c r="D234" s="19"/>
      <c r="E234" s="20" t="s">
        <v>33</v>
      </c>
      <c r="F234" s="20"/>
      <c r="G234" s="21" t="s">
        <v>664</v>
      </c>
      <c r="H234" s="21"/>
      <c r="I234" s="21"/>
      <c r="J234" s="3" t="s">
        <v>35</v>
      </c>
      <c r="K234" s="4" t="s">
        <v>99</v>
      </c>
      <c r="L234" s="4" t="s">
        <v>37</v>
      </c>
      <c r="N234" s="21" t="s">
        <v>676</v>
      </c>
      <c r="O234" s="21"/>
      <c r="P234" s="21" t="s">
        <v>677</v>
      </c>
      <c r="Q234" s="21"/>
      <c r="R234" s="21"/>
      <c r="S234" s="3" t="s">
        <v>40</v>
      </c>
      <c r="T234" s="21" t="s">
        <v>41</v>
      </c>
      <c r="U234" s="21"/>
      <c r="V234" s="4" t="s">
        <v>42</v>
      </c>
      <c r="W234" s="4" t="s">
        <v>157</v>
      </c>
      <c r="X234" s="4" t="s">
        <v>158</v>
      </c>
      <c r="Y234" s="21" t="s">
        <v>56</v>
      </c>
      <c r="Z234" s="21"/>
      <c r="AA234" s="4" t="s">
        <v>46</v>
      </c>
      <c r="AB234" s="4" t="s">
        <v>47</v>
      </c>
      <c r="AC234" s="4" t="s">
        <v>139</v>
      </c>
      <c r="AD234" s="4" t="s">
        <v>140</v>
      </c>
      <c r="AE234" s="4" t="s">
        <v>48</v>
      </c>
      <c r="AF234" s="4" t="s">
        <v>41</v>
      </c>
      <c r="AG234" s="4" t="s">
        <v>670</v>
      </c>
    </row>
    <row r="235" spans="1:33" ht="16.5" customHeight="1" x14ac:dyDescent="0.2">
      <c r="A235" s="2" t="s">
        <v>31</v>
      </c>
      <c r="B235" s="19" t="s">
        <v>50</v>
      </c>
      <c r="C235" s="19"/>
      <c r="D235" s="19"/>
      <c r="E235" s="20" t="s">
        <v>33</v>
      </c>
      <c r="F235" s="20"/>
      <c r="G235" s="21" t="s">
        <v>664</v>
      </c>
      <c r="H235" s="21"/>
      <c r="I235" s="21"/>
      <c r="J235" s="3" t="s">
        <v>35</v>
      </c>
      <c r="K235" s="4" t="s">
        <v>99</v>
      </c>
      <c r="L235" s="4" t="s">
        <v>37</v>
      </c>
      <c r="N235" s="21" t="s">
        <v>678</v>
      </c>
      <c r="O235" s="21"/>
      <c r="P235" s="21" t="s">
        <v>679</v>
      </c>
      <c r="Q235" s="21"/>
      <c r="R235" s="21"/>
      <c r="S235" s="3" t="s">
        <v>40</v>
      </c>
      <c r="T235" s="21" t="s">
        <v>41</v>
      </c>
      <c r="U235" s="21"/>
      <c r="V235" s="4" t="s">
        <v>42</v>
      </c>
      <c r="W235" s="4" t="s">
        <v>157</v>
      </c>
      <c r="X235" s="4" t="s">
        <v>158</v>
      </c>
      <c r="Y235" s="21" t="s">
        <v>56</v>
      </c>
      <c r="Z235" s="21"/>
      <c r="AA235" s="4" t="s">
        <v>46</v>
      </c>
      <c r="AB235" s="4" t="s">
        <v>47</v>
      </c>
      <c r="AC235" s="4" t="s">
        <v>139</v>
      </c>
      <c r="AD235" s="4" t="s">
        <v>140</v>
      </c>
      <c r="AE235" s="4" t="s">
        <v>48</v>
      </c>
      <c r="AF235" s="4" t="s">
        <v>41</v>
      </c>
      <c r="AG235" s="4" t="s">
        <v>670</v>
      </c>
    </row>
    <row r="236" spans="1:33" ht="16.5" customHeight="1" x14ac:dyDescent="0.2">
      <c r="A236" s="2" t="s">
        <v>31</v>
      </c>
      <c r="B236" s="19" t="s">
        <v>50</v>
      </c>
      <c r="C236" s="19"/>
      <c r="D236" s="19"/>
      <c r="E236" s="20" t="s">
        <v>33</v>
      </c>
      <c r="F236" s="20"/>
      <c r="G236" s="21" t="s">
        <v>664</v>
      </c>
      <c r="H236" s="21"/>
      <c r="I236" s="21"/>
      <c r="J236" s="3" t="s">
        <v>35</v>
      </c>
      <c r="K236" s="4" t="s">
        <v>146</v>
      </c>
      <c r="L236" s="4" t="s">
        <v>37</v>
      </c>
      <c r="N236" s="21" t="s">
        <v>680</v>
      </c>
      <c r="O236" s="21"/>
      <c r="P236" s="21" t="s">
        <v>681</v>
      </c>
      <c r="Q236" s="21"/>
      <c r="R236" s="21"/>
      <c r="S236" s="3" t="s">
        <v>40</v>
      </c>
      <c r="T236" s="21" t="s">
        <v>41</v>
      </c>
      <c r="U236" s="21"/>
      <c r="V236" s="4" t="s">
        <v>42</v>
      </c>
      <c r="W236" s="4" t="s">
        <v>161</v>
      </c>
      <c r="X236" s="4" t="s">
        <v>162</v>
      </c>
      <c r="Y236" s="21" t="s">
        <v>138</v>
      </c>
      <c r="Z236" s="21"/>
      <c r="AA236" s="4" t="s">
        <v>46</v>
      </c>
      <c r="AB236" s="4" t="s">
        <v>47</v>
      </c>
      <c r="AC236" s="4" t="s">
        <v>139</v>
      </c>
      <c r="AD236" s="4" t="s">
        <v>140</v>
      </c>
      <c r="AE236" s="4" t="s">
        <v>48</v>
      </c>
      <c r="AF236" s="4" t="s">
        <v>41</v>
      </c>
      <c r="AG236" s="4" t="s">
        <v>670</v>
      </c>
    </row>
    <row r="237" spans="1:33" ht="16.5" customHeight="1" x14ac:dyDescent="0.2">
      <c r="A237" s="2" t="s">
        <v>31</v>
      </c>
      <c r="B237" s="19" t="s">
        <v>50</v>
      </c>
      <c r="C237" s="19"/>
      <c r="D237" s="19"/>
      <c r="E237" s="20" t="s">
        <v>33</v>
      </c>
      <c r="F237" s="20"/>
      <c r="G237" s="21" t="s">
        <v>664</v>
      </c>
      <c r="H237" s="21"/>
      <c r="I237" s="21"/>
      <c r="J237" s="3" t="s">
        <v>35</v>
      </c>
      <c r="K237" s="4" t="s">
        <v>152</v>
      </c>
      <c r="L237" s="4" t="s">
        <v>278</v>
      </c>
      <c r="N237" s="21" t="s">
        <v>682</v>
      </c>
      <c r="O237" s="21"/>
      <c r="P237" s="21" t="s">
        <v>683</v>
      </c>
      <c r="Q237" s="21"/>
      <c r="R237" s="21"/>
      <c r="S237" s="3" t="s">
        <v>40</v>
      </c>
      <c r="T237" s="21" t="s">
        <v>41</v>
      </c>
      <c r="U237" s="21"/>
      <c r="V237" s="4" t="s">
        <v>42</v>
      </c>
      <c r="W237" s="4" t="s">
        <v>213</v>
      </c>
      <c r="X237" s="4" t="s">
        <v>531</v>
      </c>
      <c r="Y237" s="21" t="s">
        <v>56</v>
      </c>
      <c r="Z237" s="21"/>
      <c r="AA237" s="4" t="s">
        <v>46</v>
      </c>
      <c r="AB237" s="4" t="s">
        <v>47</v>
      </c>
      <c r="AC237" s="4" t="s">
        <v>139</v>
      </c>
      <c r="AD237" s="4" t="s">
        <v>69</v>
      </c>
      <c r="AE237" s="4" t="s">
        <v>48</v>
      </c>
      <c r="AF237" s="4" t="s">
        <v>41</v>
      </c>
      <c r="AG237" s="4" t="s">
        <v>670</v>
      </c>
    </row>
    <row r="238" spans="1:33" ht="16.5" customHeight="1" x14ac:dyDescent="0.2">
      <c r="A238" s="2" t="s">
        <v>31</v>
      </c>
      <c r="B238" s="19" t="s">
        <v>50</v>
      </c>
      <c r="C238" s="19"/>
      <c r="D238" s="19"/>
      <c r="E238" s="20" t="s">
        <v>33</v>
      </c>
      <c r="F238" s="20"/>
      <c r="G238" s="21" t="s">
        <v>664</v>
      </c>
      <c r="H238" s="21"/>
      <c r="I238" s="21"/>
      <c r="J238" s="3" t="s">
        <v>35</v>
      </c>
      <c r="K238" s="4" t="s">
        <v>87</v>
      </c>
      <c r="L238" s="4" t="s">
        <v>278</v>
      </c>
      <c r="N238" s="21" t="s">
        <v>684</v>
      </c>
      <c r="O238" s="21"/>
      <c r="P238" s="21" t="s">
        <v>685</v>
      </c>
      <c r="Q238" s="21"/>
      <c r="R238" s="21"/>
      <c r="S238" s="3" t="s">
        <v>40</v>
      </c>
      <c r="T238" s="21" t="s">
        <v>41</v>
      </c>
      <c r="U238" s="21"/>
      <c r="V238" s="4" t="s">
        <v>42</v>
      </c>
      <c r="W238" s="4" t="s">
        <v>355</v>
      </c>
      <c r="X238" s="4" t="s">
        <v>356</v>
      </c>
      <c r="Y238" s="21" t="s">
        <v>56</v>
      </c>
      <c r="Z238" s="21"/>
      <c r="AA238" s="4" t="s">
        <v>46</v>
      </c>
      <c r="AB238" s="4" t="s">
        <v>47</v>
      </c>
      <c r="AC238" s="4" t="s">
        <v>139</v>
      </c>
      <c r="AD238" s="4" t="s">
        <v>69</v>
      </c>
      <c r="AE238" s="4" t="s">
        <v>48</v>
      </c>
      <c r="AF238" s="4" t="s">
        <v>41</v>
      </c>
      <c r="AG238" s="4" t="s">
        <v>670</v>
      </c>
    </row>
    <row r="239" spans="1:33" ht="16.5" customHeight="1" x14ac:dyDescent="0.2">
      <c r="A239" s="2" t="s">
        <v>31</v>
      </c>
      <c r="B239" s="19" t="s">
        <v>50</v>
      </c>
      <c r="C239" s="19"/>
      <c r="D239" s="19"/>
      <c r="E239" s="20" t="s">
        <v>33</v>
      </c>
      <c r="F239" s="20"/>
      <c r="G239" s="21" t="s">
        <v>664</v>
      </c>
      <c r="H239" s="21"/>
      <c r="I239" s="21"/>
      <c r="J239" s="3" t="s">
        <v>35</v>
      </c>
      <c r="K239" s="4" t="s">
        <v>87</v>
      </c>
      <c r="L239" s="4" t="s">
        <v>278</v>
      </c>
      <c r="N239" s="21" t="s">
        <v>684</v>
      </c>
      <c r="O239" s="21"/>
      <c r="P239" s="21" t="s">
        <v>685</v>
      </c>
      <c r="Q239" s="21"/>
      <c r="R239" s="21"/>
      <c r="S239" s="3" t="s">
        <v>40</v>
      </c>
      <c r="T239" s="21" t="s">
        <v>41</v>
      </c>
      <c r="U239" s="21"/>
      <c r="V239" s="4" t="s">
        <v>59</v>
      </c>
      <c r="W239" s="4" t="s">
        <v>355</v>
      </c>
      <c r="X239" s="4" t="s">
        <v>300</v>
      </c>
      <c r="Y239" s="21" t="s">
        <v>56</v>
      </c>
      <c r="Z239" s="21"/>
      <c r="AA239" s="4" t="s">
        <v>46</v>
      </c>
      <c r="AB239" s="4" t="s">
        <v>47</v>
      </c>
      <c r="AC239" s="4" t="s">
        <v>57</v>
      </c>
      <c r="AD239" s="4" t="s">
        <v>283</v>
      </c>
      <c r="AE239" s="4" t="s">
        <v>48</v>
      </c>
      <c r="AF239" s="4" t="s">
        <v>41</v>
      </c>
      <c r="AG239" s="4" t="s">
        <v>670</v>
      </c>
    </row>
    <row r="240" spans="1:33" ht="16.5" customHeight="1" x14ac:dyDescent="0.2">
      <c r="A240" s="2" t="s">
        <v>31</v>
      </c>
      <c r="B240" s="19" t="s">
        <v>50</v>
      </c>
      <c r="C240" s="19"/>
      <c r="D240" s="19"/>
      <c r="E240" s="20" t="s">
        <v>33</v>
      </c>
      <c r="F240" s="20"/>
      <c r="G240" s="21" t="s">
        <v>664</v>
      </c>
      <c r="H240" s="21"/>
      <c r="I240" s="21"/>
      <c r="J240" s="3" t="s">
        <v>35</v>
      </c>
      <c r="K240" s="4" t="s">
        <v>82</v>
      </c>
      <c r="L240" s="4" t="s">
        <v>37</v>
      </c>
      <c r="N240" s="21" t="s">
        <v>686</v>
      </c>
      <c r="O240" s="21"/>
      <c r="P240" s="21" t="s">
        <v>687</v>
      </c>
      <c r="Q240" s="21"/>
      <c r="R240" s="21"/>
      <c r="S240" s="3" t="s">
        <v>40</v>
      </c>
      <c r="T240" s="21" t="s">
        <v>41</v>
      </c>
      <c r="U240" s="21"/>
      <c r="V240" s="4" t="s">
        <v>42</v>
      </c>
      <c r="W240" s="4" t="s">
        <v>310</v>
      </c>
      <c r="X240" s="4" t="s">
        <v>311</v>
      </c>
      <c r="Y240" s="21" t="s">
        <v>56</v>
      </c>
      <c r="Z240" s="21"/>
      <c r="AA240" s="4" t="s">
        <v>46</v>
      </c>
      <c r="AB240" s="4" t="s">
        <v>47</v>
      </c>
      <c r="AC240" s="4" t="s">
        <v>57</v>
      </c>
      <c r="AD240" s="4" t="s">
        <v>58</v>
      </c>
      <c r="AE240" s="4" t="s">
        <v>48</v>
      </c>
      <c r="AF240" s="4" t="s">
        <v>41</v>
      </c>
      <c r="AG240" s="4" t="s">
        <v>670</v>
      </c>
    </row>
    <row r="241" spans="1:33" ht="16.5" customHeight="1" x14ac:dyDescent="0.2">
      <c r="A241" s="2" t="s">
        <v>31</v>
      </c>
      <c r="B241" s="19" t="s">
        <v>50</v>
      </c>
      <c r="C241" s="19"/>
      <c r="D241" s="19"/>
      <c r="E241" s="20" t="s">
        <v>33</v>
      </c>
      <c r="F241" s="20"/>
      <c r="G241" s="21" t="s">
        <v>664</v>
      </c>
      <c r="H241" s="21"/>
      <c r="I241" s="21"/>
      <c r="J241" s="3" t="s">
        <v>35</v>
      </c>
      <c r="K241" s="4" t="s">
        <v>99</v>
      </c>
      <c r="L241" s="4" t="s">
        <v>37</v>
      </c>
      <c r="N241" s="21" t="s">
        <v>688</v>
      </c>
      <c r="O241" s="21"/>
      <c r="P241" s="21" t="s">
        <v>689</v>
      </c>
      <c r="Q241" s="21"/>
      <c r="R241" s="21"/>
      <c r="S241" s="3" t="s">
        <v>40</v>
      </c>
      <c r="T241" s="21" t="s">
        <v>41</v>
      </c>
      <c r="U241" s="21"/>
      <c r="V241" s="4" t="s">
        <v>42</v>
      </c>
      <c r="W241" s="4" t="s">
        <v>642</v>
      </c>
      <c r="X241" s="4" t="s">
        <v>643</v>
      </c>
      <c r="Y241" s="21" t="s">
        <v>56</v>
      </c>
      <c r="Z241" s="21"/>
      <c r="AA241" s="4" t="s">
        <v>46</v>
      </c>
      <c r="AB241" s="4" t="s">
        <v>47</v>
      </c>
      <c r="AC241" s="4" t="s">
        <v>81</v>
      </c>
      <c r="AD241" s="4" t="s">
        <v>41</v>
      </c>
      <c r="AE241" s="4" t="s">
        <v>48</v>
      </c>
      <c r="AF241" s="4" t="s">
        <v>41</v>
      </c>
      <c r="AG241" s="4" t="s">
        <v>670</v>
      </c>
    </row>
    <row r="242" spans="1:33" ht="16.5" customHeight="1" x14ac:dyDescent="0.2">
      <c r="A242" s="2" t="s">
        <v>31</v>
      </c>
      <c r="B242" s="19" t="s">
        <v>50</v>
      </c>
      <c r="C242" s="19"/>
      <c r="D242" s="19"/>
      <c r="E242" s="20" t="s">
        <v>33</v>
      </c>
      <c r="F242" s="20"/>
      <c r="G242" s="21" t="s">
        <v>664</v>
      </c>
      <c r="H242" s="21"/>
      <c r="I242" s="21"/>
      <c r="J242" s="3" t="s">
        <v>35</v>
      </c>
      <c r="K242" s="4" t="s">
        <v>152</v>
      </c>
      <c r="L242" s="4" t="s">
        <v>37</v>
      </c>
      <c r="N242" s="21" t="s">
        <v>690</v>
      </c>
      <c r="O242" s="21"/>
      <c r="P242" s="21" t="s">
        <v>691</v>
      </c>
      <c r="Q242" s="21"/>
      <c r="R242" s="21"/>
      <c r="S242" s="3" t="s">
        <v>40</v>
      </c>
      <c r="T242" s="21" t="s">
        <v>41</v>
      </c>
      <c r="U242" s="21"/>
      <c r="V242" s="4" t="s">
        <v>59</v>
      </c>
      <c r="W242" s="4" t="s">
        <v>350</v>
      </c>
      <c r="X242" s="4" t="s">
        <v>356</v>
      </c>
      <c r="Y242" s="21" t="s">
        <v>56</v>
      </c>
      <c r="Z242" s="21"/>
      <c r="AA242" s="4" t="s">
        <v>46</v>
      </c>
      <c r="AB242" s="4" t="s">
        <v>47</v>
      </c>
      <c r="AC242" s="4" t="s">
        <v>139</v>
      </c>
      <c r="AD242" s="4" t="s">
        <v>140</v>
      </c>
      <c r="AE242" s="4" t="s">
        <v>48</v>
      </c>
      <c r="AF242" s="4" t="s">
        <v>41</v>
      </c>
      <c r="AG242" s="4" t="s">
        <v>670</v>
      </c>
    </row>
    <row r="243" spans="1:33" ht="16.5" customHeight="1" x14ac:dyDescent="0.2">
      <c r="A243" s="2" t="s">
        <v>31</v>
      </c>
      <c r="B243" s="19" t="s">
        <v>50</v>
      </c>
      <c r="C243" s="19"/>
      <c r="D243" s="19"/>
      <c r="E243" s="20" t="s">
        <v>33</v>
      </c>
      <c r="F243" s="20"/>
      <c r="G243" s="21" t="s">
        <v>664</v>
      </c>
      <c r="H243" s="21"/>
      <c r="I243" s="21"/>
      <c r="J243" s="3" t="s">
        <v>35</v>
      </c>
      <c r="K243" s="4" t="s">
        <v>661</v>
      </c>
      <c r="L243" s="4" t="s">
        <v>37</v>
      </c>
      <c r="N243" s="21" t="s">
        <v>692</v>
      </c>
      <c r="O243" s="21"/>
      <c r="P243" s="21" t="s">
        <v>693</v>
      </c>
      <c r="Q243" s="21"/>
      <c r="R243" s="21"/>
      <c r="S243" s="3" t="s">
        <v>40</v>
      </c>
      <c r="T243" s="21" t="s">
        <v>41</v>
      </c>
      <c r="U243" s="21"/>
      <c r="V243" s="4" t="s">
        <v>42</v>
      </c>
      <c r="W243" s="4" t="s">
        <v>276</v>
      </c>
      <c r="X243" s="4" t="s">
        <v>277</v>
      </c>
      <c r="Y243" s="21" t="s">
        <v>198</v>
      </c>
      <c r="Z243" s="21"/>
      <c r="AA243" s="4" t="s">
        <v>46</v>
      </c>
      <c r="AB243" s="4" t="s">
        <v>47</v>
      </c>
      <c r="AC243" s="4" t="s">
        <v>257</v>
      </c>
      <c r="AD243" s="4" t="s">
        <v>258</v>
      </c>
      <c r="AE243" s="4" t="s">
        <v>48</v>
      </c>
      <c r="AF243" s="4" t="s">
        <v>41</v>
      </c>
      <c r="AG243" s="4" t="s">
        <v>670</v>
      </c>
    </row>
    <row r="244" spans="1:33" ht="16.5" customHeight="1" x14ac:dyDescent="0.2">
      <c r="A244" s="2" t="s">
        <v>31</v>
      </c>
      <c r="B244" s="19" t="s">
        <v>50</v>
      </c>
      <c r="C244" s="19"/>
      <c r="D244" s="19"/>
      <c r="E244" s="20" t="s">
        <v>33</v>
      </c>
      <c r="F244" s="20"/>
      <c r="G244" s="21" t="s">
        <v>664</v>
      </c>
      <c r="H244" s="21"/>
      <c r="I244" s="21"/>
      <c r="J244" s="3" t="s">
        <v>35</v>
      </c>
      <c r="K244" s="4" t="s">
        <v>661</v>
      </c>
      <c r="L244" s="4" t="s">
        <v>37</v>
      </c>
      <c r="N244" s="21" t="s">
        <v>692</v>
      </c>
      <c r="O244" s="21"/>
      <c r="P244" s="21" t="s">
        <v>693</v>
      </c>
      <c r="Q244" s="21"/>
      <c r="R244" s="21"/>
      <c r="S244" s="3" t="s">
        <v>40</v>
      </c>
      <c r="T244" s="21" t="s">
        <v>41</v>
      </c>
      <c r="U244" s="21"/>
      <c r="V244" s="4" t="s">
        <v>59</v>
      </c>
      <c r="W244" s="4" t="s">
        <v>276</v>
      </c>
      <c r="X244" s="4" t="s">
        <v>282</v>
      </c>
      <c r="Y244" s="21" t="s">
        <v>198</v>
      </c>
      <c r="Z244" s="21"/>
      <c r="AA244" s="4" t="s">
        <v>46</v>
      </c>
      <c r="AB244" s="4" t="s">
        <v>47</v>
      </c>
      <c r="AC244" s="4" t="s">
        <v>257</v>
      </c>
      <c r="AD244" s="4" t="s">
        <v>258</v>
      </c>
      <c r="AE244" s="4" t="s">
        <v>48</v>
      </c>
      <c r="AF244" s="4" t="s">
        <v>41</v>
      </c>
      <c r="AG244" s="4" t="s">
        <v>670</v>
      </c>
    </row>
    <row r="245" spans="1:33" ht="16.5" customHeight="1" x14ac:dyDescent="0.2">
      <c r="A245" s="2" t="s">
        <v>31</v>
      </c>
      <c r="B245" s="19" t="s">
        <v>50</v>
      </c>
      <c r="C245" s="19"/>
      <c r="D245" s="19"/>
      <c r="E245" s="20" t="s">
        <v>33</v>
      </c>
      <c r="F245" s="20"/>
      <c r="G245" s="21" t="s">
        <v>664</v>
      </c>
      <c r="H245" s="21"/>
      <c r="I245" s="21"/>
      <c r="J245" s="3" t="s">
        <v>35</v>
      </c>
      <c r="K245" s="4" t="s">
        <v>133</v>
      </c>
      <c r="L245" s="4" t="s">
        <v>37</v>
      </c>
      <c r="N245" s="21" t="s">
        <v>694</v>
      </c>
      <c r="O245" s="21"/>
      <c r="P245" s="21" t="s">
        <v>695</v>
      </c>
      <c r="Q245" s="21"/>
      <c r="R245" s="21"/>
      <c r="S245" s="3" t="s">
        <v>40</v>
      </c>
      <c r="T245" s="21" t="s">
        <v>41</v>
      </c>
      <c r="U245" s="21"/>
      <c r="V245" s="4" t="s">
        <v>42</v>
      </c>
      <c r="W245" s="4" t="s">
        <v>54</v>
      </c>
      <c r="X245" s="4" t="s">
        <v>55</v>
      </c>
      <c r="Y245" s="21" t="s">
        <v>138</v>
      </c>
      <c r="Z245" s="21"/>
      <c r="AA245" s="4" t="s">
        <v>46</v>
      </c>
      <c r="AB245" s="4" t="s">
        <v>47</v>
      </c>
      <c r="AC245" s="4" t="s">
        <v>57</v>
      </c>
      <c r="AD245" s="4" t="s">
        <v>58</v>
      </c>
      <c r="AE245" s="4" t="s">
        <v>48</v>
      </c>
      <c r="AF245" s="4" t="s">
        <v>41</v>
      </c>
      <c r="AG245" s="4" t="s">
        <v>670</v>
      </c>
    </row>
    <row r="246" spans="1:33" ht="16.5" customHeight="1" x14ac:dyDescent="0.2">
      <c r="A246" s="2" t="s">
        <v>31</v>
      </c>
      <c r="B246" s="19" t="s">
        <v>50</v>
      </c>
      <c r="C246" s="19"/>
      <c r="D246" s="19"/>
      <c r="E246" s="20" t="s">
        <v>33</v>
      </c>
      <c r="F246" s="20"/>
      <c r="G246" s="21" t="s">
        <v>664</v>
      </c>
      <c r="H246" s="21"/>
      <c r="I246" s="21"/>
      <c r="J246" s="3" t="s">
        <v>35</v>
      </c>
      <c r="K246" s="4" t="s">
        <v>152</v>
      </c>
      <c r="L246" s="4" t="s">
        <v>37</v>
      </c>
      <c r="N246" s="21" t="s">
        <v>696</v>
      </c>
      <c r="O246" s="21"/>
      <c r="P246" s="21" t="s">
        <v>697</v>
      </c>
      <c r="Q246" s="21"/>
      <c r="R246" s="21"/>
      <c r="S246" s="3" t="s">
        <v>40</v>
      </c>
      <c r="T246" s="21" t="s">
        <v>41</v>
      </c>
      <c r="U246" s="21"/>
      <c r="V246" s="4" t="s">
        <v>42</v>
      </c>
      <c r="W246" s="4" t="s">
        <v>229</v>
      </c>
      <c r="X246" s="4" t="s">
        <v>448</v>
      </c>
      <c r="Y246" s="21" t="s">
        <v>56</v>
      </c>
      <c r="Z246" s="21"/>
      <c r="AA246" s="4" t="s">
        <v>46</v>
      </c>
      <c r="AB246" s="4" t="s">
        <v>47</v>
      </c>
      <c r="AC246" s="4" t="s">
        <v>139</v>
      </c>
      <c r="AD246" s="4" t="s">
        <v>140</v>
      </c>
      <c r="AE246" s="4" t="s">
        <v>48</v>
      </c>
      <c r="AF246" s="4" t="s">
        <v>41</v>
      </c>
      <c r="AG246" s="4" t="s">
        <v>670</v>
      </c>
    </row>
    <row r="247" spans="1:33" ht="16.5" customHeight="1" x14ac:dyDescent="0.2">
      <c r="A247" s="2" t="s">
        <v>31</v>
      </c>
      <c r="B247" s="19" t="s">
        <v>50</v>
      </c>
      <c r="C247" s="19"/>
      <c r="D247" s="19"/>
      <c r="E247" s="20" t="s">
        <v>33</v>
      </c>
      <c r="F247" s="20"/>
      <c r="G247" s="21" t="s">
        <v>664</v>
      </c>
      <c r="H247" s="21"/>
      <c r="I247" s="21"/>
      <c r="J247" s="3" t="s">
        <v>35</v>
      </c>
      <c r="K247" s="4" t="s">
        <v>61</v>
      </c>
      <c r="L247" s="4" t="s">
        <v>68</v>
      </c>
      <c r="N247" s="21" t="s">
        <v>698</v>
      </c>
      <c r="O247" s="21"/>
      <c r="P247" s="21" t="s">
        <v>699</v>
      </c>
      <c r="Q247" s="21"/>
      <c r="R247" s="21"/>
      <c r="S247" s="3" t="s">
        <v>40</v>
      </c>
      <c r="T247" s="21" t="s">
        <v>41</v>
      </c>
      <c r="U247" s="21"/>
      <c r="V247" s="4" t="s">
        <v>42</v>
      </c>
      <c r="W247" s="4" t="s">
        <v>43</v>
      </c>
      <c r="X247" s="4" t="s">
        <v>44</v>
      </c>
      <c r="Y247" s="21" t="s">
        <v>65</v>
      </c>
      <c r="Z247" s="21"/>
      <c r="AA247" s="4" t="s">
        <v>46</v>
      </c>
      <c r="AB247" s="4" t="s">
        <v>47</v>
      </c>
      <c r="AC247" s="4" t="s">
        <v>57</v>
      </c>
      <c r="AD247" s="4" t="s">
        <v>98</v>
      </c>
      <c r="AE247" s="4" t="s">
        <v>48</v>
      </c>
      <c r="AF247" s="4" t="s">
        <v>41</v>
      </c>
      <c r="AG247" s="4" t="s">
        <v>670</v>
      </c>
    </row>
    <row r="248" spans="1:33" ht="0.75" customHeight="1" x14ac:dyDescent="0.2"/>
    <row r="249" spans="1:33" ht="12" customHeight="1" x14ac:dyDescent="0.2"/>
    <row r="250" spans="1:33" ht="16.5" customHeight="1" x14ac:dyDescent="0.2">
      <c r="A250" s="2" t="s">
        <v>31</v>
      </c>
      <c r="B250" s="19" t="s">
        <v>50</v>
      </c>
      <c r="C250" s="19"/>
      <c r="D250" s="19"/>
      <c r="E250" s="20" t="s">
        <v>33</v>
      </c>
      <c r="F250" s="20"/>
      <c r="G250" s="21" t="s">
        <v>664</v>
      </c>
      <c r="H250" s="21"/>
      <c r="I250" s="21"/>
      <c r="J250" s="3" t="s">
        <v>35</v>
      </c>
      <c r="K250" s="4" t="s">
        <v>247</v>
      </c>
      <c r="L250" s="4" t="s">
        <v>37</v>
      </c>
      <c r="N250" s="21" t="s">
        <v>700</v>
      </c>
      <c r="O250" s="21"/>
      <c r="P250" s="21" t="s">
        <v>701</v>
      </c>
      <c r="Q250" s="21"/>
      <c r="R250" s="21"/>
      <c r="S250" s="3" t="s">
        <v>40</v>
      </c>
      <c r="T250" s="21" t="s">
        <v>41</v>
      </c>
      <c r="U250" s="21"/>
      <c r="V250" s="4" t="s">
        <v>42</v>
      </c>
      <c r="W250" s="4" t="s">
        <v>54</v>
      </c>
      <c r="X250" s="4" t="s">
        <v>55</v>
      </c>
      <c r="Y250" s="21" t="s">
        <v>65</v>
      </c>
      <c r="Z250" s="21"/>
      <c r="AA250" s="4" t="s">
        <v>46</v>
      </c>
      <c r="AB250" s="4" t="s">
        <v>47</v>
      </c>
      <c r="AC250" s="4" t="s">
        <v>66</v>
      </c>
      <c r="AD250" s="4" t="s">
        <v>73</v>
      </c>
      <c r="AE250" s="4" t="s">
        <v>48</v>
      </c>
      <c r="AF250" s="4" t="s">
        <v>41</v>
      </c>
      <c r="AG250" s="4" t="s">
        <v>670</v>
      </c>
    </row>
    <row r="251" spans="1:33" ht="16.5" customHeight="1" x14ac:dyDescent="0.2">
      <c r="A251" s="2" t="s">
        <v>31</v>
      </c>
      <c r="B251" s="19" t="s">
        <v>50</v>
      </c>
      <c r="C251" s="19"/>
      <c r="D251" s="19"/>
      <c r="E251" s="20" t="s">
        <v>33</v>
      </c>
      <c r="F251" s="20"/>
      <c r="G251" s="21" t="s">
        <v>664</v>
      </c>
      <c r="H251" s="21"/>
      <c r="I251" s="21"/>
      <c r="J251" s="3" t="s">
        <v>35</v>
      </c>
      <c r="K251" s="4" t="s">
        <v>61</v>
      </c>
      <c r="L251" s="4" t="s">
        <v>68</v>
      </c>
      <c r="N251" s="21" t="s">
        <v>702</v>
      </c>
      <c r="O251" s="21"/>
      <c r="P251" s="21" t="s">
        <v>703</v>
      </c>
      <c r="Q251" s="21"/>
      <c r="R251" s="21"/>
      <c r="S251" s="3" t="s">
        <v>40</v>
      </c>
      <c r="T251" s="21" t="s">
        <v>41</v>
      </c>
      <c r="U251" s="21"/>
      <c r="V251" s="4" t="s">
        <v>42</v>
      </c>
      <c r="W251" s="4" t="s">
        <v>136</v>
      </c>
      <c r="X251" s="4" t="s">
        <v>137</v>
      </c>
      <c r="Y251" s="21" t="s">
        <v>65</v>
      </c>
      <c r="Z251" s="21"/>
      <c r="AA251" s="4" t="s">
        <v>46</v>
      </c>
      <c r="AB251" s="4" t="s">
        <v>47</v>
      </c>
      <c r="AC251" s="4" t="s">
        <v>57</v>
      </c>
      <c r="AD251" s="4" t="s">
        <v>98</v>
      </c>
      <c r="AE251" s="4" t="s">
        <v>48</v>
      </c>
      <c r="AF251" s="4" t="s">
        <v>41</v>
      </c>
      <c r="AG251" s="4" t="s">
        <v>670</v>
      </c>
    </row>
    <row r="252" spans="1:33" ht="16.5" customHeight="1" x14ac:dyDescent="0.2">
      <c r="A252" s="2" t="s">
        <v>31</v>
      </c>
      <c r="B252" s="19" t="s">
        <v>50</v>
      </c>
      <c r="C252" s="19"/>
      <c r="D252" s="19"/>
      <c r="E252" s="20" t="s">
        <v>33</v>
      </c>
      <c r="F252" s="20"/>
      <c r="G252" s="21" t="s">
        <v>664</v>
      </c>
      <c r="H252" s="21"/>
      <c r="I252" s="21"/>
      <c r="J252" s="3" t="s">
        <v>35</v>
      </c>
      <c r="K252" s="4" t="s">
        <v>152</v>
      </c>
      <c r="L252" s="4" t="s">
        <v>68</v>
      </c>
      <c r="N252" s="21" t="s">
        <v>704</v>
      </c>
      <c r="O252" s="21"/>
      <c r="P252" s="21" t="s">
        <v>705</v>
      </c>
      <c r="Q252" s="21"/>
      <c r="R252" s="21"/>
      <c r="S252" s="3" t="s">
        <v>40</v>
      </c>
      <c r="T252" s="21" t="s">
        <v>41</v>
      </c>
      <c r="U252" s="21"/>
      <c r="V252" s="4" t="s">
        <v>42</v>
      </c>
      <c r="W252" s="4" t="s">
        <v>157</v>
      </c>
      <c r="X252" s="4" t="s">
        <v>158</v>
      </c>
      <c r="Y252" s="21" t="s">
        <v>56</v>
      </c>
      <c r="Z252" s="21"/>
      <c r="AA252" s="4" t="s">
        <v>46</v>
      </c>
      <c r="AB252" s="4" t="s">
        <v>47</v>
      </c>
      <c r="AC252" s="4" t="s">
        <v>139</v>
      </c>
      <c r="AD252" s="4" t="s">
        <v>151</v>
      </c>
      <c r="AE252" s="4" t="s">
        <v>48</v>
      </c>
      <c r="AF252" s="4" t="s">
        <v>41</v>
      </c>
      <c r="AG252" s="4" t="s">
        <v>670</v>
      </c>
    </row>
    <row r="253" spans="1:33" ht="16.5" customHeight="1" x14ac:dyDescent="0.2">
      <c r="A253" s="2" t="s">
        <v>31</v>
      </c>
      <c r="B253" s="19" t="s">
        <v>50</v>
      </c>
      <c r="C253" s="19"/>
      <c r="D253" s="19"/>
      <c r="E253" s="20" t="s">
        <v>33</v>
      </c>
      <c r="F253" s="20"/>
      <c r="G253" s="21" t="s">
        <v>664</v>
      </c>
      <c r="H253" s="21"/>
      <c r="I253" s="21"/>
      <c r="J253" s="3" t="s">
        <v>35</v>
      </c>
      <c r="K253" s="4" t="s">
        <v>74</v>
      </c>
      <c r="L253" s="4" t="s">
        <v>37</v>
      </c>
      <c r="N253" s="21" t="s">
        <v>706</v>
      </c>
      <c r="O253" s="21"/>
      <c r="P253" s="21" t="s">
        <v>707</v>
      </c>
      <c r="Q253" s="21"/>
      <c r="R253" s="21"/>
      <c r="S253" s="3" t="s">
        <v>40</v>
      </c>
      <c r="T253" s="21" t="s">
        <v>41</v>
      </c>
      <c r="U253" s="21"/>
      <c r="V253" s="4" t="s">
        <v>42</v>
      </c>
      <c r="W253" s="4" t="s">
        <v>182</v>
      </c>
      <c r="X253" s="4" t="s">
        <v>294</v>
      </c>
      <c r="Y253" s="21" t="s">
        <v>65</v>
      </c>
      <c r="Z253" s="21"/>
      <c r="AA253" s="4" t="s">
        <v>46</v>
      </c>
      <c r="AB253" s="4" t="s">
        <v>47</v>
      </c>
      <c r="AC253" s="4" t="s">
        <v>66</v>
      </c>
      <c r="AD253" s="4" t="s">
        <v>73</v>
      </c>
      <c r="AE253" s="4" t="s">
        <v>48</v>
      </c>
      <c r="AF253" s="4" t="s">
        <v>41</v>
      </c>
      <c r="AG253" s="4" t="s">
        <v>670</v>
      </c>
    </row>
    <row r="254" spans="1:33" ht="16.5" customHeight="1" x14ac:dyDescent="0.2">
      <c r="A254" s="2" t="s">
        <v>31</v>
      </c>
      <c r="B254" s="19" t="s">
        <v>50</v>
      </c>
      <c r="C254" s="19"/>
      <c r="D254" s="19"/>
      <c r="E254" s="20" t="s">
        <v>33</v>
      </c>
      <c r="F254" s="20"/>
      <c r="G254" s="21" t="s">
        <v>664</v>
      </c>
      <c r="H254" s="21"/>
      <c r="I254" s="21"/>
      <c r="J254" s="3" t="s">
        <v>35</v>
      </c>
      <c r="K254" s="4" t="s">
        <v>661</v>
      </c>
      <c r="L254" s="4" t="s">
        <v>37</v>
      </c>
      <c r="N254" s="21" t="s">
        <v>708</v>
      </c>
      <c r="O254" s="21"/>
      <c r="P254" s="21" t="s">
        <v>709</v>
      </c>
      <c r="Q254" s="21"/>
      <c r="R254" s="21"/>
      <c r="S254" s="3" t="s">
        <v>40</v>
      </c>
      <c r="T254" s="21" t="s">
        <v>41</v>
      </c>
      <c r="U254" s="21"/>
      <c r="V254" s="4" t="s">
        <v>42</v>
      </c>
      <c r="W254" s="4" t="s">
        <v>77</v>
      </c>
      <c r="X254" s="4" t="s">
        <v>78</v>
      </c>
      <c r="Y254" s="21" t="s">
        <v>198</v>
      </c>
      <c r="Z254" s="21"/>
      <c r="AA254" s="4" t="s">
        <v>46</v>
      </c>
      <c r="AB254" s="4" t="s">
        <v>47</v>
      </c>
      <c r="AC254" s="4" t="s">
        <v>139</v>
      </c>
      <c r="AD254" s="4" t="s">
        <v>140</v>
      </c>
      <c r="AE254" s="4" t="s">
        <v>48</v>
      </c>
      <c r="AF254" s="4" t="s">
        <v>41</v>
      </c>
      <c r="AG254" s="4" t="s">
        <v>670</v>
      </c>
    </row>
    <row r="255" spans="1:33" ht="16.5" customHeight="1" x14ac:dyDescent="0.2">
      <c r="A255" s="2" t="s">
        <v>31</v>
      </c>
      <c r="B255" s="19" t="s">
        <v>50</v>
      </c>
      <c r="C255" s="19"/>
      <c r="D255" s="19"/>
      <c r="E255" s="20" t="s">
        <v>33</v>
      </c>
      <c r="F255" s="20"/>
      <c r="G255" s="21" t="s">
        <v>664</v>
      </c>
      <c r="H255" s="21"/>
      <c r="I255" s="21"/>
      <c r="J255" s="3" t="s">
        <v>35</v>
      </c>
      <c r="K255" s="4" t="s">
        <v>247</v>
      </c>
      <c r="L255" s="4" t="s">
        <v>37</v>
      </c>
      <c r="N255" s="21" t="s">
        <v>710</v>
      </c>
      <c r="O255" s="21"/>
      <c r="P255" s="21" t="s">
        <v>711</v>
      </c>
      <c r="Q255" s="21"/>
      <c r="R255" s="21"/>
      <c r="S255" s="3" t="s">
        <v>40</v>
      </c>
      <c r="T255" s="21" t="s">
        <v>41</v>
      </c>
      <c r="U255" s="21"/>
      <c r="V255" s="4" t="s">
        <v>42</v>
      </c>
      <c r="W255" s="4" t="s">
        <v>712</v>
      </c>
      <c r="X255" s="4" t="s">
        <v>713</v>
      </c>
      <c r="Y255" s="21" t="s">
        <v>65</v>
      </c>
      <c r="Z255" s="21"/>
      <c r="AA255" s="4" t="s">
        <v>46</v>
      </c>
      <c r="AB255" s="4" t="s">
        <v>47</v>
      </c>
      <c r="AC255" s="4" t="s">
        <v>57</v>
      </c>
      <c r="AD255" s="4" t="s">
        <v>58</v>
      </c>
      <c r="AE255" s="4" t="s">
        <v>48</v>
      </c>
      <c r="AF255" s="4" t="s">
        <v>41</v>
      </c>
      <c r="AG255" s="4" t="s">
        <v>670</v>
      </c>
    </row>
    <row r="256" spans="1:33" ht="16.5" customHeight="1" x14ac:dyDescent="0.2">
      <c r="A256" s="2" t="s">
        <v>31</v>
      </c>
      <c r="B256" s="19" t="s">
        <v>50</v>
      </c>
      <c r="C256" s="19"/>
      <c r="D256" s="19"/>
      <c r="E256" s="20" t="s">
        <v>33</v>
      </c>
      <c r="F256" s="20"/>
      <c r="G256" s="21" t="s">
        <v>664</v>
      </c>
      <c r="H256" s="21"/>
      <c r="I256" s="21"/>
      <c r="J256" s="3" t="s">
        <v>35</v>
      </c>
      <c r="K256" s="4" t="s">
        <v>204</v>
      </c>
      <c r="L256" s="4" t="s">
        <v>68</v>
      </c>
      <c r="N256" s="21" t="s">
        <v>714</v>
      </c>
      <c r="O256" s="21"/>
      <c r="P256" s="21" t="s">
        <v>715</v>
      </c>
      <c r="Q256" s="21"/>
      <c r="R256" s="21"/>
      <c r="S256" s="3" t="s">
        <v>40</v>
      </c>
      <c r="T256" s="21" t="s">
        <v>41</v>
      </c>
      <c r="U256" s="21"/>
      <c r="V256" s="4" t="s">
        <v>42</v>
      </c>
      <c r="W256" s="4" t="s">
        <v>234</v>
      </c>
      <c r="X256" s="4" t="s">
        <v>235</v>
      </c>
      <c r="Y256" s="21" t="s">
        <v>198</v>
      </c>
      <c r="Z256" s="21"/>
      <c r="AA256" s="4" t="s">
        <v>46</v>
      </c>
      <c r="AB256" s="4" t="s">
        <v>47</v>
      </c>
      <c r="AC256" s="4" t="s">
        <v>257</v>
      </c>
      <c r="AD256" s="4" t="s">
        <v>73</v>
      </c>
      <c r="AE256" s="4" t="s">
        <v>48</v>
      </c>
      <c r="AF256" s="4" t="s">
        <v>41</v>
      </c>
      <c r="AG256" s="4" t="s">
        <v>670</v>
      </c>
    </row>
    <row r="257" spans="1:33" ht="16.5" customHeight="1" x14ac:dyDescent="0.2">
      <c r="A257" s="2" t="s">
        <v>31</v>
      </c>
      <c r="B257" s="19" t="s">
        <v>50</v>
      </c>
      <c r="C257" s="19"/>
      <c r="D257" s="19"/>
      <c r="E257" s="20" t="s">
        <v>33</v>
      </c>
      <c r="F257" s="20"/>
      <c r="G257" s="21" t="s">
        <v>664</v>
      </c>
      <c r="H257" s="21"/>
      <c r="I257" s="21"/>
      <c r="J257" s="3" t="s">
        <v>35</v>
      </c>
      <c r="K257" s="4" t="s">
        <v>152</v>
      </c>
      <c r="L257" s="4" t="s">
        <v>278</v>
      </c>
      <c r="N257" s="21" t="s">
        <v>716</v>
      </c>
      <c r="O257" s="21"/>
      <c r="P257" s="21" t="s">
        <v>717</v>
      </c>
      <c r="Q257" s="21"/>
      <c r="R257" s="21"/>
      <c r="S257" s="3" t="s">
        <v>40</v>
      </c>
      <c r="T257" s="21" t="s">
        <v>41</v>
      </c>
      <c r="U257" s="21"/>
      <c r="V257" s="4" t="s">
        <v>42</v>
      </c>
      <c r="W257" s="4" t="s">
        <v>213</v>
      </c>
      <c r="X257" s="4" t="s">
        <v>531</v>
      </c>
      <c r="Y257" s="21" t="s">
        <v>56</v>
      </c>
      <c r="Z257" s="21"/>
      <c r="AA257" s="4" t="s">
        <v>46</v>
      </c>
      <c r="AB257" s="4" t="s">
        <v>47</v>
      </c>
      <c r="AC257" s="4" t="s">
        <v>139</v>
      </c>
      <c r="AD257" s="4" t="s">
        <v>69</v>
      </c>
      <c r="AE257" s="4" t="s">
        <v>48</v>
      </c>
      <c r="AF257" s="4" t="s">
        <v>41</v>
      </c>
      <c r="AG257" s="4" t="s">
        <v>670</v>
      </c>
    </row>
    <row r="258" spans="1:33" ht="16.5" customHeight="1" x14ac:dyDescent="0.2">
      <c r="A258" s="2" t="s">
        <v>31</v>
      </c>
      <c r="B258" s="19" t="s">
        <v>50</v>
      </c>
      <c r="C258" s="19"/>
      <c r="D258" s="19"/>
      <c r="E258" s="20" t="s">
        <v>33</v>
      </c>
      <c r="F258" s="20"/>
      <c r="G258" s="21" t="s">
        <v>664</v>
      </c>
      <c r="H258" s="21"/>
      <c r="I258" s="21"/>
      <c r="J258" s="3" t="s">
        <v>35</v>
      </c>
      <c r="K258" s="4" t="s">
        <v>146</v>
      </c>
      <c r="L258" s="4" t="s">
        <v>37</v>
      </c>
      <c r="N258" s="21" t="s">
        <v>718</v>
      </c>
      <c r="O258" s="21"/>
      <c r="P258" s="21" t="s">
        <v>719</v>
      </c>
      <c r="Q258" s="21"/>
      <c r="R258" s="21"/>
      <c r="S258" s="3" t="s">
        <v>40</v>
      </c>
      <c r="T258" s="21" t="s">
        <v>41</v>
      </c>
      <c r="U258" s="21"/>
      <c r="V258" s="4" t="s">
        <v>42</v>
      </c>
      <c r="W258" s="4" t="s">
        <v>213</v>
      </c>
      <c r="X258" s="4" t="s">
        <v>531</v>
      </c>
      <c r="Y258" s="21" t="s">
        <v>138</v>
      </c>
      <c r="Z258" s="21"/>
      <c r="AA258" s="4" t="s">
        <v>46</v>
      </c>
      <c r="AB258" s="4" t="s">
        <v>47</v>
      </c>
      <c r="AC258" s="4" t="s">
        <v>139</v>
      </c>
      <c r="AD258" s="4" t="s">
        <v>140</v>
      </c>
      <c r="AE258" s="4" t="s">
        <v>48</v>
      </c>
      <c r="AF258" s="4" t="s">
        <v>41</v>
      </c>
      <c r="AG258" s="4" t="s">
        <v>670</v>
      </c>
    </row>
    <row r="259" spans="1:33" ht="16.5" customHeight="1" x14ac:dyDescent="0.2">
      <c r="A259" s="2" t="s">
        <v>31</v>
      </c>
      <c r="B259" s="19" t="s">
        <v>50</v>
      </c>
      <c r="C259" s="19"/>
      <c r="D259" s="19"/>
      <c r="E259" s="20" t="s">
        <v>33</v>
      </c>
      <c r="F259" s="20"/>
      <c r="G259" s="21" t="s">
        <v>664</v>
      </c>
      <c r="H259" s="21"/>
      <c r="I259" s="21"/>
      <c r="J259" s="3" t="s">
        <v>35</v>
      </c>
      <c r="K259" s="4" t="s">
        <v>133</v>
      </c>
      <c r="L259" s="4" t="s">
        <v>37</v>
      </c>
      <c r="N259" s="21" t="s">
        <v>720</v>
      </c>
      <c r="O259" s="21"/>
      <c r="P259" s="21" t="s">
        <v>721</v>
      </c>
      <c r="Q259" s="21"/>
      <c r="R259" s="21"/>
      <c r="S259" s="3" t="s">
        <v>40</v>
      </c>
      <c r="T259" s="21" t="s">
        <v>41</v>
      </c>
      <c r="U259" s="21"/>
      <c r="V259" s="4" t="s">
        <v>42</v>
      </c>
      <c r="W259" s="4" t="s">
        <v>191</v>
      </c>
      <c r="X259" s="4" t="s">
        <v>192</v>
      </c>
      <c r="Y259" s="21" t="s">
        <v>138</v>
      </c>
      <c r="Z259" s="21"/>
      <c r="AA259" s="4" t="s">
        <v>46</v>
      </c>
      <c r="AB259" s="4" t="s">
        <v>47</v>
      </c>
      <c r="AC259" s="4" t="s">
        <v>81</v>
      </c>
      <c r="AD259" s="4" t="s">
        <v>41</v>
      </c>
      <c r="AE259" s="4" t="s">
        <v>48</v>
      </c>
      <c r="AF259" s="4" t="s">
        <v>41</v>
      </c>
      <c r="AG259" s="4" t="s">
        <v>670</v>
      </c>
    </row>
    <row r="260" spans="1:33" ht="16.5" customHeight="1" x14ac:dyDescent="0.2">
      <c r="A260" s="2" t="s">
        <v>31</v>
      </c>
      <c r="B260" s="19" t="s">
        <v>50</v>
      </c>
      <c r="C260" s="19"/>
      <c r="D260" s="19"/>
      <c r="E260" s="20" t="s">
        <v>33</v>
      </c>
      <c r="F260" s="20"/>
      <c r="G260" s="21" t="s">
        <v>664</v>
      </c>
      <c r="H260" s="21"/>
      <c r="I260" s="21"/>
      <c r="J260" s="3" t="s">
        <v>35</v>
      </c>
      <c r="K260" s="4" t="s">
        <v>152</v>
      </c>
      <c r="L260" s="4" t="s">
        <v>68</v>
      </c>
      <c r="N260" s="21" t="s">
        <v>722</v>
      </c>
      <c r="O260" s="21"/>
      <c r="P260" s="21" t="s">
        <v>723</v>
      </c>
      <c r="Q260" s="21"/>
      <c r="R260" s="21"/>
      <c r="S260" s="3" t="s">
        <v>40</v>
      </c>
      <c r="T260" s="21" t="s">
        <v>41</v>
      </c>
      <c r="U260" s="21"/>
      <c r="V260" s="4" t="s">
        <v>42</v>
      </c>
      <c r="W260" s="4" t="s">
        <v>229</v>
      </c>
      <c r="X260" s="4" t="s">
        <v>448</v>
      </c>
      <c r="Y260" s="21" t="s">
        <v>56</v>
      </c>
      <c r="Z260" s="21"/>
      <c r="AA260" s="4" t="s">
        <v>46</v>
      </c>
      <c r="AB260" s="4" t="s">
        <v>47</v>
      </c>
      <c r="AC260" s="4" t="s">
        <v>139</v>
      </c>
      <c r="AD260" s="4" t="s">
        <v>151</v>
      </c>
      <c r="AE260" s="4" t="s">
        <v>48</v>
      </c>
      <c r="AF260" s="4" t="s">
        <v>41</v>
      </c>
      <c r="AG260" s="4" t="s">
        <v>670</v>
      </c>
    </row>
    <row r="261" spans="1:33" ht="16.5" customHeight="1" x14ac:dyDescent="0.2">
      <c r="A261" s="2" t="s">
        <v>31</v>
      </c>
      <c r="B261" s="19" t="s">
        <v>50</v>
      </c>
      <c r="C261" s="19"/>
      <c r="D261" s="19"/>
      <c r="E261" s="20" t="s">
        <v>33</v>
      </c>
      <c r="F261" s="20"/>
      <c r="G261" s="21" t="s">
        <v>664</v>
      </c>
      <c r="H261" s="21"/>
      <c r="I261" s="21"/>
      <c r="J261" s="3" t="s">
        <v>35</v>
      </c>
      <c r="K261" s="4" t="s">
        <v>152</v>
      </c>
      <c r="L261" s="4" t="s">
        <v>37</v>
      </c>
      <c r="N261" s="21" t="s">
        <v>724</v>
      </c>
      <c r="O261" s="21"/>
      <c r="P261" s="21" t="s">
        <v>725</v>
      </c>
      <c r="Q261" s="21"/>
      <c r="R261" s="21"/>
      <c r="S261" s="3" t="s">
        <v>40</v>
      </c>
      <c r="T261" s="21" t="s">
        <v>41</v>
      </c>
      <c r="U261" s="21"/>
      <c r="V261" s="4" t="s">
        <v>42</v>
      </c>
      <c r="W261" s="4" t="s">
        <v>161</v>
      </c>
      <c r="X261" s="4" t="s">
        <v>162</v>
      </c>
      <c r="Y261" s="21" t="s">
        <v>56</v>
      </c>
      <c r="Z261" s="21"/>
      <c r="AA261" s="4" t="s">
        <v>46</v>
      </c>
      <c r="AB261" s="4" t="s">
        <v>47</v>
      </c>
      <c r="AC261" s="4" t="s">
        <v>81</v>
      </c>
      <c r="AD261" s="4" t="s">
        <v>41</v>
      </c>
      <c r="AE261" s="4" t="s">
        <v>48</v>
      </c>
      <c r="AF261" s="4" t="s">
        <v>41</v>
      </c>
      <c r="AG261" s="4" t="s">
        <v>670</v>
      </c>
    </row>
    <row r="262" spans="1:33" ht="16.5" customHeight="1" x14ac:dyDescent="0.2">
      <c r="A262" s="2" t="s">
        <v>31</v>
      </c>
      <c r="B262" s="19" t="s">
        <v>110</v>
      </c>
      <c r="C262" s="19"/>
      <c r="D262" s="19"/>
      <c r="E262" s="20" t="s">
        <v>33</v>
      </c>
      <c r="F262" s="20"/>
      <c r="G262" s="21" t="s">
        <v>664</v>
      </c>
      <c r="H262" s="21"/>
      <c r="I262" s="21"/>
      <c r="J262" s="3" t="s">
        <v>111</v>
      </c>
      <c r="K262" s="4" t="s">
        <v>554</v>
      </c>
      <c r="N262" s="21" t="s">
        <v>724</v>
      </c>
      <c r="O262" s="21"/>
      <c r="P262" s="21" t="s">
        <v>725</v>
      </c>
      <c r="Q262" s="21"/>
      <c r="R262" s="21"/>
      <c r="S262" s="3" t="s">
        <v>40</v>
      </c>
      <c r="T262" s="21" t="s">
        <v>555</v>
      </c>
      <c r="U262" s="21"/>
      <c r="V262" s="4" t="s">
        <v>42</v>
      </c>
      <c r="W262" s="4" t="s">
        <v>54</v>
      </c>
      <c r="X262" s="4" t="s">
        <v>531</v>
      </c>
      <c r="Y262" s="21" t="s">
        <v>116</v>
      </c>
      <c r="Z262" s="21"/>
      <c r="AA262" s="4" t="s">
        <v>46</v>
      </c>
      <c r="AB262" s="4" t="s">
        <v>117</v>
      </c>
      <c r="AC262" s="4" t="s">
        <v>48</v>
      </c>
      <c r="AD262" s="4" t="s">
        <v>41</v>
      </c>
      <c r="AE262" s="4" t="s">
        <v>48</v>
      </c>
      <c r="AF262" s="4" t="s">
        <v>41</v>
      </c>
      <c r="AG262" s="4" t="s">
        <v>670</v>
      </c>
    </row>
    <row r="263" spans="1:33" ht="16.5" customHeight="1" x14ac:dyDescent="0.2">
      <c r="A263" s="2" t="s">
        <v>31</v>
      </c>
      <c r="B263" s="19" t="s">
        <v>50</v>
      </c>
      <c r="C263" s="19"/>
      <c r="D263" s="19"/>
      <c r="E263" s="20" t="s">
        <v>33</v>
      </c>
      <c r="F263" s="20"/>
      <c r="G263" s="21" t="s">
        <v>664</v>
      </c>
      <c r="H263" s="21"/>
      <c r="I263" s="21"/>
      <c r="J263" s="3" t="s">
        <v>35</v>
      </c>
      <c r="K263" s="4" t="s">
        <v>146</v>
      </c>
      <c r="L263" s="4" t="s">
        <v>231</v>
      </c>
      <c r="N263" s="21" t="s">
        <v>726</v>
      </c>
      <c r="O263" s="21"/>
      <c r="P263" s="21" t="s">
        <v>727</v>
      </c>
      <c r="Q263" s="21"/>
      <c r="R263" s="21"/>
      <c r="S263" s="3" t="s">
        <v>40</v>
      </c>
      <c r="T263" s="21" t="s">
        <v>41</v>
      </c>
      <c r="U263" s="21"/>
      <c r="V263" s="4" t="s">
        <v>42</v>
      </c>
      <c r="W263" s="4" t="s">
        <v>161</v>
      </c>
      <c r="X263" s="4" t="s">
        <v>162</v>
      </c>
      <c r="Y263" s="21" t="s">
        <v>138</v>
      </c>
      <c r="Z263" s="21"/>
      <c r="AA263" s="4" t="s">
        <v>46</v>
      </c>
      <c r="AB263" s="4" t="s">
        <v>47</v>
      </c>
      <c r="AC263" s="4" t="s">
        <v>139</v>
      </c>
      <c r="AD263" s="4" t="s">
        <v>449</v>
      </c>
      <c r="AE263" s="4" t="s">
        <v>48</v>
      </c>
      <c r="AF263" s="4" t="s">
        <v>41</v>
      </c>
      <c r="AG263" s="4" t="s">
        <v>670</v>
      </c>
    </row>
    <row r="264" spans="1:33" ht="16.5" customHeight="1" x14ac:dyDescent="0.2">
      <c r="A264" s="2" t="s">
        <v>31</v>
      </c>
      <c r="B264" s="19" t="s">
        <v>50</v>
      </c>
      <c r="C264" s="19"/>
      <c r="D264" s="19"/>
      <c r="E264" s="20" t="s">
        <v>33</v>
      </c>
      <c r="F264" s="20"/>
      <c r="G264" s="21" t="s">
        <v>664</v>
      </c>
      <c r="H264" s="21"/>
      <c r="I264" s="21"/>
      <c r="J264" s="3" t="s">
        <v>35</v>
      </c>
      <c r="K264" s="4" t="s">
        <v>99</v>
      </c>
      <c r="L264" s="4" t="s">
        <v>37</v>
      </c>
      <c r="N264" s="21" t="s">
        <v>728</v>
      </c>
      <c r="O264" s="21"/>
      <c r="P264" s="21" t="s">
        <v>729</v>
      </c>
      <c r="Q264" s="21"/>
      <c r="R264" s="21"/>
      <c r="S264" s="3" t="s">
        <v>40</v>
      </c>
      <c r="T264" s="21" t="s">
        <v>41</v>
      </c>
      <c r="U264" s="21"/>
      <c r="V264" s="4" t="s">
        <v>42</v>
      </c>
      <c r="W264" s="4" t="s">
        <v>161</v>
      </c>
      <c r="X264" s="4" t="s">
        <v>162</v>
      </c>
      <c r="Y264" s="21" t="s">
        <v>56</v>
      </c>
      <c r="Z264" s="21"/>
      <c r="AA264" s="4" t="s">
        <v>46</v>
      </c>
      <c r="AB264" s="4" t="s">
        <v>47</v>
      </c>
      <c r="AC264" s="4" t="s">
        <v>139</v>
      </c>
      <c r="AD264" s="4" t="s">
        <v>140</v>
      </c>
      <c r="AE264" s="4" t="s">
        <v>48</v>
      </c>
      <c r="AF264" s="4" t="s">
        <v>41</v>
      </c>
      <c r="AG264" s="4" t="s">
        <v>670</v>
      </c>
    </row>
    <row r="265" spans="1:33" ht="16.5" customHeight="1" x14ac:dyDescent="0.2">
      <c r="A265" s="2" t="s">
        <v>31</v>
      </c>
      <c r="B265" s="19" t="s">
        <v>50</v>
      </c>
      <c r="C265" s="19"/>
      <c r="D265" s="19"/>
      <c r="E265" s="20" t="s">
        <v>33</v>
      </c>
      <c r="F265" s="20"/>
      <c r="G265" s="21" t="s">
        <v>664</v>
      </c>
      <c r="H265" s="21"/>
      <c r="I265" s="21"/>
      <c r="J265" s="3" t="s">
        <v>35</v>
      </c>
      <c r="K265" s="4" t="s">
        <v>74</v>
      </c>
      <c r="L265" s="4" t="s">
        <v>68</v>
      </c>
      <c r="N265" s="21" t="s">
        <v>730</v>
      </c>
      <c r="O265" s="21"/>
      <c r="P265" s="21" t="s">
        <v>731</v>
      </c>
      <c r="Q265" s="21"/>
      <c r="R265" s="21"/>
      <c r="S265" s="3" t="s">
        <v>40</v>
      </c>
      <c r="T265" s="21" t="s">
        <v>41</v>
      </c>
      <c r="U265" s="21"/>
      <c r="V265" s="4" t="s">
        <v>42</v>
      </c>
      <c r="W265" s="4" t="s">
        <v>59</v>
      </c>
      <c r="X265" s="4" t="s">
        <v>131</v>
      </c>
      <c r="Y265" s="21" t="s">
        <v>65</v>
      </c>
      <c r="Z265" s="21"/>
      <c r="AA265" s="4" t="s">
        <v>46</v>
      </c>
      <c r="AB265" s="4" t="s">
        <v>47</v>
      </c>
      <c r="AC265" s="4" t="s">
        <v>66</v>
      </c>
      <c r="AD265" s="4" t="s">
        <v>69</v>
      </c>
      <c r="AE265" s="4" t="s">
        <v>48</v>
      </c>
      <c r="AF265" s="4" t="s">
        <v>41</v>
      </c>
      <c r="AG265" s="4" t="s">
        <v>670</v>
      </c>
    </row>
    <row r="266" spans="1:33" ht="16.5" customHeight="1" x14ac:dyDescent="0.2">
      <c r="A266" s="2" t="s">
        <v>31</v>
      </c>
      <c r="B266" s="19" t="s">
        <v>50</v>
      </c>
      <c r="C266" s="19"/>
      <c r="D266" s="19"/>
      <c r="E266" s="20" t="s">
        <v>33</v>
      </c>
      <c r="F266" s="20"/>
      <c r="G266" s="21" t="s">
        <v>664</v>
      </c>
      <c r="H266" s="21"/>
      <c r="I266" s="21"/>
      <c r="J266" s="3" t="s">
        <v>35</v>
      </c>
      <c r="K266" s="4" t="s">
        <v>74</v>
      </c>
      <c r="L266" s="4" t="s">
        <v>37</v>
      </c>
      <c r="N266" s="21" t="s">
        <v>732</v>
      </c>
      <c r="O266" s="21"/>
      <c r="P266" s="21" t="s">
        <v>733</v>
      </c>
      <c r="Q266" s="21"/>
      <c r="R266" s="21"/>
      <c r="S266" s="3" t="s">
        <v>40</v>
      </c>
      <c r="T266" s="21" t="s">
        <v>41</v>
      </c>
      <c r="U266" s="21"/>
      <c r="V266" s="4" t="s">
        <v>42</v>
      </c>
      <c r="W266" s="4" t="s">
        <v>734</v>
      </c>
      <c r="X266" s="4" t="s">
        <v>735</v>
      </c>
      <c r="Y266" s="21" t="s">
        <v>65</v>
      </c>
      <c r="Z266" s="21"/>
      <c r="AA266" s="4" t="s">
        <v>46</v>
      </c>
      <c r="AB266" s="4" t="s">
        <v>47</v>
      </c>
      <c r="AC266" s="4" t="s">
        <v>57</v>
      </c>
      <c r="AD266" s="4" t="s">
        <v>58</v>
      </c>
      <c r="AE266" s="4" t="s">
        <v>48</v>
      </c>
      <c r="AF266" s="4" t="s">
        <v>41</v>
      </c>
      <c r="AG266" s="4" t="s">
        <v>670</v>
      </c>
    </row>
    <row r="267" spans="1:33" ht="16.5" customHeight="1" x14ac:dyDescent="0.2">
      <c r="A267" s="2" t="s">
        <v>31</v>
      </c>
      <c r="B267" s="19" t="s">
        <v>50</v>
      </c>
      <c r="C267" s="19"/>
      <c r="D267" s="19"/>
      <c r="E267" s="20" t="s">
        <v>33</v>
      </c>
      <c r="F267" s="20"/>
      <c r="G267" s="21" t="s">
        <v>664</v>
      </c>
      <c r="H267" s="21"/>
      <c r="I267" s="21"/>
      <c r="J267" s="3" t="s">
        <v>35</v>
      </c>
      <c r="K267" s="4" t="s">
        <v>61</v>
      </c>
      <c r="L267" s="4" t="s">
        <v>68</v>
      </c>
      <c r="N267" s="21" t="s">
        <v>736</v>
      </c>
      <c r="O267" s="21"/>
      <c r="P267" s="21" t="s">
        <v>737</v>
      </c>
      <c r="Q267" s="21"/>
      <c r="R267" s="21"/>
      <c r="S267" s="3" t="s">
        <v>40</v>
      </c>
      <c r="T267" s="21" t="s">
        <v>41</v>
      </c>
      <c r="U267" s="21"/>
      <c r="V267" s="4" t="s">
        <v>42</v>
      </c>
      <c r="W267" s="4" t="s">
        <v>734</v>
      </c>
      <c r="X267" s="4" t="s">
        <v>735</v>
      </c>
      <c r="Y267" s="21" t="s">
        <v>65</v>
      </c>
      <c r="Z267" s="21"/>
      <c r="AA267" s="4" t="s">
        <v>46</v>
      </c>
      <c r="AB267" s="4" t="s">
        <v>47</v>
      </c>
      <c r="AC267" s="4" t="s">
        <v>57</v>
      </c>
      <c r="AD267" s="4" t="s">
        <v>98</v>
      </c>
      <c r="AE267" s="4" t="s">
        <v>48</v>
      </c>
      <c r="AF267" s="4" t="s">
        <v>41</v>
      </c>
      <c r="AG267" s="4" t="s">
        <v>670</v>
      </c>
    </row>
    <row r="268" spans="1:33" ht="16.5" customHeight="1" x14ac:dyDescent="0.2">
      <c r="A268" s="2" t="s">
        <v>31</v>
      </c>
      <c r="B268" s="19" t="s">
        <v>50</v>
      </c>
      <c r="C268" s="19"/>
      <c r="D268" s="19"/>
      <c r="E268" s="20" t="s">
        <v>33</v>
      </c>
      <c r="F268" s="20"/>
      <c r="G268" s="21" t="s">
        <v>664</v>
      </c>
      <c r="H268" s="21"/>
      <c r="I268" s="21"/>
      <c r="J268" s="3" t="s">
        <v>35</v>
      </c>
      <c r="K268" s="4" t="s">
        <v>152</v>
      </c>
      <c r="L268" s="4" t="s">
        <v>37</v>
      </c>
      <c r="N268" s="21" t="s">
        <v>738</v>
      </c>
      <c r="O268" s="21"/>
      <c r="P268" s="21" t="s">
        <v>739</v>
      </c>
      <c r="Q268" s="21"/>
      <c r="R268" s="21"/>
      <c r="S268" s="3" t="s">
        <v>40</v>
      </c>
      <c r="T268" s="21" t="s">
        <v>41</v>
      </c>
      <c r="U268" s="21"/>
      <c r="V268" s="4" t="s">
        <v>42</v>
      </c>
      <c r="W268" s="4" t="s">
        <v>157</v>
      </c>
      <c r="X268" s="4" t="s">
        <v>158</v>
      </c>
      <c r="Y268" s="21" t="s">
        <v>56</v>
      </c>
      <c r="Z268" s="21"/>
      <c r="AA268" s="4" t="s">
        <v>46</v>
      </c>
      <c r="AB268" s="4" t="s">
        <v>47</v>
      </c>
      <c r="AC268" s="4" t="s">
        <v>139</v>
      </c>
      <c r="AD268" s="4" t="s">
        <v>140</v>
      </c>
      <c r="AE268" s="4" t="s">
        <v>48</v>
      </c>
      <c r="AF268" s="4" t="s">
        <v>41</v>
      </c>
      <c r="AG268" s="4" t="s">
        <v>670</v>
      </c>
    </row>
    <row r="269" spans="1:33" ht="16.5" customHeight="1" x14ac:dyDescent="0.2">
      <c r="A269" s="2" t="s">
        <v>31</v>
      </c>
      <c r="B269" s="19" t="s">
        <v>50</v>
      </c>
      <c r="C269" s="19"/>
      <c r="D269" s="19"/>
      <c r="E269" s="20" t="s">
        <v>33</v>
      </c>
      <c r="F269" s="20"/>
      <c r="G269" s="21" t="s">
        <v>664</v>
      </c>
      <c r="H269" s="21"/>
      <c r="I269" s="21"/>
      <c r="J269" s="3" t="s">
        <v>35</v>
      </c>
      <c r="K269" s="4" t="s">
        <v>87</v>
      </c>
      <c r="L269" s="4" t="s">
        <v>445</v>
      </c>
      <c r="N269" s="21" t="s">
        <v>740</v>
      </c>
      <c r="O269" s="21"/>
      <c r="P269" s="21" t="s">
        <v>741</v>
      </c>
      <c r="Q269" s="21"/>
      <c r="R269" s="21"/>
      <c r="S269" s="3" t="s">
        <v>40</v>
      </c>
      <c r="T269" s="21" t="s">
        <v>41</v>
      </c>
      <c r="U269" s="21"/>
      <c r="V269" s="4" t="s">
        <v>42</v>
      </c>
      <c r="W269" s="4" t="s">
        <v>742</v>
      </c>
      <c r="X269" s="4" t="s">
        <v>743</v>
      </c>
      <c r="Y269" s="21" t="s">
        <v>56</v>
      </c>
      <c r="Z269" s="21"/>
      <c r="AA269" s="4" t="s">
        <v>46</v>
      </c>
      <c r="AB269" s="4" t="s">
        <v>47</v>
      </c>
      <c r="AC269" s="4" t="s">
        <v>139</v>
      </c>
      <c r="AD269" s="4" t="s">
        <v>466</v>
      </c>
      <c r="AE269" s="4" t="s">
        <v>48</v>
      </c>
      <c r="AF269" s="4" t="s">
        <v>41</v>
      </c>
      <c r="AG269" s="4" t="s">
        <v>670</v>
      </c>
    </row>
    <row r="270" spans="1:33" ht="16.5" customHeight="1" x14ac:dyDescent="0.2">
      <c r="A270" s="2" t="s">
        <v>31</v>
      </c>
      <c r="B270" s="19" t="s">
        <v>50</v>
      </c>
      <c r="C270" s="19"/>
      <c r="D270" s="19"/>
      <c r="E270" s="20" t="s">
        <v>33</v>
      </c>
      <c r="F270" s="20"/>
      <c r="G270" s="21" t="s">
        <v>664</v>
      </c>
      <c r="H270" s="21"/>
      <c r="I270" s="21"/>
      <c r="J270" s="3" t="s">
        <v>35</v>
      </c>
      <c r="K270" s="4" t="s">
        <v>74</v>
      </c>
      <c r="L270" s="4" t="s">
        <v>37</v>
      </c>
      <c r="N270" s="21" t="s">
        <v>744</v>
      </c>
      <c r="O270" s="21"/>
      <c r="P270" s="21" t="s">
        <v>745</v>
      </c>
      <c r="Q270" s="21"/>
      <c r="R270" s="21"/>
      <c r="S270" s="3" t="s">
        <v>40</v>
      </c>
      <c r="T270" s="21" t="s">
        <v>41</v>
      </c>
      <c r="U270" s="21"/>
      <c r="V270" s="4" t="s">
        <v>42</v>
      </c>
      <c r="W270" s="4" t="s">
        <v>261</v>
      </c>
      <c r="X270" s="4" t="s">
        <v>262</v>
      </c>
      <c r="Y270" s="21" t="s">
        <v>65</v>
      </c>
      <c r="Z270" s="21"/>
      <c r="AA270" s="4" t="s">
        <v>46</v>
      </c>
      <c r="AB270" s="4" t="s">
        <v>47</v>
      </c>
      <c r="AC270" s="4" t="s">
        <v>57</v>
      </c>
      <c r="AD270" s="4" t="s">
        <v>58</v>
      </c>
      <c r="AE270" s="4" t="s">
        <v>48</v>
      </c>
      <c r="AF270" s="4" t="s">
        <v>41</v>
      </c>
      <c r="AG270" s="4" t="s">
        <v>670</v>
      </c>
    </row>
    <row r="271" spans="1:33" ht="16.5" customHeight="1" x14ac:dyDescent="0.2">
      <c r="A271" s="2" t="s">
        <v>31</v>
      </c>
      <c r="B271" s="19" t="s">
        <v>50</v>
      </c>
      <c r="C271" s="19"/>
      <c r="D271" s="19"/>
      <c r="E271" s="20" t="s">
        <v>33</v>
      </c>
      <c r="F271" s="20"/>
      <c r="G271" s="21" t="s">
        <v>664</v>
      </c>
      <c r="H271" s="21"/>
      <c r="I271" s="21"/>
      <c r="J271" s="3" t="s">
        <v>35</v>
      </c>
      <c r="K271" s="4" t="s">
        <v>61</v>
      </c>
      <c r="L271" s="4" t="s">
        <v>445</v>
      </c>
      <c r="N271" s="21" t="s">
        <v>746</v>
      </c>
      <c r="O271" s="21"/>
      <c r="P271" s="21" t="s">
        <v>747</v>
      </c>
      <c r="Q271" s="21"/>
      <c r="R271" s="21"/>
      <c r="S271" s="3" t="s">
        <v>40</v>
      </c>
      <c r="T271" s="21" t="s">
        <v>41</v>
      </c>
      <c r="U271" s="21"/>
      <c r="V271" s="4" t="s">
        <v>42</v>
      </c>
      <c r="W271" s="4" t="s">
        <v>742</v>
      </c>
      <c r="X271" s="4" t="s">
        <v>743</v>
      </c>
      <c r="Y271" s="21" t="s">
        <v>65</v>
      </c>
      <c r="Z271" s="21"/>
      <c r="AA271" s="4" t="s">
        <v>46</v>
      </c>
      <c r="AB271" s="4" t="s">
        <v>47</v>
      </c>
      <c r="AC271" s="4" t="s">
        <v>57</v>
      </c>
      <c r="AD271" s="4" t="s">
        <v>449</v>
      </c>
      <c r="AE271" s="4" t="s">
        <v>48</v>
      </c>
      <c r="AF271" s="4" t="s">
        <v>41</v>
      </c>
      <c r="AG271" s="4" t="s">
        <v>670</v>
      </c>
    </row>
    <row r="272" spans="1:33" ht="16.5" customHeight="1" x14ac:dyDescent="0.2">
      <c r="A272" s="2" t="s">
        <v>31</v>
      </c>
      <c r="B272" s="19" t="s">
        <v>50</v>
      </c>
      <c r="C272" s="19"/>
      <c r="D272" s="19"/>
      <c r="E272" s="20" t="s">
        <v>33</v>
      </c>
      <c r="F272" s="20"/>
      <c r="G272" s="21" t="s">
        <v>664</v>
      </c>
      <c r="H272" s="21"/>
      <c r="I272" s="21"/>
      <c r="J272" s="3" t="s">
        <v>35</v>
      </c>
      <c r="K272" s="4" t="s">
        <v>61</v>
      </c>
      <c r="L272" s="4" t="s">
        <v>37</v>
      </c>
      <c r="N272" s="21" t="s">
        <v>748</v>
      </c>
      <c r="O272" s="21"/>
      <c r="P272" s="21" t="s">
        <v>749</v>
      </c>
      <c r="Q272" s="21"/>
      <c r="R272" s="21"/>
      <c r="S272" s="3" t="s">
        <v>40</v>
      </c>
      <c r="T272" s="21" t="s">
        <v>41</v>
      </c>
      <c r="U272" s="21"/>
      <c r="V272" s="4" t="s">
        <v>42</v>
      </c>
      <c r="W272" s="4" t="s">
        <v>213</v>
      </c>
      <c r="X272" s="4" t="s">
        <v>531</v>
      </c>
      <c r="Y272" s="21" t="s">
        <v>65</v>
      </c>
      <c r="Z272" s="21"/>
      <c r="AA272" s="4" t="s">
        <v>46</v>
      </c>
      <c r="AB272" s="4" t="s">
        <v>47</v>
      </c>
      <c r="AC272" s="4" t="s">
        <v>57</v>
      </c>
      <c r="AD272" s="4" t="s">
        <v>58</v>
      </c>
      <c r="AE272" s="4" t="s">
        <v>48</v>
      </c>
      <c r="AF272" s="4" t="s">
        <v>41</v>
      </c>
      <c r="AG272" s="4" t="s">
        <v>670</v>
      </c>
    </row>
    <row r="273" spans="1:33" ht="16.5" customHeight="1" x14ac:dyDescent="0.2">
      <c r="A273" s="2" t="s">
        <v>31</v>
      </c>
      <c r="B273" s="19" t="s">
        <v>50</v>
      </c>
      <c r="C273" s="19"/>
      <c r="D273" s="19"/>
      <c r="E273" s="20" t="s">
        <v>33</v>
      </c>
      <c r="F273" s="20"/>
      <c r="G273" s="21" t="s">
        <v>664</v>
      </c>
      <c r="H273" s="21"/>
      <c r="I273" s="21"/>
      <c r="J273" s="3" t="s">
        <v>35</v>
      </c>
      <c r="K273" s="4" t="s">
        <v>82</v>
      </c>
      <c r="L273" s="4" t="s">
        <v>37</v>
      </c>
      <c r="N273" s="21" t="s">
        <v>750</v>
      </c>
      <c r="O273" s="21"/>
      <c r="P273" s="21" t="s">
        <v>751</v>
      </c>
      <c r="Q273" s="21"/>
      <c r="R273" s="21"/>
      <c r="S273" s="3" t="s">
        <v>40</v>
      </c>
      <c r="T273" s="21" t="s">
        <v>41</v>
      </c>
      <c r="U273" s="21"/>
      <c r="V273" s="4" t="s">
        <v>42</v>
      </c>
      <c r="W273" s="4" t="s">
        <v>54</v>
      </c>
      <c r="X273" s="4" t="s">
        <v>55</v>
      </c>
      <c r="Y273" s="21" t="s">
        <v>56</v>
      </c>
      <c r="Z273" s="21"/>
      <c r="AA273" s="4" t="s">
        <v>46</v>
      </c>
      <c r="AB273" s="4" t="s">
        <v>47</v>
      </c>
      <c r="AC273" s="4" t="s">
        <v>57</v>
      </c>
      <c r="AD273" s="4" t="s">
        <v>58</v>
      </c>
      <c r="AE273" s="4" t="s">
        <v>48</v>
      </c>
      <c r="AF273" s="4" t="s">
        <v>41</v>
      </c>
      <c r="AG273" s="4" t="s">
        <v>670</v>
      </c>
    </row>
    <row r="274" spans="1:33" ht="16.5" customHeight="1" x14ac:dyDescent="0.2">
      <c r="A274" s="2" t="s">
        <v>31</v>
      </c>
      <c r="B274" s="19" t="s">
        <v>50</v>
      </c>
      <c r="C274" s="19"/>
      <c r="D274" s="19"/>
      <c r="E274" s="20" t="s">
        <v>33</v>
      </c>
      <c r="F274" s="20"/>
      <c r="G274" s="21" t="s">
        <v>664</v>
      </c>
      <c r="H274" s="21"/>
      <c r="I274" s="21"/>
      <c r="J274" s="3" t="s">
        <v>35</v>
      </c>
      <c r="K274" s="4" t="s">
        <v>82</v>
      </c>
      <c r="L274" s="4" t="s">
        <v>37</v>
      </c>
      <c r="N274" s="21" t="s">
        <v>750</v>
      </c>
      <c r="O274" s="21"/>
      <c r="P274" s="21" t="s">
        <v>751</v>
      </c>
      <c r="Q274" s="21"/>
      <c r="R274" s="21"/>
      <c r="S274" s="3" t="s">
        <v>40</v>
      </c>
      <c r="T274" s="21" t="s">
        <v>41</v>
      </c>
      <c r="U274" s="21"/>
      <c r="V274" s="4" t="s">
        <v>59</v>
      </c>
      <c r="W274" s="4" t="s">
        <v>54</v>
      </c>
      <c r="X274" s="4" t="s">
        <v>60</v>
      </c>
      <c r="Y274" s="21" t="s">
        <v>56</v>
      </c>
      <c r="Z274" s="21"/>
      <c r="AA274" s="4" t="s">
        <v>46</v>
      </c>
      <c r="AB274" s="4" t="s">
        <v>47</v>
      </c>
      <c r="AC274" s="4" t="s">
        <v>57</v>
      </c>
      <c r="AD274" s="4" t="s">
        <v>58</v>
      </c>
      <c r="AE274" s="4" t="s">
        <v>48</v>
      </c>
      <c r="AF274" s="4" t="s">
        <v>41</v>
      </c>
      <c r="AG274" s="4" t="s">
        <v>670</v>
      </c>
    </row>
    <row r="275" spans="1:33" ht="16.5" customHeight="1" x14ac:dyDescent="0.2">
      <c r="A275" s="2" t="s">
        <v>31</v>
      </c>
      <c r="B275" s="19" t="s">
        <v>50</v>
      </c>
      <c r="C275" s="19"/>
      <c r="D275" s="19"/>
      <c r="E275" s="20" t="s">
        <v>33</v>
      </c>
      <c r="F275" s="20"/>
      <c r="G275" s="21" t="s">
        <v>664</v>
      </c>
      <c r="H275" s="21"/>
      <c r="I275" s="21"/>
      <c r="J275" s="3" t="s">
        <v>35</v>
      </c>
      <c r="K275" s="4" t="s">
        <v>82</v>
      </c>
      <c r="L275" s="4" t="s">
        <v>179</v>
      </c>
      <c r="N275" s="21" t="s">
        <v>750</v>
      </c>
      <c r="O275" s="21"/>
      <c r="P275" s="21" t="s">
        <v>751</v>
      </c>
      <c r="Q275" s="21"/>
      <c r="R275" s="21"/>
      <c r="S275" s="3" t="s">
        <v>40</v>
      </c>
      <c r="T275" s="21" t="s">
        <v>41</v>
      </c>
      <c r="U275" s="21"/>
      <c r="V275" s="4" t="s">
        <v>59</v>
      </c>
      <c r="W275" s="4" t="s">
        <v>54</v>
      </c>
      <c r="X275" s="4" t="s">
        <v>60</v>
      </c>
      <c r="Y275" s="21" t="s">
        <v>56</v>
      </c>
      <c r="Z275" s="21"/>
      <c r="AA275" s="4" t="s">
        <v>46</v>
      </c>
      <c r="AB275" s="4" t="s">
        <v>47</v>
      </c>
      <c r="AC275" s="4" t="s">
        <v>57</v>
      </c>
      <c r="AD275" s="4" t="s">
        <v>752</v>
      </c>
      <c r="AE275" s="4" t="s">
        <v>48</v>
      </c>
      <c r="AF275" s="4" t="s">
        <v>41</v>
      </c>
      <c r="AG275" s="4" t="s">
        <v>670</v>
      </c>
    </row>
    <row r="276" spans="1:33" ht="16.5" customHeight="1" x14ac:dyDescent="0.2">
      <c r="A276" s="2" t="s">
        <v>31</v>
      </c>
      <c r="B276" s="19" t="s">
        <v>50</v>
      </c>
      <c r="C276" s="19"/>
      <c r="D276" s="19"/>
      <c r="E276" s="20" t="s">
        <v>33</v>
      </c>
      <c r="F276" s="20"/>
      <c r="G276" s="21" t="s">
        <v>664</v>
      </c>
      <c r="H276" s="21"/>
      <c r="I276" s="21"/>
      <c r="J276" s="3" t="s">
        <v>35</v>
      </c>
      <c r="K276" s="4" t="s">
        <v>74</v>
      </c>
      <c r="L276" s="4" t="s">
        <v>445</v>
      </c>
      <c r="N276" s="21" t="s">
        <v>753</v>
      </c>
      <c r="O276" s="21"/>
      <c r="P276" s="21" t="s">
        <v>754</v>
      </c>
      <c r="Q276" s="21"/>
      <c r="R276" s="21"/>
      <c r="S276" s="3" t="s">
        <v>40</v>
      </c>
      <c r="T276" s="21" t="s">
        <v>41</v>
      </c>
      <c r="U276" s="21"/>
      <c r="V276" s="4" t="s">
        <v>42</v>
      </c>
      <c r="W276" s="4" t="s">
        <v>213</v>
      </c>
      <c r="X276" s="4" t="s">
        <v>531</v>
      </c>
      <c r="Y276" s="21" t="s">
        <v>65</v>
      </c>
      <c r="Z276" s="21"/>
      <c r="AA276" s="4" t="s">
        <v>46</v>
      </c>
      <c r="AB276" s="4" t="s">
        <v>47</v>
      </c>
      <c r="AC276" s="4" t="s">
        <v>57</v>
      </c>
      <c r="AD276" s="4" t="s">
        <v>449</v>
      </c>
      <c r="AE276" s="4" t="s">
        <v>48</v>
      </c>
      <c r="AF276" s="4" t="s">
        <v>41</v>
      </c>
      <c r="AG276" s="4" t="s">
        <v>670</v>
      </c>
    </row>
    <row r="277" spans="1:33" ht="16.5" customHeight="1" x14ac:dyDescent="0.2">
      <c r="A277" s="2" t="s">
        <v>31</v>
      </c>
      <c r="B277" s="19" t="s">
        <v>50</v>
      </c>
      <c r="C277" s="19"/>
      <c r="D277" s="19"/>
      <c r="E277" s="20" t="s">
        <v>33</v>
      </c>
      <c r="F277" s="20"/>
      <c r="G277" s="21" t="s">
        <v>664</v>
      </c>
      <c r="H277" s="21"/>
      <c r="I277" s="21"/>
      <c r="J277" s="3" t="s">
        <v>35</v>
      </c>
      <c r="K277" s="4" t="s">
        <v>61</v>
      </c>
      <c r="L277" s="4" t="s">
        <v>37</v>
      </c>
      <c r="N277" s="21" t="s">
        <v>755</v>
      </c>
      <c r="O277" s="21"/>
      <c r="P277" s="21" t="s">
        <v>756</v>
      </c>
      <c r="Q277" s="21"/>
      <c r="R277" s="21"/>
      <c r="S277" s="3" t="s">
        <v>40</v>
      </c>
      <c r="T277" s="21" t="s">
        <v>41</v>
      </c>
      <c r="U277" s="21"/>
      <c r="V277" s="4" t="s">
        <v>59</v>
      </c>
      <c r="W277" s="4" t="s">
        <v>209</v>
      </c>
      <c r="X277" s="4" t="s">
        <v>273</v>
      </c>
      <c r="Y277" s="21" t="s">
        <v>65</v>
      </c>
      <c r="Z277" s="21"/>
      <c r="AA277" s="4" t="s">
        <v>46</v>
      </c>
      <c r="AB277" s="4" t="s">
        <v>47</v>
      </c>
      <c r="AC277" s="4" t="s">
        <v>57</v>
      </c>
      <c r="AD277" s="4" t="s">
        <v>58</v>
      </c>
      <c r="AE277" s="4" t="s">
        <v>48</v>
      </c>
      <c r="AF277" s="4" t="s">
        <v>41</v>
      </c>
      <c r="AG277" s="4" t="s">
        <v>670</v>
      </c>
    </row>
    <row r="278" spans="1:33" ht="16.5" customHeight="1" x14ac:dyDescent="0.2">
      <c r="A278" s="2" t="s">
        <v>31</v>
      </c>
      <c r="B278" s="19" t="s">
        <v>50</v>
      </c>
      <c r="C278" s="19"/>
      <c r="D278" s="19"/>
      <c r="E278" s="20" t="s">
        <v>33</v>
      </c>
      <c r="F278" s="20"/>
      <c r="G278" s="21" t="s">
        <v>664</v>
      </c>
      <c r="H278" s="21"/>
      <c r="I278" s="21"/>
      <c r="J278" s="3" t="s">
        <v>35</v>
      </c>
      <c r="K278" s="4" t="s">
        <v>61</v>
      </c>
      <c r="L278" s="4" t="s">
        <v>37</v>
      </c>
      <c r="N278" s="21" t="s">
        <v>755</v>
      </c>
      <c r="O278" s="21"/>
      <c r="P278" s="21" t="s">
        <v>756</v>
      </c>
      <c r="Q278" s="21"/>
      <c r="R278" s="21"/>
      <c r="S278" s="3" t="s">
        <v>40</v>
      </c>
      <c r="T278" s="21" t="s">
        <v>41</v>
      </c>
      <c r="U278" s="21"/>
      <c r="V278" s="4" t="s">
        <v>130</v>
      </c>
      <c r="W278" s="4" t="s">
        <v>209</v>
      </c>
      <c r="X278" s="4" t="s">
        <v>277</v>
      </c>
      <c r="Y278" s="21" t="s">
        <v>65</v>
      </c>
      <c r="Z278" s="21"/>
      <c r="AA278" s="4" t="s">
        <v>46</v>
      </c>
      <c r="AB278" s="4" t="s">
        <v>47</v>
      </c>
      <c r="AC278" s="4" t="s">
        <v>57</v>
      </c>
      <c r="AD278" s="4" t="s">
        <v>58</v>
      </c>
      <c r="AE278" s="4" t="s">
        <v>48</v>
      </c>
      <c r="AF278" s="4" t="s">
        <v>41</v>
      </c>
      <c r="AG278" s="4" t="s">
        <v>670</v>
      </c>
    </row>
    <row r="279" spans="1:33" ht="16.5" customHeight="1" x14ac:dyDescent="0.2">
      <c r="A279" s="2" t="s">
        <v>31</v>
      </c>
      <c r="B279" s="19" t="s">
        <v>110</v>
      </c>
      <c r="C279" s="19"/>
      <c r="D279" s="19"/>
      <c r="E279" s="20" t="s">
        <v>33</v>
      </c>
      <c r="F279" s="20"/>
      <c r="G279" s="21" t="s">
        <v>664</v>
      </c>
      <c r="H279" s="21"/>
      <c r="I279" s="21"/>
      <c r="J279" s="3" t="s">
        <v>111</v>
      </c>
      <c r="K279" s="4" t="s">
        <v>561</v>
      </c>
      <c r="N279" s="21" t="s">
        <v>755</v>
      </c>
      <c r="O279" s="21"/>
      <c r="P279" s="21" t="s">
        <v>756</v>
      </c>
      <c r="Q279" s="21"/>
      <c r="R279" s="21"/>
      <c r="S279" s="3" t="s">
        <v>40</v>
      </c>
      <c r="T279" s="21" t="s">
        <v>757</v>
      </c>
      <c r="U279" s="21"/>
      <c r="V279" s="4" t="s">
        <v>42</v>
      </c>
      <c r="W279" s="4" t="s">
        <v>54</v>
      </c>
      <c r="X279" s="4" t="s">
        <v>210</v>
      </c>
      <c r="Y279" s="21" t="s">
        <v>116</v>
      </c>
      <c r="Z279" s="21"/>
      <c r="AA279" s="4" t="s">
        <v>46</v>
      </c>
      <c r="AB279" s="4" t="s">
        <v>117</v>
      </c>
      <c r="AC279" s="4" t="s">
        <v>243</v>
      </c>
      <c r="AD279" s="4" t="s">
        <v>758</v>
      </c>
      <c r="AE279" s="4" t="s">
        <v>48</v>
      </c>
      <c r="AF279" s="4" t="s">
        <v>41</v>
      </c>
      <c r="AG279" s="4" t="s">
        <v>670</v>
      </c>
    </row>
    <row r="280" spans="1:33" ht="16.5" customHeight="1" x14ac:dyDescent="0.2">
      <c r="A280" s="2" t="s">
        <v>31</v>
      </c>
      <c r="B280" s="19" t="s">
        <v>50</v>
      </c>
      <c r="C280" s="19"/>
      <c r="D280" s="19"/>
      <c r="E280" s="20" t="s">
        <v>33</v>
      </c>
      <c r="F280" s="20"/>
      <c r="G280" s="21" t="s">
        <v>664</v>
      </c>
      <c r="H280" s="21"/>
      <c r="I280" s="21"/>
      <c r="J280" s="3" t="s">
        <v>35</v>
      </c>
      <c r="K280" s="4" t="s">
        <v>51</v>
      </c>
      <c r="L280" s="4" t="s">
        <v>68</v>
      </c>
      <c r="N280" s="21" t="s">
        <v>759</v>
      </c>
      <c r="O280" s="21"/>
      <c r="P280" s="21" t="s">
        <v>760</v>
      </c>
      <c r="Q280" s="21"/>
      <c r="R280" s="21"/>
      <c r="S280" s="3" t="s">
        <v>40</v>
      </c>
      <c r="T280" s="21" t="s">
        <v>41</v>
      </c>
      <c r="U280" s="21"/>
      <c r="V280" s="4" t="s">
        <v>42</v>
      </c>
      <c r="W280" s="4" t="s">
        <v>213</v>
      </c>
      <c r="X280" s="4" t="s">
        <v>531</v>
      </c>
      <c r="Y280" s="21" t="s">
        <v>56</v>
      </c>
      <c r="Z280" s="21"/>
      <c r="AA280" s="4" t="s">
        <v>46</v>
      </c>
      <c r="AB280" s="4" t="s">
        <v>47</v>
      </c>
      <c r="AC280" s="4" t="s">
        <v>81</v>
      </c>
      <c r="AD280" s="4" t="s">
        <v>41</v>
      </c>
      <c r="AE280" s="4" t="s">
        <v>48</v>
      </c>
      <c r="AF280" s="4" t="s">
        <v>41</v>
      </c>
      <c r="AG280" s="4" t="s">
        <v>670</v>
      </c>
    </row>
    <row r="281" spans="1:33" ht="16.5" customHeight="1" x14ac:dyDescent="0.2">
      <c r="A281" s="2" t="s">
        <v>31</v>
      </c>
      <c r="B281" s="19" t="s">
        <v>50</v>
      </c>
      <c r="C281" s="19"/>
      <c r="D281" s="19"/>
      <c r="E281" s="20" t="s">
        <v>33</v>
      </c>
      <c r="F281" s="20"/>
      <c r="G281" s="21" t="s">
        <v>664</v>
      </c>
      <c r="H281" s="21"/>
      <c r="I281" s="21"/>
      <c r="J281" s="3" t="s">
        <v>35</v>
      </c>
      <c r="K281" s="4" t="s">
        <v>51</v>
      </c>
      <c r="L281" s="4" t="s">
        <v>68</v>
      </c>
      <c r="N281" s="21" t="s">
        <v>759</v>
      </c>
      <c r="O281" s="21"/>
      <c r="P281" s="21" t="s">
        <v>760</v>
      </c>
      <c r="Q281" s="21"/>
      <c r="R281" s="21"/>
      <c r="S281" s="3" t="s">
        <v>40</v>
      </c>
      <c r="T281" s="21" t="s">
        <v>41</v>
      </c>
      <c r="U281" s="21"/>
      <c r="V281" s="4" t="s">
        <v>59</v>
      </c>
      <c r="W281" s="4" t="s">
        <v>213</v>
      </c>
      <c r="X281" s="4" t="s">
        <v>214</v>
      </c>
      <c r="Y281" s="21" t="s">
        <v>56</v>
      </c>
      <c r="Z281" s="21"/>
      <c r="AA281" s="4" t="s">
        <v>46</v>
      </c>
      <c r="AB281" s="4" t="s">
        <v>47</v>
      </c>
      <c r="AC281" s="4" t="s">
        <v>81</v>
      </c>
      <c r="AD281" s="4" t="s">
        <v>41</v>
      </c>
      <c r="AE281" s="4" t="s">
        <v>48</v>
      </c>
      <c r="AF281" s="4" t="s">
        <v>41</v>
      </c>
      <c r="AG281" s="4" t="s">
        <v>670</v>
      </c>
    </row>
    <row r="282" spans="1:33" ht="16.5" customHeight="1" x14ac:dyDescent="0.2">
      <c r="A282" s="2" t="s">
        <v>31</v>
      </c>
      <c r="B282" s="19" t="s">
        <v>50</v>
      </c>
      <c r="C282" s="19"/>
      <c r="D282" s="19"/>
      <c r="E282" s="20" t="s">
        <v>33</v>
      </c>
      <c r="F282" s="20"/>
      <c r="G282" s="21" t="s">
        <v>664</v>
      </c>
      <c r="H282" s="21"/>
      <c r="I282" s="21"/>
      <c r="J282" s="3" t="s">
        <v>35</v>
      </c>
      <c r="K282" s="4" t="s">
        <v>99</v>
      </c>
      <c r="L282" s="4" t="s">
        <v>37</v>
      </c>
      <c r="N282" s="21" t="s">
        <v>761</v>
      </c>
      <c r="O282" s="21"/>
      <c r="P282" s="21" t="s">
        <v>762</v>
      </c>
      <c r="Q282" s="21"/>
      <c r="R282" s="21"/>
      <c r="S282" s="3" t="s">
        <v>40</v>
      </c>
      <c r="T282" s="21" t="s">
        <v>41</v>
      </c>
      <c r="U282" s="21"/>
      <c r="V282" s="4" t="s">
        <v>42</v>
      </c>
      <c r="W282" s="4" t="s">
        <v>325</v>
      </c>
      <c r="X282" s="4" t="s">
        <v>319</v>
      </c>
      <c r="Y282" s="21" t="s">
        <v>56</v>
      </c>
      <c r="Z282" s="21"/>
      <c r="AA282" s="4" t="s">
        <v>46</v>
      </c>
      <c r="AB282" s="4" t="s">
        <v>47</v>
      </c>
      <c r="AC282" s="4" t="s">
        <v>139</v>
      </c>
      <c r="AD282" s="4" t="s">
        <v>140</v>
      </c>
      <c r="AE282" s="4" t="s">
        <v>48</v>
      </c>
      <c r="AF282" s="4" t="s">
        <v>41</v>
      </c>
      <c r="AG282" s="4" t="s">
        <v>670</v>
      </c>
    </row>
    <row r="283" spans="1:33" ht="16.5" customHeight="1" x14ac:dyDescent="0.2">
      <c r="A283" s="2" t="s">
        <v>31</v>
      </c>
      <c r="B283" s="19" t="s">
        <v>50</v>
      </c>
      <c r="C283" s="19"/>
      <c r="D283" s="19"/>
      <c r="E283" s="20" t="s">
        <v>33</v>
      </c>
      <c r="F283" s="20"/>
      <c r="G283" s="21" t="s">
        <v>664</v>
      </c>
      <c r="H283" s="21"/>
      <c r="I283" s="21"/>
      <c r="J283" s="3" t="s">
        <v>35</v>
      </c>
      <c r="K283" s="4" t="s">
        <v>74</v>
      </c>
      <c r="L283" s="4" t="s">
        <v>37</v>
      </c>
      <c r="N283" s="21" t="s">
        <v>763</v>
      </c>
      <c r="O283" s="21"/>
      <c r="P283" s="21" t="s">
        <v>764</v>
      </c>
      <c r="Q283" s="21"/>
      <c r="R283" s="21"/>
      <c r="S283" s="3" t="s">
        <v>40</v>
      </c>
      <c r="T283" s="21" t="s">
        <v>41</v>
      </c>
      <c r="U283" s="21"/>
      <c r="V283" s="4" t="s">
        <v>42</v>
      </c>
      <c r="W283" s="4" t="s">
        <v>765</v>
      </c>
      <c r="X283" s="4" t="s">
        <v>766</v>
      </c>
      <c r="Y283" s="21" t="s">
        <v>65</v>
      </c>
      <c r="Z283" s="21"/>
      <c r="AA283" s="4" t="s">
        <v>46</v>
      </c>
      <c r="AB283" s="4" t="s">
        <v>47</v>
      </c>
      <c r="AC283" s="4" t="s">
        <v>57</v>
      </c>
      <c r="AD283" s="4" t="s">
        <v>58</v>
      </c>
      <c r="AE283" s="4" t="s">
        <v>48</v>
      </c>
      <c r="AF283" s="4" t="s">
        <v>41</v>
      </c>
      <c r="AG283" s="4" t="s">
        <v>670</v>
      </c>
    </row>
    <row r="284" spans="1:33" ht="16.5" customHeight="1" x14ac:dyDescent="0.2">
      <c r="A284" s="2" t="s">
        <v>31</v>
      </c>
      <c r="B284" s="19" t="s">
        <v>50</v>
      </c>
      <c r="C284" s="19"/>
      <c r="D284" s="19"/>
      <c r="E284" s="20" t="s">
        <v>33</v>
      </c>
      <c r="F284" s="20"/>
      <c r="G284" s="21" t="s">
        <v>664</v>
      </c>
      <c r="H284" s="21"/>
      <c r="I284" s="21"/>
      <c r="J284" s="3" t="s">
        <v>35</v>
      </c>
      <c r="K284" s="4" t="s">
        <v>265</v>
      </c>
      <c r="L284" s="4" t="s">
        <v>37</v>
      </c>
      <c r="N284" s="21" t="s">
        <v>767</v>
      </c>
      <c r="O284" s="21"/>
      <c r="P284" s="21" t="s">
        <v>768</v>
      </c>
      <c r="Q284" s="21"/>
      <c r="R284" s="21"/>
      <c r="S284" s="3" t="s">
        <v>40</v>
      </c>
      <c r="T284" s="21" t="s">
        <v>41</v>
      </c>
      <c r="U284" s="21"/>
      <c r="V284" s="4" t="s">
        <v>42</v>
      </c>
      <c r="W284" s="4" t="s">
        <v>85</v>
      </c>
      <c r="X284" s="4" t="s">
        <v>86</v>
      </c>
      <c r="Y284" s="21" t="s">
        <v>56</v>
      </c>
      <c r="Z284" s="21"/>
      <c r="AA284" s="4" t="s">
        <v>46</v>
      </c>
      <c r="AB284" s="4" t="s">
        <v>47</v>
      </c>
      <c r="AC284" s="4" t="s">
        <v>57</v>
      </c>
      <c r="AD284" s="4" t="s">
        <v>58</v>
      </c>
      <c r="AE284" s="4" t="s">
        <v>48</v>
      </c>
      <c r="AF284" s="4" t="s">
        <v>41</v>
      </c>
      <c r="AG284" s="4" t="s">
        <v>670</v>
      </c>
    </row>
    <row r="285" spans="1:33" ht="16.5" customHeight="1" x14ac:dyDescent="0.2">
      <c r="A285" s="2" t="s">
        <v>31</v>
      </c>
      <c r="B285" s="19" t="s">
        <v>50</v>
      </c>
      <c r="C285" s="19"/>
      <c r="D285" s="19"/>
      <c r="E285" s="20" t="s">
        <v>33</v>
      </c>
      <c r="F285" s="20"/>
      <c r="G285" s="21" t="s">
        <v>664</v>
      </c>
      <c r="H285" s="21"/>
      <c r="I285" s="21"/>
      <c r="J285" s="3" t="s">
        <v>35</v>
      </c>
      <c r="K285" s="4" t="s">
        <v>61</v>
      </c>
      <c r="L285" s="4" t="s">
        <v>37</v>
      </c>
      <c r="N285" s="21" t="s">
        <v>769</v>
      </c>
      <c r="O285" s="21"/>
      <c r="P285" s="21" t="s">
        <v>770</v>
      </c>
      <c r="Q285" s="21"/>
      <c r="R285" s="21"/>
      <c r="S285" s="3" t="s">
        <v>40</v>
      </c>
      <c r="T285" s="21" t="s">
        <v>41</v>
      </c>
      <c r="U285" s="21"/>
      <c r="V285" s="4" t="s">
        <v>42</v>
      </c>
      <c r="W285" s="4" t="s">
        <v>654</v>
      </c>
      <c r="X285" s="4" t="s">
        <v>655</v>
      </c>
      <c r="Y285" s="21" t="s">
        <v>65</v>
      </c>
      <c r="Z285" s="21"/>
      <c r="AA285" s="4" t="s">
        <v>46</v>
      </c>
      <c r="AB285" s="4" t="s">
        <v>47</v>
      </c>
      <c r="AC285" s="4" t="s">
        <v>57</v>
      </c>
      <c r="AD285" s="4" t="s">
        <v>58</v>
      </c>
      <c r="AE285" s="4" t="s">
        <v>48</v>
      </c>
      <c r="AF285" s="4" t="s">
        <v>41</v>
      </c>
      <c r="AG285" s="4" t="s">
        <v>670</v>
      </c>
    </row>
    <row r="286" spans="1:33" ht="16.5" customHeight="1" x14ac:dyDescent="0.2">
      <c r="A286" s="2" t="s">
        <v>31</v>
      </c>
      <c r="B286" s="19" t="s">
        <v>50</v>
      </c>
      <c r="C286" s="19"/>
      <c r="D286" s="19"/>
      <c r="E286" s="20" t="s">
        <v>33</v>
      </c>
      <c r="F286" s="20"/>
      <c r="G286" s="21" t="s">
        <v>664</v>
      </c>
      <c r="H286" s="21"/>
      <c r="I286" s="21"/>
      <c r="J286" s="3" t="s">
        <v>35</v>
      </c>
      <c r="K286" s="4" t="s">
        <v>61</v>
      </c>
      <c r="L286" s="4" t="s">
        <v>37</v>
      </c>
      <c r="N286" s="21" t="s">
        <v>771</v>
      </c>
      <c r="O286" s="21"/>
      <c r="P286" s="21" t="s">
        <v>772</v>
      </c>
      <c r="Q286" s="21"/>
      <c r="R286" s="21"/>
      <c r="S286" s="3" t="s">
        <v>40</v>
      </c>
      <c r="T286" s="21" t="s">
        <v>41</v>
      </c>
      <c r="U286" s="21"/>
      <c r="V286" s="4" t="s">
        <v>42</v>
      </c>
      <c r="W286" s="4" t="s">
        <v>773</v>
      </c>
      <c r="X286" s="4" t="s">
        <v>656</v>
      </c>
      <c r="Y286" s="21" t="s">
        <v>65</v>
      </c>
      <c r="Z286" s="21"/>
      <c r="AA286" s="4" t="s">
        <v>46</v>
      </c>
      <c r="AB286" s="4" t="s">
        <v>47</v>
      </c>
      <c r="AC286" s="4" t="s">
        <v>57</v>
      </c>
      <c r="AD286" s="4" t="s">
        <v>58</v>
      </c>
      <c r="AE286" s="4" t="s">
        <v>48</v>
      </c>
      <c r="AF286" s="4" t="s">
        <v>41</v>
      </c>
      <c r="AG286" s="4" t="s">
        <v>670</v>
      </c>
    </row>
    <row r="287" spans="1:33" ht="16.5" customHeight="1" x14ac:dyDescent="0.2">
      <c r="A287" s="2" t="s">
        <v>31</v>
      </c>
      <c r="B287" s="19" t="s">
        <v>50</v>
      </c>
      <c r="C287" s="19"/>
      <c r="D287" s="19"/>
      <c r="E287" s="20" t="s">
        <v>33</v>
      </c>
      <c r="F287" s="20"/>
      <c r="G287" s="21" t="s">
        <v>664</v>
      </c>
      <c r="H287" s="21"/>
      <c r="I287" s="21"/>
      <c r="J287" s="3" t="s">
        <v>35</v>
      </c>
      <c r="K287" s="4" t="s">
        <v>61</v>
      </c>
      <c r="L287" s="4" t="s">
        <v>37</v>
      </c>
      <c r="N287" s="21" t="s">
        <v>774</v>
      </c>
      <c r="O287" s="21"/>
      <c r="P287" s="21" t="s">
        <v>775</v>
      </c>
      <c r="Q287" s="21"/>
      <c r="R287" s="21"/>
      <c r="S287" s="3" t="s">
        <v>40</v>
      </c>
      <c r="T287" s="21" t="s">
        <v>41</v>
      </c>
      <c r="U287" s="21"/>
      <c r="V287" s="4" t="s">
        <v>42</v>
      </c>
      <c r="W287" s="4" t="s">
        <v>776</v>
      </c>
      <c r="X287" s="4" t="s">
        <v>230</v>
      </c>
      <c r="Y287" s="21" t="s">
        <v>65</v>
      </c>
      <c r="Z287" s="21"/>
      <c r="AA287" s="4" t="s">
        <v>46</v>
      </c>
      <c r="AB287" s="4" t="s">
        <v>47</v>
      </c>
      <c r="AC287" s="4" t="s">
        <v>57</v>
      </c>
      <c r="AD287" s="4" t="s">
        <v>58</v>
      </c>
      <c r="AE287" s="4" t="s">
        <v>48</v>
      </c>
      <c r="AF287" s="4" t="s">
        <v>41</v>
      </c>
      <c r="AG287" s="4" t="s">
        <v>670</v>
      </c>
    </row>
    <row r="288" spans="1:33" ht="16.5" customHeight="1" x14ac:dyDescent="0.2">
      <c r="A288" s="2" t="s">
        <v>31</v>
      </c>
      <c r="B288" s="19" t="s">
        <v>50</v>
      </c>
      <c r="C288" s="19"/>
      <c r="D288" s="19"/>
      <c r="E288" s="20" t="s">
        <v>33</v>
      </c>
      <c r="F288" s="20"/>
      <c r="G288" s="21" t="s">
        <v>664</v>
      </c>
      <c r="H288" s="21"/>
      <c r="I288" s="21"/>
      <c r="J288" s="3" t="s">
        <v>35</v>
      </c>
      <c r="K288" s="4" t="s">
        <v>74</v>
      </c>
      <c r="L288" s="4" t="s">
        <v>68</v>
      </c>
      <c r="N288" s="21" t="s">
        <v>777</v>
      </c>
      <c r="O288" s="21"/>
      <c r="P288" s="21" t="s">
        <v>778</v>
      </c>
      <c r="Q288" s="21"/>
      <c r="R288" s="21"/>
      <c r="S288" s="3" t="s">
        <v>40</v>
      </c>
      <c r="T288" s="21" t="s">
        <v>41</v>
      </c>
      <c r="U288" s="21"/>
      <c r="V288" s="4" t="s">
        <v>42</v>
      </c>
      <c r="W288" s="4" t="s">
        <v>229</v>
      </c>
      <c r="X288" s="4" t="s">
        <v>448</v>
      </c>
      <c r="Y288" s="21" t="s">
        <v>65</v>
      </c>
      <c r="Z288" s="21"/>
      <c r="AA288" s="4" t="s">
        <v>46</v>
      </c>
      <c r="AB288" s="4" t="s">
        <v>47</v>
      </c>
      <c r="AC288" s="4" t="s">
        <v>57</v>
      </c>
      <c r="AD288" s="4" t="s">
        <v>98</v>
      </c>
      <c r="AE288" s="4" t="s">
        <v>48</v>
      </c>
      <c r="AF288" s="4" t="s">
        <v>41</v>
      </c>
      <c r="AG288" s="4" t="s">
        <v>670</v>
      </c>
    </row>
    <row r="289" spans="1:33" ht="16.5" customHeight="1" x14ac:dyDescent="0.2">
      <c r="A289" s="2" t="s">
        <v>31</v>
      </c>
      <c r="B289" s="19" t="s">
        <v>50</v>
      </c>
      <c r="C289" s="19"/>
      <c r="D289" s="19"/>
      <c r="E289" s="20" t="s">
        <v>33</v>
      </c>
      <c r="F289" s="20"/>
      <c r="G289" s="21" t="s">
        <v>664</v>
      </c>
      <c r="H289" s="21"/>
      <c r="I289" s="21"/>
      <c r="J289" s="3" t="s">
        <v>35</v>
      </c>
      <c r="K289" s="4" t="s">
        <v>82</v>
      </c>
      <c r="L289" s="4" t="s">
        <v>278</v>
      </c>
      <c r="N289" s="21" t="s">
        <v>779</v>
      </c>
      <c r="O289" s="21"/>
      <c r="P289" s="21" t="s">
        <v>780</v>
      </c>
      <c r="Q289" s="21"/>
      <c r="R289" s="21"/>
      <c r="S289" s="3" t="s">
        <v>40</v>
      </c>
      <c r="T289" s="21" t="s">
        <v>41</v>
      </c>
      <c r="U289" s="21"/>
      <c r="V289" s="4" t="s">
        <v>42</v>
      </c>
      <c r="W289" s="4" t="s">
        <v>229</v>
      </c>
      <c r="X289" s="4" t="s">
        <v>448</v>
      </c>
      <c r="Y289" s="21" t="s">
        <v>56</v>
      </c>
      <c r="Z289" s="21"/>
      <c r="AA289" s="4" t="s">
        <v>46</v>
      </c>
      <c r="AB289" s="4" t="s">
        <v>47</v>
      </c>
      <c r="AC289" s="4" t="s">
        <v>139</v>
      </c>
      <c r="AD289" s="4" t="s">
        <v>69</v>
      </c>
      <c r="AE289" s="4" t="s">
        <v>48</v>
      </c>
      <c r="AF289" s="4" t="s">
        <v>41</v>
      </c>
      <c r="AG289" s="4" t="s">
        <v>670</v>
      </c>
    </row>
    <row r="290" spans="1:33" ht="16.5" customHeight="1" x14ac:dyDescent="0.2">
      <c r="A290" s="2" t="s">
        <v>31</v>
      </c>
      <c r="B290" s="19" t="s">
        <v>50</v>
      </c>
      <c r="C290" s="19"/>
      <c r="D290" s="19"/>
      <c r="E290" s="20" t="s">
        <v>33</v>
      </c>
      <c r="F290" s="20"/>
      <c r="G290" s="21" t="s">
        <v>664</v>
      </c>
      <c r="H290" s="21"/>
      <c r="I290" s="21"/>
      <c r="J290" s="3" t="s">
        <v>35</v>
      </c>
      <c r="K290" s="4" t="s">
        <v>152</v>
      </c>
      <c r="L290" s="4" t="s">
        <v>37</v>
      </c>
      <c r="N290" s="21" t="s">
        <v>781</v>
      </c>
      <c r="O290" s="21"/>
      <c r="P290" s="21" t="s">
        <v>782</v>
      </c>
      <c r="Q290" s="21"/>
      <c r="R290" s="21"/>
      <c r="S290" s="3" t="s">
        <v>40</v>
      </c>
      <c r="T290" s="21" t="s">
        <v>41</v>
      </c>
      <c r="U290" s="21"/>
      <c r="V290" s="4" t="s">
        <v>42</v>
      </c>
      <c r="W290" s="4" t="s">
        <v>43</v>
      </c>
      <c r="X290" s="4" t="s">
        <v>44</v>
      </c>
      <c r="Y290" s="21" t="s">
        <v>56</v>
      </c>
      <c r="Z290" s="21"/>
      <c r="AA290" s="4" t="s">
        <v>46</v>
      </c>
      <c r="AB290" s="4" t="s">
        <v>47</v>
      </c>
      <c r="AC290" s="4" t="s">
        <v>139</v>
      </c>
      <c r="AD290" s="4" t="s">
        <v>140</v>
      </c>
      <c r="AE290" s="4" t="s">
        <v>48</v>
      </c>
      <c r="AF290" s="4" t="s">
        <v>41</v>
      </c>
      <c r="AG290" s="4" t="s">
        <v>670</v>
      </c>
    </row>
    <row r="291" spans="1:33" ht="16.5" customHeight="1" x14ac:dyDescent="0.2">
      <c r="A291" s="2" t="s">
        <v>31</v>
      </c>
      <c r="B291" s="19" t="s">
        <v>50</v>
      </c>
      <c r="C291" s="19"/>
      <c r="D291" s="19"/>
      <c r="E291" s="20" t="s">
        <v>33</v>
      </c>
      <c r="F291" s="20"/>
      <c r="G291" s="21" t="s">
        <v>664</v>
      </c>
      <c r="H291" s="21"/>
      <c r="I291" s="21"/>
      <c r="J291" s="3" t="s">
        <v>35</v>
      </c>
      <c r="K291" s="4" t="s">
        <v>152</v>
      </c>
      <c r="L291" s="4" t="s">
        <v>37</v>
      </c>
      <c r="N291" s="21" t="s">
        <v>783</v>
      </c>
      <c r="O291" s="21"/>
      <c r="P291" s="21" t="s">
        <v>784</v>
      </c>
      <c r="Q291" s="21"/>
      <c r="R291" s="21"/>
      <c r="S291" s="3" t="s">
        <v>40</v>
      </c>
      <c r="T291" s="21" t="s">
        <v>41</v>
      </c>
      <c r="U291" s="21"/>
      <c r="V291" s="4" t="s">
        <v>42</v>
      </c>
      <c r="W291" s="4" t="s">
        <v>229</v>
      </c>
      <c r="X291" s="4" t="s">
        <v>448</v>
      </c>
      <c r="Y291" s="21" t="s">
        <v>56</v>
      </c>
      <c r="Z291" s="21"/>
      <c r="AA291" s="4" t="s">
        <v>46</v>
      </c>
      <c r="AB291" s="4" t="s">
        <v>47</v>
      </c>
      <c r="AC291" s="4" t="s">
        <v>139</v>
      </c>
      <c r="AD291" s="4" t="s">
        <v>140</v>
      </c>
      <c r="AE291" s="4" t="s">
        <v>48</v>
      </c>
      <c r="AF291" s="4" t="s">
        <v>41</v>
      </c>
      <c r="AG291" s="4" t="s">
        <v>670</v>
      </c>
    </row>
    <row r="292" spans="1:33" ht="16.5" customHeight="1" x14ac:dyDescent="0.2">
      <c r="A292" s="2" t="s">
        <v>31</v>
      </c>
      <c r="B292" s="19" t="s">
        <v>50</v>
      </c>
      <c r="C292" s="19"/>
      <c r="D292" s="19"/>
      <c r="E292" s="20" t="s">
        <v>33</v>
      </c>
      <c r="F292" s="20"/>
      <c r="G292" s="21" t="s">
        <v>664</v>
      </c>
      <c r="H292" s="21"/>
      <c r="I292" s="21"/>
      <c r="J292" s="3" t="s">
        <v>35</v>
      </c>
      <c r="K292" s="4" t="s">
        <v>51</v>
      </c>
      <c r="L292" s="4" t="s">
        <v>68</v>
      </c>
      <c r="N292" s="21" t="s">
        <v>785</v>
      </c>
      <c r="O292" s="21"/>
      <c r="P292" s="21" t="s">
        <v>786</v>
      </c>
      <c r="Q292" s="21"/>
      <c r="R292" s="21"/>
      <c r="S292" s="3" t="s">
        <v>40</v>
      </c>
      <c r="T292" s="21" t="s">
        <v>41</v>
      </c>
      <c r="U292" s="21"/>
      <c r="V292" s="4" t="s">
        <v>42</v>
      </c>
      <c r="W292" s="4" t="s">
        <v>54</v>
      </c>
      <c r="X292" s="4" t="s">
        <v>55</v>
      </c>
      <c r="Y292" s="21" t="s">
        <v>56</v>
      </c>
      <c r="Z292" s="21"/>
      <c r="AA292" s="4" t="s">
        <v>46</v>
      </c>
      <c r="AB292" s="4" t="s">
        <v>47</v>
      </c>
      <c r="AC292" s="4" t="s">
        <v>57</v>
      </c>
      <c r="AD292" s="4" t="s">
        <v>98</v>
      </c>
      <c r="AE292" s="4" t="s">
        <v>48</v>
      </c>
      <c r="AF292" s="4" t="s">
        <v>41</v>
      </c>
      <c r="AG292" s="4" t="s">
        <v>670</v>
      </c>
    </row>
    <row r="293" spans="1:33" ht="16.5" customHeight="1" x14ac:dyDescent="0.2">
      <c r="A293" s="2" t="s">
        <v>31</v>
      </c>
      <c r="B293" s="19" t="s">
        <v>50</v>
      </c>
      <c r="C293" s="19"/>
      <c r="D293" s="19"/>
      <c r="E293" s="20" t="s">
        <v>33</v>
      </c>
      <c r="F293" s="20"/>
      <c r="G293" s="21" t="s">
        <v>664</v>
      </c>
      <c r="H293" s="21"/>
      <c r="I293" s="21"/>
      <c r="J293" s="3" t="s">
        <v>35</v>
      </c>
      <c r="K293" s="4" t="s">
        <v>146</v>
      </c>
      <c r="L293" s="4" t="s">
        <v>37</v>
      </c>
      <c r="N293" s="21" t="s">
        <v>787</v>
      </c>
      <c r="O293" s="21"/>
      <c r="P293" s="21" t="s">
        <v>788</v>
      </c>
      <c r="Q293" s="21"/>
      <c r="R293" s="21"/>
      <c r="S293" s="3" t="s">
        <v>40</v>
      </c>
      <c r="T293" s="21" t="s">
        <v>41</v>
      </c>
      <c r="U293" s="21"/>
      <c r="V293" s="4" t="s">
        <v>42</v>
      </c>
      <c r="W293" s="4" t="s">
        <v>157</v>
      </c>
      <c r="X293" s="4" t="s">
        <v>158</v>
      </c>
      <c r="Y293" s="21" t="s">
        <v>138</v>
      </c>
      <c r="Z293" s="21"/>
      <c r="AA293" s="4" t="s">
        <v>46</v>
      </c>
      <c r="AB293" s="4" t="s">
        <v>47</v>
      </c>
      <c r="AC293" s="4" t="s">
        <v>139</v>
      </c>
      <c r="AD293" s="4" t="s">
        <v>140</v>
      </c>
      <c r="AE293" s="4" t="s">
        <v>48</v>
      </c>
      <c r="AF293" s="4" t="s">
        <v>41</v>
      </c>
      <c r="AG293" s="4" t="s">
        <v>670</v>
      </c>
    </row>
    <row r="294" spans="1:33" ht="16.5" customHeight="1" x14ac:dyDescent="0.2">
      <c r="A294" s="2" t="s">
        <v>31</v>
      </c>
      <c r="B294" s="19" t="s">
        <v>50</v>
      </c>
      <c r="C294" s="19"/>
      <c r="D294" s="19"/>
      <c r="E294" s="20" t="s">
        <v>33</v>
      </c>
      <c r="F294" s="20"/>
      <c r="G294" s="21" t="s">
        <v>664</v>
      </c>
      <c r="H294" s="21"/>
      <c r="I294" s="21"/>
      <c r="J294" s="3" t="s">
        <v>35</v>
      </c>
      <c r="K294" s="4" t="s">
        <v>82</v>
      </c>
      <c r="L294" s="4" t="s">
        <v>37</v>
      </c>
      <c r="N294" s="21" t="s">
        <v>789</v>
      </c>
      <c r="O294" s="21"/>
      <c r="P294" s="21" t="s">
        <v>790</v>
      </c>
      <c r="Q294" s="21"/>
      <c r="R294" s="21"/>
      <c r="S294" s="3" t="s">
        <v>40</v>
      </c>
      <c r="T294" s="21" t="s">
        <v>41</v>
      </c>
      <c r="U294" s="21"/>
      <c r="V294" s="4" t="s">
        <v>59</v>
      </c>
      <c r="W294" s="4" t="s">
        <v>202</v>
      </c>
      <c r="X294" s="4" t="s">
        <v>791</v>
      </c>
      <c r="Y294" s="21" t="s">
        <v>56</v>
      </c>
      <c r="Z294" s="21"/>
      <c r="AA294" s="4" t="s">
        <v>46</v>
      </c>
      <c r="AB294" s="4" t="s">
        <v>47</v>
      </c>
      <c r="AC294" s="4" t="s">
        <v>81</v>
      </c>
      <c r="AD294" s="4" t="s">
        <v>41</v>
      </c>
      <c r="AE294" s="4" t="s">
        <v>48</v>
      </c>
      <c r="AF294" s="4" t="s">
        <v>41</v>
      </c>
      <c r="AG294" s="4" t="s">
        <v>670</v>
      </c>
    </row>
    <row r="295" spans="1:33" ht="16.5" customHeight="1" x14ac:dyDescent="0.2">
      <c r="A295" s="2" t="s">
        <v>31</v>
      </c>
      <c r="B295" s="19" t="s">
        <v>110</v>
      </c>
      <c r="C295" s="19"/>
      <c r="D295" s="19"/>
      <c r="E295" s="20" t="s">
        <v>33</v>
      </c>
      <c r="F295" s="20"/>
      <c r="G295" s="21" t="s">
        <v>664</v>
      </c>
      <c r="H295" s="21"/>
      <c r="I295" s="21"/>
      <c r="J295" s="3" t="s">
        <v>111</v>
      </c>
      <c r="K295" s="4" t="s">
        <v>561</v>
      </c>
      <c r="N295" s="21" t="s">
        <v>792</v>
      </c>
      <c r="O295" s="21"/>
      <c r="P295" s="21" t="s">
        <v>793</v>
      </c>
      <c r="Q295" s="21"/>
      <c r="R295" s="21"/>
      <c r="S295" s="3" t="s">
        <v>40</v>
      </c>
      <c r="T295" s="21" t="s">
        <v>427</v>
      </c>
      <c r="U295" s="21"/>
      <c r="V295" s="4" t="s">
        <v>42</v>
      </c>
      <c r="W295" s="4" t="s">
        <v>54</v>
      </c>
      <c r="X295" s="4" t="s">
        <v>158</v>
      </c>
      <c r="Y295" s="21" t="s">
        <v>116</v>
      </c>
      <c r="Z295" s="21"/>
      <c r="AA295" s="4" t="s">
        <v>46</v>
      </c>
      <c r="AB295" s="4" t="s">
        <v>117</v>
      </c>
      <c r="AC295" s="4" t="s">
        <v>243</v>
      </c>
      <c r="AD295" s="4" t="s">
        <v>428</v>
      </c>
      <c r="AE295" s="4" t="s">
        <v>48</v>
      </c>
      <c r="AF295" s="4" t="s">
        <v>41</v>
      </c>
      <c r="AG295" s="4" t="s">
        <v>670</v>
      </c>
    </row>
    <row r="296" spans="1:33" ht="16.5" customHeight="1" x14ac:dyDescent="0.2">
      <c r="A296" s="2" t="s">
        <v>31</v>
      </c>
      <c r="B296" s="19" t="s">
        <v>50</v>
      </c>
      <c r="C296" s="19"/>
      <c r="D296" s="19"/>
      <c r="E296" s="20" t="s">
        <v>33</v>
      </c>
      <c r="F296" s="20"/>
      <c r="G296" s="21" t="s">
        <v>664</v>
      </c>
      <c r="H296" s="21"/>
      <c r="I296" s="21"/>
      <c r="J296" s="3" t="s">
        <v>35</v>
      </c>
      <c r="K296" s="4" t="s">
        <v>152</v>
      </c>
      <c r="L296" s="4" t="s">
        <v>37</v>
      </c>
      <c r="N296" s="21" t="s">
        <v>794</v>
      </c>
      <c r="O296" s="21"/>
      <c r="P296" s="21" t="s">
        <v>795</v>
      </c>
      <c r="Q296" s="21"/>
      <c r="R296" s="21"/>
      <c r="S296" s="3" t="s">
        <v>40</v>
      </c>
      <c r="T296" s="21" t="s">
        <v>41</v>
      </c>
      <c r="U296" s="21"/>
      <c r="V296" s="4" t="s">
        <v>42</v>
      </c>
      <c r="W296" s="4" t="s">
        <v>272</v>
      </c>
      <c r="X296" s="4" t="s">
        <v>273</v>
      </c>
      <c r="Y296" s="21" t="s">
        <v>56</v>
      </c>
      <c r="Z296" s="21"/>
      <c r="AA296" s="4" t="s">
        <v>46</v>
      </c>
      <c r="AB296" s="4" t="s">
        <v>47</v>
      </c>
      <c r="AC296" s="4" t="s">
        <v>139</v>
      </c>
      <c r="AD296" s="4" t="s">
        <v>140</v>
      </c>
      <c r="AE296" s="4" t="s">
        <v>48</v>
      </c>
      <c r="AF296" s="4" t="s">
        <v>41</v>
      </c>
      <c r="AG296" s="4" t="s">
        <v>670</v>
      </c>
    </row>
    <row r="297" spans="1:33" ht="16.5" customHeight="1" x14ac:dyDescent="0.2">
      <c r="A297" s="2" t="s">
        <v>31</v>
      </c>
      <c r="B297" s="19" t="s">
        <v>50</v>
      </c>
      <c r="C297" s="19"/>
      <c r="D297" s="19"/>
      <c r="E297" s="20" t="s">
        <v>33</v>
      </c>
      <c r="F297" s="20"/>
      <c r="G297" s="21" t="s">
        <v>664</v>
      </c>
      <c r="H297" s="21"/>
      <c r="I297" s="21"/>
      <c r="J297" s="3" t="s">
        <v>35</v>
      </c>
      <c r="K297" s="4" t="s">
        <v>133</v>
      </c>
      <c r="L297" s="4" t="s">
        <v>37</v>
      </c>
      <c r="N297" s="21" t="s">
        <v>796</v>
      </c>
      <c r="O297" s="21"/>
      <c r="P297" s="21" t="s">
        <v>797</v>
      </c>
      <c r="Q297" s="21"/>
      <c r="R297" s="21"/>
      <c r="S297" s="3" t="s">
        <v>40</v>
      </c>
      <c r="T297" s="21" t="s">
        <v>41</v>
      </c>
      <c r="U297" s="21"/>
      <c r="V297" s="4" t="s">
        <v>130</v>
      </c>
      <c r="W297" s="4" t="s">
        <v>798</v>
      </c>
      <c r="X297" s="4" t="s">
        <v>210</v>
      </c>
      <c r="Y297" s="21" t="s">
        <v>138</v>
      </c>
      <c r="Z297" s="21"/>
      <c r="AA297" s="4" t="s">
        <v>46</v>
      </c>
      <c r="AB297" s="4" t="s">
        <v>47</v>
      </c>
      <c r="AC297" s="4" t="s">
        <v>139</v>
      </c>
      <c r="AD297" s="4" t="s">
        <v>140</v>
      </c>
      <c r="AE297" s="4" t="s">
        <v>48</v>
      </c>
      <c r="AF297" s="4" t="s">
        <v>41</v>
      </c>
      <c r="AG297" s="4" t="s">
        <v>670</v>
      </c>
    </row>
    <row r="298" spans="1:33" ht="16.5" customHeight="1" x14ac:dyDescent="0.2">
      <c r="A298" s="2" t="s">
        <v>31</v>
      </c>
      <c r="B298" s="19" t="s">
        <v>50</v>
      </c>
      <c r="C298" s="19"/>
      <c r="D298" s="19"/>
      <c r="E298" s="20" t="s">
        <v>33</v>
      </c>
      <c r="F298" s="20"/>
      <c r="G298" s="21" t="s">
        <v>664</v>
      </c>
      <c r="H298" s="21"/>
      <c r="I298" s="21"/>
      <c r="J298" s="3" t="s">
        <v>35</v>
      </c>
      <c r="K298" s="4" t="s">
        <v>74</v>
      </c>
      <c r="L298" s="4" t="s">
        <v>37</v>
      </c>
      <c r="N298" s="21" t="s">
        <v>796</v>
      </c>
      <c r="O298" s="21"/>
      <c r="P298" s="21" t="s">
        <v>797</v>
      </c>
      <c r="Q298" s="21"/>
      <c r="R298" s="21"/>
      <c r="S298" s="3" t="s">
        <v>40</v>
      </c>
      <c r="T298" s="21" t="s">
        <v>41</v>
      </c>
      <c r="U298" s="21"/>
      <c r="V298" s="4" t="s">
        <v>59</v>
      </c>
      <c r="W298" s="4" t="s">
        <v>798</v>
      </c>
      <c r="X298" s="4" t="s">
        <v>262</v>
      </c>
      <c r="Y298" s="21" t="s">
        <v>65</v>
      </c>
      <c r="Z298" s="21"/>
      <c r="AA298" s="4" t="s">
        <v>46</v>
      </c>
      <c r="AB298" s="4" t="s">
        <v>47</v>
      </c>
      <c r="AC298" s="4" t="s">
        <v>57</v>
      </c>
      <c r="AD298" s="4" t="s">
        <v>58</v>
      </c>
      <c r="AE298" s="4" t="s">
        <v>48</v>
      </c>
      <c r="AF298" s="4" t="s">
        <v>41</v>
      </c>
      <c r="AG298" s="4" t="s">
        <v>670</v>
      </c>
    </row>
    <row r="299" spans="1:33" ht="16.5" customHeight="1" x14ac:dyDescent="0.2">
      <c r="A299" s="2" t="s">
        <v>31</v>
      </c>
      <c r="B299" s="19" t="s">
        <v>50</v>
      </c>
      <c r="C299" s="19"/>
      <c r="D299" s="19"/>
      <c r="E299" s="20" t="s">
        <v>33</v>
      </c>
      <c r="F299" s="20"/>
      <c r="G299" s="21" t="s">
        <v>664</v>
      </c>
      <c r="H299" s="21"/>
      <c r="I299" s="21"/>
      <c r="J299" s="3" t="s">
        <v>35</v>
      </c>
      <c r="K299" s="4" t="s">
        <v>152</v>
      </c>
      <c r="L299" s="4" t="s">
        <v>37</v>
      </c>
      <c r="N299" s="21" t="s">
        <v>799</v>
      </c>
      <c r="O299" s="21"/>
      <c r="P299" s="21" t="s">
        <v>800</v>
      </c>
      <c r="Q299" s="21"/>
      <c r="R299" s="21"/>
      <c r="S299" s="3" t="s">
        <v>40</v>
      </c>
      <c r="T299" s="21" t="s">
        <v>41</v>
      </c>
      <c r="U299" s="21"/>
      <c r="V299" s="4" t="s">
        <v>42</v>
      </c>
      <c r="W299" s="4" t="s">
        <v>209</v>
      </c>
      <c r="X299" s="4" t="s">
        <v>210</v>
      </c>
      <c r="Y299" s="21" t="s">
        <v>56</v>
      </c>
      <c r="Z299" s="21"/>
      <c r="AA299" s="4" t="s">
        <v>46</v>
      </c>
      <c r="AB299" s="4" t="s">
        <v>47</v>
      </c>
      <c r="AC299" s="4" t="s">
        <v>139</v>
      </c>
      <c r="AD299" s="4" t="s">
        <v>140</v>
      </c>
      <c r="AE299" s="4" t="s">
        <v>48</v>
      </c>
      <c r="AF299" s="4" t="s">
        <v>41</v>
      </c>
      <c r="AG299" s="4" t="s">
        <v>670</v>
      </c>
    </row>
    <row r="300" spans="1:33" ht="16.5" customHeight="1" x14ac:dyDescent="0.2">
      <c r="A300" s="2" t="s">
        <v>31</v>
      </c>
      <c r="B300" s="19" t="s">
        <v>50</v>
      </c>
      <c r="C300" s="19"/>
      <c r="D300" s="19"/>
      <c r="E300" s="20" t="s">
        <v>33</v>
      </c>
      <c r="F300" s="20"/>
      <c r="G300" s="21" t="s">
        <v>664</v>
      </c>
      <c r="H300" s="21"/>
      <c r="I300" s="21"/>
      <c r="J300" s="3" t="s">
        <v>35</v>
      </c>
      <c r="K300" s="4" t="s">
        <v>247</v>
      </c>
      <c r="L300" s="4" t="s">
        <v>37</v>
      </c>
      <c r="N300" s="21" t="s">
        <v>801</v>
      </c>
      <c r="O300" s="21"/>
      <c r="P300" s="21" t="s">
        <v>802</v>
      </c>
      <c r="Q300" s="21"/>
      <c r="R300" s="21"/>
      <c r="S300" s="3" t="s">
        <v>40</v>
      </c>
      <c r="T300" s="21" t="s">
        <v>41</v>
      </c>
      <c r="U300" s="21"/>
      <c r="V300" s="4" t="s">
        <v>42</v>
      </c>
      <c r="W300" s="4" t="s">
        <v>54</v>
      </c>
      <c r="X300" s="4" t="s">
        <v>55</v>
      </c>
      <c r="Y300" s="21" t="s">
        <v>65</v>
      </c>
      <c r="Z300" s="21"/>
      <c r="AA300" s="4" t="s">
        <v>46</v>
      </c>
      <c r="AB300" s="4" t="s">
        <v>47</v>
      </c>
      <c r="AC300" s="4" t="s">
        <v>66</v>
      </c>
      <c r="AD300" s="4" t="s">
        <v>73</v>
      </c>
      <c r="AE300" s="4" t="s">
        <v>48</v>
      </c>
      <c r="AF300" s="4" t="s">
        <v>41</v>
      </c>
      <c r="AG300" s="4" t="s">
        <v>670</v>
      </c>
    </row>
    <row r="301" spans="1:33" ht="16.5" customHeight="1" x14ac:dyDescent="0.2">
      <c r="A301" s="2" t="s">
        <v>31</v>
      </c>
      <c r="B301" s="19" t="s">
        <v>50</v>
      </c>
      <c r="C301" s="19"/>
      <c r="D301" s="19"/>
      <c r="E301" s="20" t="s">
        <v>33</v>
      </c>
      <c r="F301" s="20"/>
      <c r="G301" s="21" t="s">
        <v>664</v>
      </c>
      <c r="H301" s="21"/>
      <c r="I301" s="21"/>
      <c r="J301" s="3" t="s">
        <v>35</v>
      </c>
      <c r="K301" s="4" t="s">
        <v>74</v>
      </c>
      <c r="L301" s="4" t="s">
        <v>37</v>
      </c>
      <c r="N301" s="21" t="s">
        <v>803</v>
      </c>
      <c r="O301" s="21"/>
      <c r="P301" s="21" t="s">
        <v>804</v>
      </c>
      <c r="Q301" s="21"/>
      <c r="R301" s="21"/>
      <c r="S301" s="3" t="s">
        <v>40</v>
      </c>
      <c r="T301" s="21" t="s">
        <v>41</v>
      </c>
      <c r="U301" s="21"/>
      <c r="V301" s="4" t="s">
        <v>42</v>
      </c>
      <c r="W301" s="4" t="s">
        <v>234</v>
      </c>
      <c r="X301" s="4" t="s">
        <v>235</v>
      </c>
      <c r="Y301" s="21" t="s">
        <v>65</v>
      </c>
      <c r="Z301" s="21"/>
      <c r="AA301" s="4" t="s">
        <v>46</v>
      </c>
      <c r="AB301" s="4" t="s">
        <v>47</v>
      </c>
      <c r="AC301" s="4" t="s">
        <v>57</v>
      </c>
      <c r="AD301" s="4" t="s">
        <v>58</v>
      </c>
      <c r="AE301" s="4" t="s">
        <v>48</v>
      </c>
      <c r="AF301" s="4" t="s">
        <v>41</v>
      </c>
      <c r="AG301" s="4" t="s">
        <v>670</v>
      </c>
    </row>
    <row r="302" spans="1:33" ht="16.5" customHeight="1" x14ac:dyDescent="0.2">
      <c r="A302" s="2" t="s">
        <v>31</v>
      </c>
      <c r="B302" s="19" t="s">
        <v>50</v>
      </c>
      <c r="C302" s="19"/>
      <c r="D302" s="19"/>
      <c r="E302" s="20" t="s">
        <v>33</v>
      </c>
      <c r="F302" s="20"/>
      <c r="G302" s="21" t="s">
        <v>664</v>
      </c>
      <c r="H302" s="21"/>
      <c r="I302" s="21"/>
      <c r="J302" s="3" t="s">
        <v>35</v>
      </c>
      <c r="K302" s="4" t="s">
        <v>146</v>
      </c>
      <c r="L302" s="4" t="s">
        <v>68</v>
      </c>
      <c r="N302" s="21" t="s">
        <v>805</v>
      </c>
      <c r="O302" s="21"/>
      <c r="P302" s="21" t="s">
        <v>806</v>
      </c>
      <c r="Q302" s="21"/>
      <c r="R302" s="21"/>
      <c r="S302" s="3" t="s">
        <v>40</v>
      </c>
      <c r="T302" s="21" t="s">
        <v>41</v>
      </c>
      <c r="U302" s="21"/>
      <c r="V302" s="4" t="s">
        <v>42</v>
      </c>
      <c r="W302" s="4" t="s">
        <v>276</v>
      </c>
      <c r="X302" s="4" t="s">
        <v>277</v>
      </c>
      <c r="Y302" s="21" t="s">
        <v>138</v>
      </c>
      <c r="Z302" s="21"/>
      <c r="AA302" s="4" t="s">
        <v>46</v>
      </c>
      <c r="AB302" s="4" t="s">
        <v>47</v>
      </c>
      <c r="AC302" s="4" t="s">
        <v>139</v>
      </c>
      <c r="AD302" s="4" t="s">
        <v>151</v>
      </c>
      <c r="AE302" s="4" t="s">
        <v>48</v>
      </c>
      <c r="AF302" s="4" t="s">
        <v>41</v>
      </c>
      <c r="AG302" s="4" t="s">
        <v>670</v>
      </c>
    </row>
    <row r="303" spans="1:33" ht="16.5" customHeight="1" x14ac:dyDescent="0.2">
      <c r="A303" s="2" t="s">
        <v>31</v>
      </c>
      <c r="B303" s="19" t="s">
        <v>50</v>
      </c>
      <c r="C303" s="19"/>
      <c r="D303" s="19"/>
      <c r="E303" s="20" t="s">
        <v>33</v>
      </c>
      <c r="F303" s="20"/>
      <c r="G303" s="21" t="s">
        <v>664</v>
      </c>
      <c r="H303" s="21"/>
      <c r="I303" s="21"/>
      <c r="J303" s="3" t="s">
        <v>35</v>
      </c>
      <c r="K303" s="4" t="s">
        <v>74</v>
      </c>
      <c r="L303" s="4" t="s">
        <v>68</v>
      </c>
      <c r="N303" s="21" t="s">
        <v>807</v>
      </c>
      <c r="O303" s="21"/>
      <c r="P303" s="21" t="s">
        <v>808</v>
      </c>
      <c r="Q303" s="21"/>
      <c r="R303" s="21"/>
      <c r="S303" s="3" t="s">
        <v>40</v>
      </c>
      <c r="T303" s="21" t="s">
        <v>41</v>
      </c>
      <c r="U303" s="21"/>
      <c r="V303" s="4" t="s">
        <v>42</v>
      </c>
      <c r="W303" s="4" t="s">
        <v>276</v>
      </c>
      <c r="X303" s="4" t="s">
        <v>277</v>
      </c>
      <c r="Y303" s="21" t="s">
        <v>65</v>
      </c>
      <c r="Z303" s="21"/>
      <c r="AA303" s="4" t="s">
        <v>46</v>
      </c>
      <c r="AB303" s="4" t="s">
        <v>47</v>
      </c>
      <c r="AC303" s="4" t="s">
        <v>57</v>
      </c>
      <c r="AD303" s="4" t="s">
        <v>98</v>
      </c>
      <c r="AE303" s="4" t="s">
        <v>48</v>
      </c>
      <c r="AF303" s="4" t="s">
        <v>41</v>
      </c>
      <c r="AG303" s="4" t="s">
        <v>670</v>
      </c>
    </row>
    <row r="304" spans="1:33" ht="16.5" customHeight="1" x14ac:dyDescent="0.2">
      <c r="A304" s="2" t="s">
        <v>31</v>
      </c>
      <c r="B304" s="19" t="s">
        <v>50</v>
      </c>
      <c r="C304" s="19"/>
      <c r="D304" s="19"/>
      <c r="E304" s="20" t="s">
        <v>33</v>
      </c>
      <c r="F304" s="20"/>
      <c r="G304" s="21" t="s">
        <v>664</v>
      </c>
      <c r="H304" s="21"/>
      <c r="I304" s="21"/>
      <c r="J304" s="3" t="s">
        <v>35</v>
      </c>
      <c r="K304" s="4" t="s">
        <v>61</v>
      </c>
      <c r="L304" s="4" t="s">
        <v>37</v>
      </c>
      <c r="N304" s="21" t="s">
        <v>809</v>
      </c>
      <c r="O304" s="21"/>
      <c r="P304" s="21" t="s">
        <v>810</v>
      </c>
      <c r="Q304" s="21"/>
      <c r="R304" s="21"/>
      <c r="S304" s="3" t="s">
        <v>40</v>
      </c>
      <c r="T304" s="21" t="s">
        <v>41</v>
      </c>
      <c r="U304" s="21"/>
      <c r="V304" s="4" t="s">
        <v>42</v>
      </c>
      <c r="W304" s="4" t="s">
        <v>77</v>
      </c>
      <c r="X304" s="4" t="s">
        <v>78</v>
      </c>
      <c r="Y304" s="21" t="s">
        <v>65</v>
      </c>
      <c r="Z304" s="21"/>
      <c r="AA304" s="4" t="s">
        <v>46</v>
      </c>
      <c r="AB304" s="4" t="s">
        <v>47</v>
      </c>
      <c r="AC304" s="4" t="s">
        <v>66</v>
      </c>
      <c r="AD304" s="4" t="s">
        <v>73</v>
      </c>
      <c r="AE304" s="4" t="s">
        <v>48</v>
      </c>
      <c r="AF304" s="4" t="s">
        <v>41</v>
      </c>
      <c r="AG304" s="4" t="s">
        <v>670</v>
      </c>
    </row>
    <row r="305" spans="1:33" ht="16.5" customHeight="1" x14ac:dyDescent="0.2">
      <c r="A305" s="2" t="s">
        <v>31</v>
      </c>
      <c r="B305" s="19" t="s">
        <v>50</v>
      </c>
      <c r="C305" s="19"/>
      <c r="D305" s="19"/>
      <c r="E305" s="20" t="s">
        <v>33</v>
      </c>
      <c r="F305" s="20"/>
      <c r="G305" s="21" t="s">
        <v>664</v>
      </c>
      <c r="H305" s="21"/>
      <c r="I305" s="21"/>
      <c r="J305" s="3" t="s">
        <v>35</v>
      </c>
      <c r="K305" s="4" t="s">
        <v>146</v>
      </c>
      <c r="L305" s="4" t="s">
        <v>37</v>
      </c>
      <c r="N305" s="21" t="s">
        <v>811</v>
      </c>
      <c r="O305" s="21"/>
      <c r="P305" s="21" t="s">
        <v>812</v>
      </c>
      <c r="Q305" s="21"/>
      <c r="R305" s="21"/>
      <c r="S305" s="3" t="s">
        <v>40</v>
      </c>
      <c r="T305" s="21" t="s">
        <v>41</v>
      </c>
      <c r="U305" s="21"/>
      <c r="V305" s="4" t="s">
        <v>42</v>
      </c>
      <c r="W305" s="4" t="s">
        <v>202</v>
      </c>
      <c r="X305" s="4" t="s">
        <v>203</v>
      </c>
      <c r="Y305" s="21" t="s">
        <v>138</v>
      </c>
      <c r="Z305" s="21"/>
      <c r="AA305" s="4" t="s">
        <v>46</v>
      </c>
      <c r="AB305" s="4" t="s">
        <v>47</v>
      </c>
      <c r="AC305" s="4" t="s">
        <v>139</v>
      </c>
      <c r="AD305" s="4" t="s">
        <v>140</v>
      </c>
      <c r="AE305" s="4" t="s">
        <v>48</v>
      </c>
      <c r="AF305" s="4" t="s">
        <v>41</v>
      </c>
      <c r="AG305" s="4" t="s">
        <v>670</v>
      </c>
    </row>
    <row r="306" spans="1:33" ht="16.5" customHeight="1" x14ac:dyDescent="0.2">
      <c r="A306" s="2" t="s">
        <v>31</v>
      </c>
      <c r="B306" s="19" t="s">
        <v>50</v>
      </c>
      <c r="C306" s="19"/>
      <c r="D306" s="19"/>
      <c r="E306" s="20" t="s">
        <v>33</v>
      </c>
      <c r="F306" s="20"/>
      <c r="G306" s="21" t="s">
        <v>664</v>
      </c>
      <c r="H306" s="21"/>
      <c r="I306" s="21"/>
      <c r="J306" s="3" t="s">
        <v>35</v>
      </c>
      <c r="K306" s="4" t="s">
        <v>61</v>
      </c>
      <c r="L306" s="4" t="s">
        <v>37</v>
      </c>
      <c r="N306" s="21" t="s">
        <v>813</v>
      </c>
      <c r="O306" s="21"/>
      <c r="P306" s="21" t="s">
        <v>814</v>
      </c>
      <c r="Q306" s="21"/>
      <c r="R306" s="21"/>
      <c r="S306" s="3" t="s">
        <v>40</v>
      </c>
      <c r="T306" s="21" t="s">
        <v>41</v>
      </c>
      <c r="U306" s="21"/>
      <c r="V306" s="4" t="s">
        <v>42</v>
      </c>
      <c r="W306" s="4" t="s">
        <v>202</v>
      </c>
      <c r="X306" s="4" t="s">
        <v>203</v>
      </c>
      <c r="Y306" s="21" t="s">
        <v>65</v>
      </c>
      <c r="Z306" s="21"/>
      <c r="AA306" s="4" t="s">
        <v>46</v>
      </c>
      <c r="AB306" s="4" t="s">
        <v>47</v>
      </c>
      <c r="AC306" s="4" t="s">
        <v>57</v>
      </c>
      <c r="AD306" s="4" t="s">
        <v>58</v>
      </c>
      <c r="AE306" s="4" t="s">
        <v>48</v>
      </c>
      <c r="AF306" s="4" t="s">
        <v>41</v>
      </c>
      <c r="AG306" s="4" t="s">
        <v>670</v>
      </c>
    </row>
    <row r="307" spans="1:33" ht="16.5" customHeight="1" x14ac:dyDescent="0.2">
      <c r="A307" s="2" t="s">
        <v>31</v>
      </c>
      <c r="B307" s="19" t="s">
        <v>50</v>
      </c>
      <c r="C307" s="19"/>
      <c r="D307" s="19"/>
      <c r="E307" s="20" t="s">
        <v>33</v>
      </c>
      <c r="F307" s="20"/>
      <c r="G307" s="21" t="s">
        <v>664</v>
      </c>
      <c r="H307" s="21"/>
      <c r="I307" s="21"/>
      <c r="J307" s="3" t="s">
        <v>35</v>
      </c>
      <c r="K307" s="4" t="s">
        <v>152</v>
      </c>
      <c r="L307" s="4" t="s">
        <v>37</v>
      </c>
      <c r="N307" s="21" t="s">
        <v>815</v>
      </c>
      <c r="O307" s="21"/>
      <c r="P307" s="21" t="s">
        <v>816</v>
      </c>
      <c r="Q307" s="21"/>
      <c r="R307" s="21"/>
      <c r="S307" s="3" t="s">
        <v>40</v>
      </c>
      <c r="T307" s="21" t="s">
        <v>41</v>
      </c>
      <c r="U307" s="21"/>
      <c r="V307" s="4" t="s">
        <v>42</v>
      </c>
      <c r="W307" s="4" t="s">
        <v>202</v>
      </c>
      <c r="X307" s="4" t="s">
        <v>203</v>
      </c>
      <c r="Y307" s="21" t="s">
        <v>56</v>
      </c>
      <c r="Z307" s="21"/>
      <c r="AA307" s="4" t="s">
        <v>46</v>
      </c>
      <c r="AB307" s="4" t="s">
        <v>47</v>
      </c>
      <c r="AC307" s="4" t="s">
        <v>139</v>
      </c>
      <c r="AD307" s="4" t="s">
        <v>140</v>
      </c>
      <c r="AE307" s="4" t="s">
        <v>48</v>
      </c>
      <c r="AF307" s="4" t="s">
        <v>41</v>
      </c>
      <c r="AG307" s="4" t="s">
        <v>670</v>
      </c>
    </row>
    <row r="308" spans="1:33" ht="16.5" customHeight="1" x14ac:dyDescent="0.2">
      <c r="A308" s="2" t="s">
        <v>31</v>
      </c>
      <c r="B308" s="19" t="s">
        <v>50</v>
      </c>
      <c r="C308" s="19"/>
      <c r="D308" s="19"/>
      <c r="E308" s="20" t="s">
        <v>33</v>
      </c>
      <c r="F308" s="20"/>
      <c r="G308" s="21" t="s">
        <v>664</v>
      </c>
      <c r="H308" s="21"/>
      <c r="I308" s="21"/>
      <c r="J308" s="3" t="s">
        <v>35</v>
      </c>
      <c r="K308" s="4" t="s">
        <v>74</v>
      </c>
      <c r="L308" s="4" t="s">
        <v>37</v>
      </c>
      <c r="N308" s="21" t="s">
        <v>817</v>
      </c>
      <c r="O308" s="21"/>
      <c r="P308" s="21" t="s">
        <v>818</v>
      </c>
      <c r="Q308" s="21"/>
      <c r="R308" s="21"/>
      <c r="S308" s="3" t="s">
        <v>40</v>
      </c>
      <c r="T308" s="21" t="s">
        <v>41</v>
      </c>
      <c r="U308" s="21"/>
      <c r="V308" s="4" t="s">
        <v>42</v>
      </c>
      <c r="W308" s="4" t="s">
        <v>202</v>
      </c>
      <c r="X308" s="4" t="s">
        <v>203</v>
      </c>
      <c r="Y308" s="21" t="s">
        <v>65</v>
      </c>
      <c r="Z308" s="21"/>
      <c r="AA308" s="4" t="s">
        <v>46</v>
      </c>
      <c r="AB308" s="4" t="s">
        <v>47</v>
      </c>
      <c r="AC308" s="4" t="s">
        <v>57</v>
      </c>
      <c r="AD308" s="4" t="s">
        <v>58</v>
      </c>
      <c r="AE308" s="4" t="s">
        <v>48</v>
      </c>
      <c r="AF308" s="4" t="s">
        <v>41</v>
      </c>
      <c r="AG308" s="4" t="s">
        <v>670</v>
      </c>
    </row>
    <row r="309" spans="1:33" ht="16.5" customHeight="1" x14ac:dyDescent="0.2">
      <c r="A309" s="2" t="s">
        <v>31</v>
      </c>
      <c r="B309" s="19" t="s">
        <v>50</v>
      </c>
      <c r="C309" s="19"/>
      <c r="D309" s="19"/>
      <c r="E309" s="20" t="s">
        <v>33</v>
      </c>
      <c r="F309" s="20"/>
      <c r="G309" s="21" t="s">
        <v>664</v>
      </c>
      <c r="H309" s="21"/>
      <c r="I309" s="21"/>
      <c r="J309" s="3" t="s">
        <v>35</v>
      </c>
      <c r="K309" s="4" t="s">
        <v>152</v>
      </c>
      <c r="L309" s="4" t="s">
        <v>278</v>
      </c>
      <c r="N309" s="21" t="s">
        <v>819</v>
      </c>
      <c r="O309" s="21"/>
      <c r="P309" s="21" t="s">
        <v>820</v>
      </c>
      <c r="Q309" s="21"/>
      <c r="R309" s="21"/>
      <c r="S309" s="3" t="s">
        <v>40</v>
      </c>
      <c r="T309" s="21" t="s">
        <v>41</v>
      </c>
      <c r="U309" s="21"/>
      <c r="V309" s="4" t="s">
        <v>42</v>
      </c>
      <c r="W309" s="4" t="s">
        <v>202</v>
      </c>
      <c r="X309" s="4" t="s">
        <v>203</v>
      </c>
      <c r="Y309" s="21" t="s">
        <v>56</v>
      </c>
      <c r="Z309" s="21"/>
      <c r="AA309" s="4" t="s">
        <v>46</v>
      </c>
      <c r="AB309" s="4" t="s">
        <v>47</v>
      </c>
      <c r="AC309" s="4" t="s">
        <v>139</v>
      </c>
      <c r="AD309" s="4" t="s">
        <v>69</v>
      </c>
      <c r="AE309" s="4" t="s">
        <v>48</v>
      </c>
      <c r="AF309" s="4" t="s">
        <v>41</v>
      </c>
      <c r="AG309" s="4" t="s">
        <v>670</v>
      </c>
    </row>
    <row r="310" spans="1:33" ht="16.5" customHeight="1" x14ac:dyDescent="0.2">
      <c r="A310" s="2" t="s">
        <v>31</v>
      </c>
      <c r="B310" s="19" t="s">
        <v>50</v>
      </c>
      <c r="C310" s="19"/>
      <c r="D310" s="19"/>
      <c r="E310" s="20" t="s">
        <v>33</v>
      </c>
      <c r="F310" s="20"/>
      <c r="G310" s="21" t="s">
        <v>664</v>
      </c>
      <c r="H310" s="21"/>
      <c r="I310" s="21"/>
      <c r="J310" s="3" t="s">
        <v>35</v>
      </c>
      <c r="K310" s="4" t="s">
        <v>146</v>
      </c>
      <c r="L310" s="4" t="s">
        <v>37</v>
      </c>
      <c r="N310" s="21" t="s">
        <v>821</v>
      </c>
      <c r="O310" s="21"/>
      <c r="P310" s="21" t="s">
        <v>822</v>
      </c>
      <c r="Q310" s="21"/>
      <c r="R310" s="21"/>
      <c r="S310" s="3" t="s">
        <v>40</v>
      </c>
      <c r="T310" s="21" t="s">
        <v>41</v>
      </c>
      <c r="U310" s="21"/>
      <c r="V310" s="4" t="s">
        <v>42</v>
      </c>
      <c r="W310" s="4" t="s">
        <v>823</v>
      </c>
      <c r="X310" s="4" t="s">
        <v>791</v>
      </c>
      <c r="Y310" s="21" t="s">
        <v>138</v>
      </c>
      <c r="Z310" s="21"/>
      <c r="AA310" s="4" t="s">
        <v>46</v>
      </c>
      <c r="AB310" s="4" t="s">
        <v>47</v>
      </c>
      <c r="AC310" s="4" t="s">
        <v>139</v>
      </c>
      <c r="AD310" s="4" t="s">
        <v>140</v>
      </c>
      <c r="AE310" s="4" t="s">
        <v>48</v>
      </c>
      <c r="AF310" s="4" t="s">
        <v>41</v>
      </c>
      <c r="AG310" s="4" t="s">
        <v>670</v>
      </c>
    </row>
    <row r="311" spans="1:33" ht="16.5" customHeight="1" x14ac:dyDescent="0.2">
      <c r="A311" s="2" t="s">
        <v>31</v>
      </c>
      <c r="B311" s="19" t="s">
        <v>50</v>
      </c>
      <c r="C311" s="19"/>
      <c r="D311" s="19"/>
      <c r="E311" s="20" t="s">
        <v>33</v>
      </c>
      <c r="F311" s="20"/>
      <c r="G311" s="21" t="s">
        <v>664</v>
      </c>
      <c r="H311" s="21"/>
      <c r="I311" s="21"/>
      <c r="J311" s="3" t="s">
        <v>35</v>
      </c>
      <c r="K311" s="4" t="s">
        <v>152</v>
      </c>
      <c r="L311" s="4" t="s">
        <v>37</v>
      </c>
      <c r="N311" s="21" t="s">
        <v>824</v>
      </c>
      <c r="O311" s="21"/>
      <c r="P311" s="21" t="s">
        <v>825</v>
      </c>
      <c r="Q311" s="21"/>
      <c r="R311" s="21"/>
      <c r="S311" s="3" t="s">
        <v>40</v>
      </c>
      <c r="T311" s="21" t="s">
        <v>41</v>
      </c>
      <c r="U311" s="21"/>
      <c r="V311" s="4" t="s">
        <v>42</v>
      </c>
      <c r="W311" s="4" t="s">
        <v>431</v>
      </c>
      <c r="X311" s="4" t="s">
        <v>432</v>
      </c>
      <c r="Y311" s="21" t="s">
        <v>56</v>
      </c>
      <c r="Z311" s="21"/>
      <c r="AA311" s="4" t="s">
        <v>46</v>
      </c>
      <c r="AB311" s="4" t="s">
        <v>47</v>
      </c>
      <c r="AC311" s="4" t="s">
        <v>139</v>
      </c>
      <c r="AD311" s="4" t="s">
        <v>140</v>
      </c>
      <c r="AE311" s="4" t="s">
        <v>48</v>
      </c>
      <c r="AF311" s="4" t="s">
        <v>41</v>
      </c>
      <c r="AG311" s="4" t="s">
        <v>670</v>
      </c>
    </row>
    <row r="312" spans="1:33" ht="16.5" customHeight="1" x14ac:dyDescent="0.2">
      <c r="A312" s="2" t="s">
        <v>31</v>
      </c>
      <c r="B312" s="19" t="s">
        <v>50</v>
      </c>
      <c r="C312" s="19"/>
      <c r="D312" s="19"/>
      <c r="E312" s="20" t="s">
        <v>33</v>
      </c>
      <c r="F312" s="20"/>
      <c r="G312" s="21" t="s">
        <v>664</v>
      </c>
      <c r="H312" s="21"/>
      <c r="I312" s="21"/>
      <c r="J312" s="3" t="s">
        <v>35</v>
      </c>
      <c r="K312" s="4" t="s">
        <v>146</v>
      </c>
      <c r="L312" s="4" t="s">
        <v>37</v>
      </c>
      <c r="N312" s="21" t="s">
        <v>826</v>
      </c>
      <c r="O312" s="21"/>
      <c r="P312" s="21" t="s">
        <v>827</v>
      </c>
      <c r="Q312" s="21"/>
      <c r="R312" s="21"/>
      <c r="S312" s="3" t="s">
        <v>40</v>
      </c>
      <c r="T312" s="21" t="s">
        <v>41</v>
      </c>
      <c r="U312" s="21"/>
      <c r="V312" s="4" t="s">
        <v>42</v>
      </c>
      <c r="W312" s="4" t="s">
        <v>828</v>
      </c>
      <c r="X312" s="4" t="s">
        <v>829</v>
      </c>
      <c r="Y312" s="21" t="s">
        <v>138</v>
      </c>
      <c r="Z312" s="21"/>
      <c r="AA312" s="4" t="s">
        <v>46</v>
      </c>
      <c r="AB312" s="4" t="s">
        <v>47</v>
      </c>
      <c r="AC312" s="4" t="s">
        <v>139</v>
      </c>
      <c r="AD312" s="4" t="s">
        <v>140</v>
      </c>
      <c r="AE312" s="4" t="s">
        <v>48</v>
      </c>
      <c r="AF312" s="4" t="s">
        <v>41</v>
      </c>
      <c r="AG312" s="4" t="s">
        <v>670</v>
      </c>
    </row>
    <row r="313" spans="1:33" ht="16.5" customHeight="1" x14ac:dyDescent="0.2">
      <c r="A313" s="2" t="s">
        <v>31</v>
      </c>
      <c r="B313" s="19" t="s">
        <v>50</v>
      </c>
      <c r="C313" s="19"/>
      <c r="D313" s="19"/>
      <c r="E313" s="20" t="s">
        <v>33</v>
      </c>
      <c r="F313" s="20"/>
      <c r="G313" s="21" t="s">
        <v>664</v>
      </c>
      <c r="H313" s="21"/>
      <c r="I313" s="21"/>
      <c r="J313" s="3" t="s">
        <v>35</v>
      </c>
      <c r="K313" s="4" t="s">
        <v>146</v>
      </c>
      <c r="L313" s="4" t="s">
        <v>37</v>
      </c>
      <c r="N313" s="21" t="s">
        <v>830</v>
      </c>
      <c r="O313" s="21"/>
      <c r="P313" s="21" t="s">
        <v>831</v>
      </c>
      <c r="Q313" s="21"/>
      <c r="R313" s="21"/>
      <c r="S313" s="3" t="s">
        <v>40</v>
      </c>
      <c r="T313" s="21" t="s">
        <v>41</v>
      </c>
      <c r="U313" s="21"/>
      <c r="V313" s="4" t="s">
        <v>42</v>
      </c>
      <c r="W313" s="4" t="s">
        <v>469</v>
      </c>
      <c r="X313" s="4" t="s">
        <v>470</v>
      </c>
      <c r="Y313" s="21" t="s">
        <v>138</v>
      </c>
      <c r="Z313" s="21"/>
      <c r="AA313" s="4" t="s">
        <v>46</v>
      </c>
      <c r="AB313" s="4" t="s">
        <v>47</v>
      </c>
      <c r="AC313" s="4" t="s">
        <v>139</v>
      </c>
      <c r="AD313" s="4" t="s">
        <v>140</v>
      </c>
      <c r="AE313" s="4" t="s">
        <v>48</v>
      </c>
      <c r="AF313" s="4" t="s">
        <v>41</v>
      </c>
      <c r="AG313" s="4" t="s">
        <v>670</v>
      </c>
    </row>
    <row r="314" spans="1:33" ht="16.5" customHeight="1" x14ac:dyDescent="0.2">
      <c r="A314" s="2" t="s">
        <v>31</v>
      </c>
      <c r="B314" s="19" t="s">
        <v>50</v>
      </c>
      <c r="C314" s="19"/>
      <c r="D314" s="19"/>
      <c r="E314" s="20" t="s">
        <v>33</v>
      </c>
      <c r="F314" s="20"/>
      <c r="G314" s="21" t="s">
        <v>664</v>
      </c>
      <c r="H314" s="21"/>
      <c r="I314" s="21"/>
      <c r="J314" s="3" t="s">
        <v>35</v>
      </c>
      <c r="K314" s="4" t="s">
        <v>152</v>
      </c>
      <c r="L314" s="4" t="s">
        <v>278</v>
      </c>
      <c r="N314" s="21" t="s">
        <v>832</v>
      </c>
      <c r="O314" s="21"/>
      <c r="P314" s="21" t="s">
        <v>833</v>
      </c>
      <c r="Q314" s="21"/>
      <c r="R314" s="21"/>
      <c r="S314" s="3" t="s">
        <v>40</v>
      </c>
      <c r="T314" s="21" t="s">
        <v>41</v>
      </c>
      <c r="U314" s="21"/>
      <c r="V314" s="4" t="s">
        <v>42</v>
      </c>
      <c r="W314" s="4" t="s">
        <v>54</v>
      </c>
      <c r="X314" s="4" t="s">
        <v>55</v>
      </c>
      <c r="Y314" s="21" t="s">
        <v>56</v>
      </c>
      <c r="Z314" s="21"/>
      <c r="AA314" s="4" t="s">
        <v>46</v>
      </c>
      <c r="AB314" s="4" t="s">
        <v>47</v>
      </c>
      <c r="AC314" s="4" t="s">
        <v>57</v>
      </c>
      <c r="AD314" s="4" t="s">
        <v>283</v>
      </c>
      <c r="AE314" s="4" t="s">
        <v>48</v>
      </c>
      <c r="AF314" s="4" t="s">
        <v>41</v>
      </c>
      <c r="AG314" s="4" t="s">
        <v>670</v>
      </c>
    </row>
    <row r="315" spans="1:33" ht="16.5" customHeight="1" x14ac:dyDescent="0.2">
      <c r="A315" s="2" t="s">
        <v>31</v>
      </c>
      <c r="B315" s="19" t="s">
        <v>50</v>
      </c>
      <c r="C315" s="19"/>
      <c r="D315" s="19"/>
      <c r="E315" s="20" t="s">
        <v>33</v>
      </c>
      <c r="F315" s="20"/>
      <c r="G315" s="21" t="s">
        <v>664</v>
      </c>
      <c r="H315" s="21"/>
      <c r="I315" s="21"/>
      <c r="J315" s="3" t="s">
        <v>35</v>
      </c>
      <c r="K315" s="4" t="s">
        <v>146</v>
      </c>
      <c r="L315" s="4" t="s">
        <v>68</v>
      </c>
      <c r="N315" s="21" t="s">
        <v>834</v>
      </c>
      <c r="O315" s="21"/>
      <c r="P315" s="21" t="s">
        <v>835</v>
      </c>
      <c r="Q315" s="21"/>
      <c r="R315" s="21"/>
      <c r="S315" s="3" t="s">
        <v>40</v>
      </c>
      <c r="T315" s="21" t="s">
        <v>41</v>
      </c>
      <c r="U315" s="21"/>
      <c r="V315" s="4" t="s">
        <v>42</v>
      </c>
      <c r="W315" s="4" t="s">
        <v>307</v>
      </c>
      <c r="X315" s="4" t="s">
        <v>304</v>
      </c>
      <c r="Y315" s="21" t="s">
        <v>138</v>
      </c>
      <c r="Z315" s="21"/>
      <c r="AA315" s="4" t="s">
        <v>46</v>
      </c>
      <c r="AB315" s="4" t="s">
        <v>47</v>
      </c>
      <c r="AC315" s="4" t="s">
        <v>139</v>
      </c>
      <c r="AD315" s="4" t="s">
        <v>151</v>
      </c>
      <c r="AE315" s="4" t="s">
        <v>48</v>
      </c>
      <c r="AF315" s="4" t="s">
        <v>41</v>
      </c>
      <c r="AG315" s="4" t="s">
        <v>670</v>
      </c>
    </row>
    <row r="316" spans="1:33" ht="16.5" customHeight="1" x14ac:dyDescent="0.2">
      <c r="A316" s="2" t="s">
        <v>31</v>
      </c>
      <c r="B316" s="19" t="s">
        <v>50</v>
      </c>
      <c r="C316" s="19"/>
      <c r="D316" s="19"/>
      <c r="E316" s="20" t="s">
        <v>33</v>
      </c>
      <c r="F316" s="20"/>
      <c r="G316" s="21" t="s">
        <v>664</v>
      </c>
      <c r="H316" s="21"/>
      <c r="I316" s="21"/>
      <c r="J316" s="3" t="s">
        <v>35</v>
      </c>
      <c r="K316" s="4" t="s">
        <v>247</v>
      </c>
      <c r="L316" s="4" t="s">
        <v>37</v>
      </c>
      <c r="N316" s="21" t="s">
        <v>836</v>
      </c>
      <c r="O316" s="21"/>
      <c r="P316" s="21" t="s">
        <v>837</v>
      </c>
      <c r="Q316" s="21"/>
      <c r="R316" s="21"/>
      <c r="S316" s="3" t="s">
        <v>40</v>
      </c>
      <c r="T316" s="21" t="s">
        <v>41</v>
      </c>
      <c r="U316" s="21"/>
      <c r="V316" s="4" t="s">
        <v>42</v>
      </c>
      <c r="W316" s="4" t="s">
        <v>307</v>
      </c>
      <c r="X316" s="4" t="s">
        <v>304</v>
      </c>
      <c r="Y316" s="21" t="s">
        <v>65</v>
      </c>
      <c r="Z316" s="21"/>
      <c r="AA316" s="4" t="s">
        <v>46</v>
      </c>
      <c r="AB316" s="4" t="s">
        <v>47</v>
      </c>
      <c r="AC316" s="4" t="s">
        <v>57</v>
      </c>
      <c r="AD316" s="4" t="s">
        <v>58</v>
      </c>
      <c r="AE316" s="4" t="s">
        <v>48</v>
      </c>
      <c r="AF316" s="4" t="s">
        <v>41</v>
      </c>
      <c r="AG316" s="4" t="s">
        <v>670</v>
      </c>
    </row>
    <row r="317" spans="1:33" ht="16.5" customHeight="1" x14ac:dyDescent="0.2">
      <c r="A317" s="2" t="s">
        <v>31</v>
      </c>
      <c r="B317" s="19" t="s">
        <v>50</v>
      </c>
      <c r="C317" s="19"/>
      <c r="D317" s="19"/>
      <c r="E317" s="20" t="s">
        <v>33</v>
      </c>
      <c r="F317" s="20"/>
      <c r="G317" s="21" t="s">
        <v>664</v>
      </c>
      <c r="H317" s="21"/>
      <c r="I317" s="21"/>
      <c r="J317" s="3" t="s">
        <v>35</v>
      </c>
      <c r="K317" s="4" t="s">
        <v>661</v>
      </c>
      <c r="L317" s="4" t="s">
        <v>37</v>
      </c>
      <c r="N317" s="21" t="s">
        <v>838</v>
      </c>
      <c r="O317" s="21"/>
      <c r="P317" s="21" t="s">
        <v>839</v>
      </c>
      <c r="Q317" s="21"/>
      <c r="R317" s="21"/>
      <c r="S317" s="3" t="s">
        <v>40</v>
      </c>
      <c r="T317" s="21" t="s">
        <v>41</v>
      </c>
      <c r="U317" s="21"/>
      <c r="V317" s="4" t="s">
        <v>42</v>
      </c>
      <c r="W317" s="4" t="s">
        <v>43</v>
      </c>
      <c r="X317" s="4" t="s">
        <v>44</v>
      </c>
      <c r="Y317" s="21" t="s">
        <v>198</v>
      </c>
      <c r="Z317" s="21"/>
      <c r="AA317" s="4" t="s">
        <v>46</v>
      </c>
      <c r="AB317" s="4" t="s">
        <v>47</v>
      </c>
      <c r="AC317" s="4" t="s">
        <v>257</v>
      </c>
      <c r="AD317" s="4" t="s">
        <v>258</v>
      </c>
      <c r="AE317" s="4" t="s">
        <v>48</v>
      </c>
      <c r="AF317" s="4" t="s">
        <v>41</v>
      </c>
      <c r="AG317" s="4" t="s">
        <v>670</v>
      </c>
    </row>
    <row r="318" spans="1:33" ht="16.5" customHeight="1" x14ac:dyDescent="0.2">
      <c r="A318" s="2" t="s">
        <v>31</v>
      </c>
      <c r="B318" s="19" t="s">
        <v>50</v>
      </c>
      <c r="C318" s="19"/>
      <c r="D318" s="19"/>
      <c r="E318" s="20" t="s">
        <v>33</v>
      </c>
      <c r="F318" s="20"/>
      <c r="G318" s="21" t="s">
        <v>664</v>
      </c>
      <c r="H318" s="21"/>
      <c r="I318" s="21"/>
      <c r="J318" s="3" t="s">
        <v>35</v>
      </c>
      <c r="K318" s="4" t="s">
        <v>51</v>
      </c>
      <c r="L318" s="4" t="s">
        <v>37</v>
      </c>
      <c r="N318" s="21" t="s">
        <v>840</v>
      </c>
      <c r="O318" s="21"/>
      <c r="P318" s="21" t="s">
        <v>841</v>
      </c>
      <c r="Q318" s="21"/>
      <c r="R318" s="21"/>
      <c r="S318" s="3" t="s">
        <v>40</v>
      </c>
      <c r="T318" s="21" t="s">
        <v>41</v>
      </c>
      <c r="U318" s="21"/>
      <c r="V318" s="4" t="s">
        <v>42</v>
      </c>
      <c r="W318" s="4" t="s">
        <v>43</v>
      </c>
      <c r="X318" s="4" t="s">
        <v>44</v>
      </c>
      <c r="Y318" s="21" t="s">
        <v>56</v>
      </c>
      <c r="Z318" s="21"/>
      <c r="AA318" s="4" t="s">
        <v>46</v>
      </c>
      <c r="AB318" s="4" t="s">
        <v>47</v>
      </c>
      <c r="AC318" s="4" t="s">
        <v>139</v>
      </c>
      <c r="AD318" s="4" t="s">
        <v>140</v>
      </c>
      <c r="AE318" s="4" t="s">
        <v>48</v>
      </c>
      <c r="AF318" s="4" t="s">
        <v>41</v>
      </c>
      <c r="AG318" s="4" t="s">
        <v>670</v>
      </c>
    </row>
    <row r="319" spans="1:33" ht="16.5" customHeight="1" x14ac:dyDescent="0.2">
      <c r="A319" s="2" t="s">
        <v>31</v>
      </c>
      <c r="B319" s="19" t="s">
        <v>50</v>
      </c>
      <c r="C319" s="19"/>
      <c r="D319" s="19"/>
      <c r="E319" s="20" t="s">
        <v>33</v>
      </c>
      <c r="F319" s="20"/>
      <c r="G319" s="21" t="s">
        <v>664</v>
      </c>
      <c r="H319" s="21"/>
      <c r="I319" s="21"/>
      <c r="J319" s="3" t="s">
        <v>35</v>
      </c>
      <c r="K319" s="4" t="s">
        <v>51</v>
      </c>
      <c r="L319" s="4" t="s">
        <v>37</v>
      </c>
      <c r="N319" s="21" t="s">
        <v>842</v>
      </c>
      <c r="O319" s="21"/>
      <c r="P319" s="21" t="s">
        <v>843</v>
      </c>
      <c r="Q319" s="21"/>
      <c r="R319" s="21"/>
      <c r="S319" s="3" t="s">
        <v>40</v>
      </c>
      <c r="T319" s="21" t="s">
        <v>41</v>
      </c>
      <c r="U319" s="21"/>
      <c r="V319" s="4" t="s">
        <v>42</v>
      </c>
      <c r="W319" s="4" t="s">
        <v>54</v>
      </c>
      <c r="X319" s="4" t="s">
        <v>55</v>
      </c>
      <c r="Y319" s="21" t="s">
        <v>56</v>
      </c>
      <c r="Z319" s="21"/>
      <c r="AA319" s="4" t="s">
        <v>46</v>
      </c>
      <c r="AB319" s="4" t="s">
        <v>47</v>
      </c>
      <c r="AC319" s="4" t="s">
        <v>57</v>
      </c>
      <c r="AD319" s="4" t="s">
        <v>58</v>
      </c>
      <c r="AE319" s="4" t="s">
        <v>48</v>
      </c>
      <c r="AF319" s="4" t="s">
        <v>41</v>
      </c>
      <c r="AG319" s="4" t="s">
        <v>670</v>
      </c>
    </row>
    <row r="320" spans="1:33" ht="16.5" customHeight="1" x14ac:dyDescent="0.2">
      <c r="A320" s="2" t="s">
        <v>31</v>
      </c>
      <c r="B320" s="19" t="s">
        <v>50</v>
      </c>
      <c r="C320" s="19"/>
      <c r="D320" s="19"/>
      <c r="E320" s="20" t="s">
        <v>33</v>
      </c>
      <c r="F320" s="20"/>
      <c r="G320" s="21" t="s">
        <v>664</v>
      </c>
      <c r="H320" s="21"/>
      <c r="I320" s="21"/>
      <c r="J320" s="3" t="s">
        <v>35</v>
      </c>
      <c r="K320" s="4" t="s">
        <v>74</v>
      </c>
      <c r="L320" s="4" t="s">
        <v>37</v>
      </c>
      <c r="N320" s="21" t="s">
        <v>844</v>
      </c>
      <c r="O320" s="21"/>
      <c r="P320" s="21" t="s">
        <v>845</v>
      </c>
      <c r="Q320" s="21"/>
      <c r="R320" s="21"/>
      <c r="S320" s="3" t="s">
        <v>40</v>
      </c>
      <c r="T320" s="21" t="s">
        <v>41</v>
      </c>
      <c r="U320" s="21"/>
      <c r="V320" s="4" t="s">
        <v>42</v>
      </c>
      <c r="W320" s="4" t="s">
        <v>43</v>
      </c>
      <c r="X320" s="4" t="s">
        <v>44</v>
      </c>
      <c r="Y320" s="21" t="s">
        <v>65</v>
      </c>
      <c r="Z320" s="21"/>
      <c r="AA320" s="4" t="s">
        <v>46</v>
      </c>
      <c r="AB320" s="4" t="s">
        <v>47</v>
      </c>
      <c r="AC320" s="4" t="s">
        <v>57</v>
      </c>
      <c r="AD320" s="4" t="s">
        <v>58</v>
      </c>
      <c r="AE320" s="4" t="s">
        <v>48</v>
      </c>
      <c r="AF320" s="4" t="s">
        <v>41</v>
      </c>
      <c r="AG320" s="4" t="s">
        <v>670</v>
      </c>
    </row>
    <row r="321" spans="1:33" ht="16.5" customHeight="1" x14ac:dyDescent="0.2">
      <c r="A321" s="2" t="s">
        <v>31</v>
      </c>
      <c r="B321" s="19" t="s">
        <v>50</v>
      </c>
      <c r="C321" s="19"/>
      <c r="D321" s="19"/>
      <c r="E321" s="20" t="s">
        <v>33</v>
      </c>
      <c r="F321" s="20"/>
      <c r="G321" s="21" t="s">
        <v>664</v>
      </c>
      <c r="H321" s="21"/>
      <c r="I321" s="21"/>
      <c r="J321" s="3" t="s">
        <v>35</v>
      </c>
      <c r="K321" s="4" t="s">
        <v>74</v>
      </c>
      <c r="L321" s="4" t="s">
        <v>37</v>
      </c>
      <c r="N321" s="21" t="s">
        <v>846</v>
      </c>
      <c r="O321" s="21"/>
      <c r="P321" s="21" t="s">
        <v>847</v>
      </c>
      <c r="Q321" s="21"/>
      <c r="R321" s="21"/>
      <c r="S321" s="3" t="s">
        <v>40</v>
      </c>
      <c r="T321" s="21" t="s">
        <v>41</v>
      </c>
      <c r="U321" s="21"/>
      <c r="V321" s="4" t="s">
        <v>42</v>
      </c>
      <c r="W321" s="4" t="s">
        <v>234</v>
      </c>
      <c r="X321" s="4" t="s">
        <v>235</v>
      </c>
      <c r="Y321" s="21" t="s">
        <v>65</v>
      </c>
      <c r="Z321" s="21"/>
      <c r="AA321" s="4" t="s">
        <v>46</v>
      </c>
      <c r="AB321" s="4" t="s">
        <v>47</v>
      </c>
      <c r="AC321" s="4" t="s">
        <v>57</v>
      </c>
      <c r="AD321" s="4" t="s">
        <v>58</v>
      </c>
      <c r="AE321" s="4" t="s">
        <v>48</v>
      </c>
      <c r="AF321" s="4" t="s">
        <v>41</v>
      </c>
      <c r="AG321" s="4" t="s">
        <v>670</v>
      </c>
    </row>
    <row r="322" spans="1:33" ht="16.5" customHeight="1" x14ac:dyDescent="0.2">
      <c r="A322" s="2" t="s">
        <v>31</v>
      </c>
      <c r="B322" s="19" t="s">
        <v>50</v>
      </c>
      <c r="C322" s="19"/>
      <c r="D322" s="19"/>
      <c r="E322" s="20" t="s">
        <v>33</v>
      </c>
      <c r="F322" s="20"/>
      <c r="G322" s="21" t="s">
        <v>664</v>
      </c>
      <c r="H322" s="21"/>
      <c r="I322" s="21"/>
      <c r="J322" s="3" t="s">
        <v>35</v>
      </c>
      <c r="K322" s="4" t="s">
        <v>120</v>
      </c>
      <c r="L322" s="4" t="s">
        <v>37</v>
      </c>
      <c r="N322" s="21" t="s">
        <v>848</v>
      </c>
      <c r="O322" s="21"/>
      <c r="P322" s="21" t="s">
        <v>849</v>
      </c>
      <c r="Q322" s="21"/>
      <c r="R322" s="21"/>
      <c r="S322" s="3" t="s">
        <v>40</v>
      </c>
      <c r="T322" s="21" t="s">
        <v>41</v>
      </c>
      <c r="U322" s="21"/>
      <c r="V322" s="4" t="s">
        <v>42</v>
      </c>
      <c r="W322" s="4" t="s">
        <v>325</v>
      </c>
      <c r="X322" s="4" t="s">
        <v>319</v>
      </c>
      <c r="Y322" s="21" t="s">
        <v>65</v>
      </c>
      <c r="Z322" s="21"/>
      <c r="AA322" s="4" t="s">
        <v>46</v>
      </c>
      <c r="AB322" s="4" t="s">
        <v>47</v>
      </c>
      <c r="AC322" s="4" t="s">
        <v>57</v>
      </c>
      <c r="AD322" s="4" t="s">
        <v>58</v>
      </c>
      <c r="AE322" s="4" t="s">
        <v>48</v>
      </c>
      <c r="AF322" s="4" t="s">
        <v>41</v>
      </c>
      <c r="AG322" s="4" t="s">
        <v>670</v>
      </c>
    </row>
    <row r="323" spans="1:33" ht="16.5" customHeight="1" x14ac:dyDescent="0.2">
      <c r="A323" s="2" t="s">
        <v>31</v>
      </c>
      <c r="B323" s="19" t="s">
        <v>50</v>
      </c>
      <c r="C323" s="19"/>
      <c r="D323" s="19"/>
      <c r="E323" s="20" t="s">
        <v>33</v>
      </c>
      <c r="F323" s="20"/>
      <c r="G323" s="21" t="s">
        <v>664</v>
      </c>
      <c r="H323" s="21"/>
      <c r="I323" s="21"/>
      <c r="J323" s="3" t="s">
        <v>35</v>
      </c>
      <c r="K323" s="4" t="s">
        <v>74</v>
      </c>
      <c r="L323" s="4" t="s">
        <v>68</v>
      </c>
      <c r="N323" s="21" t="s">
        <v>850</v>
      </c>
      <c r="O323" s="21"/>
      <c r="P323" s="21" t="s">
        <v>851</v>
      </c>
      <c r="Q323" s="21"/>
      <c r="R323" s="21"/>
      <c r="S323" s="3" t="s">
        <v>40</v>
      </c>
      <c r="T323" s="21" t="s">
        <v>41</v>
      </c>
      <c r="U323" s="21"/>
      <c r="V323" s="4" t="s">
        <v>42</v>
      </c>
      <c r="W323" s="4" t="s">
        <v>325</v>
      </c>
      <c r="X323" s="4" t="s">
        <v>319</v>
      </c>
      <c r="Y323" s="21" t="s">
        <v>65</v>
      </c>
      <c r="Z323" s="21"/>
      <c r="AA323" s="4" t="s">
        <v>46</v>
      </c>
      <c r="AB323" s="4" t="s">
        <v>47</v>
      </c>
      <c r="AC323" s="4" t="s">
        <v>57</v>
      </c>
      <c r="AD323" s="4" t="s">
        <v>98</v>
      </c>
      <c r="AE323" s="4" t="s">
        <v>48</v>
      </c>
      <c r="AF323" s="4" t="s">
        <v>41</v>
      </c>
      <c r="AG323" s="4" t="s">
        <v>670</v>
      </c>
    </row>
    <row r="324" spans="1:33" ht="16.5" customHeight="1" x14ac:dyDescent="0.2">
      <c r="A324" s="2" t="s">
        <v>31</v>
      </c>
      <c r="B324" s="19" t="s">
        <v>50</v>
      </c>
      <c r="C324" s="19"/>
      <c r="D324" s="19"/>
      <c r="E324" s="20" t="s">
        <v>33</v>
      </c>
      <c r="F324" s="20"/>
      <c r="G324" s="21" t="s">
        <v>664</v>
      </c>
      <c r="H324" s="21"/>
      <c r="I324" s="21"/>
      <c r="J324" s="3" t="s">
        <v>35</v>
      </c>
      <c r="K324" s="4" t="s">
        <v>661</v>
      </c>
      <c r="L324" s="4" t="s">
        <v>37</v>
      </c>
      <c r="N324" s="21" t="s">
        <v>852</v>
      </c>
      <c r="O324" s="21"/>
      <c r="P324" s="21" t="s">
        <v>853</v>
      </c>
      <c r="Q324" s="21"/>
      <c r="R324" s="21"/>
      <c r="S324" s="3" t="s">
        <v>40</v>
      </c>
      <c r="T324" s="21" t="s">
        <v>41</v>
      </c>
      <c r="U324" s="21"/>
      <c r="V324" s="4" t="s">
        <v>42</v>
      </c>
      <c r="W324" s="4" t="s">
        <v>854</v>
      </c>
      <c r="X324" s="4" t="s">
        <v>577</v>
      </c>
      <c r="Y324" s="21" t="s">
        <v>198</v>
      </c>
      <c r="Z324" s="21"/>
      <c r="AA324" s="4" t="s">
        <v>46</v>
      </c>
      <c r="AB324" s="4" t="s">
        <v>47</v>
      </c>
      <c r="AC324" s="4" t="s">
        <v>257</v>
      </c>
      <c r="AD324" s="4" t="s">
        <v>258</v>
      </c>
      <c r="AE324" s="4" t="s">
        <v>48</v>
      </c>
      <c r="AF324" s="4" t="s">
        <v>41</v>
      </c>
      <c r="AG324" s="4" t="s">
        <v>670</v>
      </c>
    </row>
    <row r="325" spans="1:33" ht="16.5" customHeight="1" x14ac:dyDescent="0.2">
      <c r="A325" s="2" t="s">
        <v>31</v>
      </c>
      <c r="B325" s="19" t="s">
        <v>50</v>
      </c>
      <c r="C325" s="19"/>
      <c r="D325" s="19"/>
      <c r="E325" s="20" t="s">
        <v>33</v>
      </c>
      <c r="F325" s="20"/>
      <c r="G325" s="21" t="s">
        <v>664</v>
      </c>
      <c r="H325" s="21"/>
      <c r="I325" s="21"/>
      <c r="J325" s="3" t="s">
        <v>35</v>
      </c>
      <c r="K325" s="4" t="s">
        <v>152</v>
      </c>
      <c r="L325" s="4" t="s">
        <v>37</v>
      </c>
      <c r="N325" s="21" t="s">
        <v>855</v>
      </c>
      <c r="O325" s="21"/>
      <c r="P325" s="21" t="s">
        <v>856</v>
      </c>
      <c r="Q325" s="21"/>
      <c r="R325" s="21"/>
      <c r="S325" s="3" t="s">
        <v>40</v>
      </c>
      <c r="T325" s="21" t="s">
        <v>41</v>
      </c>
      <c r="U325" s="21"/>
      <c r="V325" s="4" t="s">
        <v>42</v>
      </c>
      <c r="W325" s="4" t="s">
        <v>484</v>
      </c>
      <c r="X325" s="4" t="s">
        <v>485</v>
      </c>
      <c r="Y325" s="21" t="s">
        <v>56</v>
      </c>
      <c r="Z325" s="21"/>
      <c r="AA325" s="4" t="s">
        <v>46</v>
      </c>
      <c r="AB325" s="4" t="s">
        <v>47</v>
      </c>
      <c r="AC325" s="4" t="s">
        <v>139</v>
      </c>
      <c r="AD325" s="4" t="s">
        <v>140</v>
      </c>
      <c r="AE325" s="4" t="s">
        <v>48</v>
      </c>
      <c r="AF325" s="4" t="s">
        <v>41</v>
      </c>
      <c r="AG325" s="4" t="s">
        <v>670</v>
      </c>
    </row>
    <row r="326" spans="1:33" ht="16.5" customHeight="1" x14ac:dyDescent="0.2">
      <c r="A326" s="2" t="s">
        <v>31</v>
      </c>
      <c r="B326" s="19" t="s">
        <v>50</v>
      </c>
      <c r="C326" s="19"/>
      <c r="D326" s="19"/>
      <c r="E326" s="20" t="s">
        <v>33</v>
      </c>
      <c r="F326" s="20"/>
      <c r="G326" s="21" t="s">
        <v>664</v>
      </c>
      <c r="H326" s="21"/>
      <c r="I326" s="21"/>
      <c r="J326" s="3" t="s">
        <v>35</v>
      </c>
      <c r="K326" s="4" t="s">
        <v>74</v>
      </c>
      <c r="L326" s="4" t="s">
        <v>37</v>
      </c>
      <c r="N326" s="21" t="s">
        <v>857</v>
      </c>
      <c r="O326" s="21"/>
      <c r="P326" s="21" t="s">
        <v>858</v>
      </c>
      <c r="Q326" s="21"/>
      <c r="R326" s="21"/>
      <c r="S326" s="3" t="s">
        <v>40</v>
      </c>
      <c r="T326" s="21" t="s">
        <v>41</v>
      </c>
      <c r="U326" s="21"/>
      <c r="V326" s="4" t="s">
        <v>42</v>
      </c>
      <c r="W326" s="4" t="s">
        <v>149</v>
      </c>
      <c r="X326" s="4" t="s">
        <v>150</v>
      </c>
      <c r="Y326" s="21" t="s">
        <v>65</v>
      </c>
      <c r="Z326" s="21"/>
      <c r="AA326" s="4" t="s">
        <v>46</v>
      </c>
      <c r="AB326" s="4" t="s">
        <v>47</v>
      </c>
      <c r="AC326" s="4" t="s">
        <v>57</v>
      </c>
      <c r="AD326" s="4" t="s">
        <v>58</v>
      </c>
      <c r="AE326" s="4" t="s">
        <v>48</v>
      </c>
      <c r="AF326" s="4" t="s">
        <v>41</v>
      </c>
      <c r="AG326" s="4" t="s">
        <v>670</v>
      </c>
    </row>
    <row r="327" spans="1:33" ht="16.5" customHeight="1" x14ac:dyDescent="0.2">
      <c r="A327" s="2" t="s">
        <v>31</v>
      </c>
      <c r="B327" s="19" t="s">
        <v>50</v>
      </c>
      <c r="C327" s="19"/>
      <c r="D327" s="19"/>
      <c r="E327" s="20" t="s">
        <v>33</v>
      </c>
      <c r="F327" s="20"/>
      <c r="G327" s="21" t="s">
        <v>664</v>
      </c>
      <c r="H327" s="21"/>
      <c r="I327" s="21"/>
      <c r="J327" s="3" t="s">
        <v>35</v>
      </c>
      <c r="K327" s="4" t="s">
        <v>146</v>
      </c>
      <c r="L327" s="4" t="s">
        <v>37</v>
      </c>
      <c r="N327" s="21" t="s">
        <v>859</v>
      </c>
      <c r="O327" s="21"/>
      <c r="P327" s="21" t="s">
        <v>860</v>
      </c>
      <c r="Q327" s="21"/>
      <c r="R327" s="21"/>
      <c r="S327" s="3" t="s">
        <v>40</v>
      </c>
      <c r="T327" s="21" t="s">
        <v>41</v>
      </c>
      <c r="U327" s="21"/>
      <c r="V327" s="4" t="s">
        <v>42</v>
      </c>
      <c r="W327" s="4" t="s">
        <v>149</v>
      </c>
      <c r="X327" s="4" t="s">
        <v>150</v>
      </c>
      <c r="Y327" s="21" t="s">
        <v>138</v>
      </c>
      <c r="Z327" s="21"/>
      <c r="AA327" s="4" t="s">
        <v>46</v>
      </c>
      <c r="AB327" s="4" t="s">
        <v>47</v>
      </c>
      <c r="AC327" s="4" t="s">
        <v>139</v>
      </c>
      <c r="AD327" s="4" t="s">
        <v>140</v>
      </c>
      <c r="AE327" s="4" t="s">
        <v>48</v>
      </c>
      <c r="AF327" s="4" t="s">
        <v>41</v>
      </c>
      <c r="AG327" s="4" t="s">
        <v>670</v>
      </c>
    </row>
    <row r="328" spans="1:33" ht="16.5" customHeight="1" x14ac:dyDescent="0.2">
      <c r="A328" s="2" t="s">
        <v>31</v>
      </c>
      <c r="B328" s="19" t="s">
        <v>50</v>
      </c>
      <c r="C328" s="19"/>
      <c r="D328" s="19"/>
      <c r="E328" s="20" t="s">
        <v>33</v>
      </c>
      <c r="F328" s="20"/>
      <c r="G328" s="21" t="s">
        <v>664</v>
      </c>
      <c r="H328" s="21"/>
      <c r="I328" s="21"/>
      <c r="J328" s="3" t="s">
        <v>35</v>
      </c>
      <c r="K328" s="4" t="s">
        <v>74</v>
      </c>
      <c r="L328" s="4" t="s">
        <v>37</v>
      </c>
      <c r="N328" s="21" t="s">
        <v>861</v>
      </c>
      <c r="O328" s="21"/>
      <c r="P328" s="21" t="s">
        <v>862</v>
      </c>
      <c r="Q328" s="21"/>
      <c r="R328" s="21"/>
      <c r="S328" s="3" t="s">
        <v>40</v>
      </c>
      <c r="T328" s="21" t="s">
        <v>41</v>
      </c>
      <c r="U328" s="21"/>
      <c r="V328" s="4" t="s">
        <v>42</v>
      </c>
      <c r="W328" s="4" t="s">
        <v>863</v>
      </c>
      <c r="X328" s="4" t="s">
        <v>864</v>
      </c>
      <c r="Y328" s="21" t="s">
        <v>65</v>
      </c>
      <c r="Z328" s="21"/>
      <c r="AA328" s="4" t="s">
        <v>46</v>
      </c>
      <c r="AB328" s="4" t="s">
        <v>47</v>
      </c>
      <c r="AC328" s="4" t="s">
        <v>57</v>
      </c>
      <c r="AD328" s="4" t="s">
        <v>58</v>
      </c>
      <c r="AE328" s="4" t="s">
        <v>48</v>
      </c>
      <c r="AF328" s="4" t="s">
        <v>41</v>
      </c>
      <c r="AG328" s="4" t="s">
        <v>670</v>
      </c>
    </row>
    <row r="329" spans="1:33" ht="0.75" customHeight="1" x14ac:dyDescent="0.2"/>
    <row r="330" spans="1:33" ht="12" customHeight="1" x14ac:dyDescent="0.2"/>
    <row r="331" spans="1:33" ht="16.5" customHeight="1" x14ac:dyDescent="0.2">
      <c r="A331" s="2" t="s">
        <v>31</v>
      </c>
      <c r="B331" s="19" t="s">
        <v>50</v>
      </c>
      <c r="C331" s="19"/>
      <c r="D331" s="19"/>
      <c r="E331" s="20" t="s">
        <v>33</v>
      </c>
      <c r="F331" s="20"/>
      <c r="G331" s="21" t="s">
        <v>664</v>
      </c>
      <c r="H331" s="21"/>
      <c r="I331" s="21"/>
      <c r="J331" s="3" t="s">
        <v>35</v>
      </c>
      <c r="K331" s="4" t="s">
        <v>152</v>
      </c>
      <c r="L331" s="4" t="s">
        <v>278</v>
      </c>
      <c r="N331" s="21" t="s">
        <v>865</v>
      </c>
      <c r="O331" s="21"/>
      <c r="P331" s="21" t="s">
        <v>866</v>
      </c>
      <c r="Q331" s="21"/>
      <c r="R331" s="21"/>
      <c r="S331" s="3" t="s">
        <v>40</v>
      </c>
      <c r="T331" s="21" t="s">
        <v>41</v>
      </c>
      <c r="U331" s="21"/>
      <c r="V331" s="4" t="s">
        <v>42</v>
      </c>
      <c r="W331" s="4" t="s">
        <v>867</v>
      </c>
      <c r="X331" s="4" t="s">
        <v>864</v>
      </c>
      <c r="Y331" s="21" t="s">
        <v>56</v>
      </c>
      <c r="Z331" s="21"/>
      <c r="AA331" s="4" t="s">
        <v>46</v>
      </c>
      <c r="AB331" s="4" t="s">
        <v>47</v>
      </c>
      <c r="AC331" s="4" t="s">
        <v>139</v>
      </c>
      <c r="AD331" s="4" t="s">
        <v>69</v>
      </c>
      <c r="AE331" s="4" t="s">
        <v>48</v>
      </c>
      <c r="AF331" s="4" t="s">
        <v>41</v>
      </c>
      <c r="AG331" s="4" t="s">
        <v>670</v>
      </c>
    </row>
    <row r="332" spans="1:33" ht="16.5" customHeight="1" x14ac:dyDescent="0.2">
      <c r="A332" s="2" t="s">
        <v>31</v>
      </c>
      <c r="B332" s="19" t="s">
        <v>50</v>
      </c>
      <c r="C332" s="19"/>
      <c r="D332" s="19"/>
      <c r="E332" s="20" t="s">
        <v>33</v>
      </c>
      <c r="F332" s="20"/>
      <c r="G332" s="21" t="s">
        <v>664</v>
      </c>
      <c r="H332" s="21"/>
      <c r="I332" s="21"/>
      <c r="J332" s="3" t="s">
        <v>35</v>
      </c>
      <c r="K332" s="4" t="s">
        <v>661</v>
      </c>
      <c r="L332" s="4" t="s">
        <v>37</v>
      </c>
      <c r="N332" s="21" t="s">
        <v>868</v>
      </c>
      <c r="O332" s="21"/>
      <c r="P332" s="21" t="s">
        <v>869</v>
      </c>
      <c r="Q332" s="21"/>
      <c r="R332" s="21"/>
      <c r="S332" s="3" t="s">
        <v>40</v>
      </c>
      <c r="T332" s="21" t="s">
        <v>41</v>
      </c>
      <c r="U332" s="21"/>
      <c r="V332" s="4" t="s">
        <v>42</v>
      </c>
      <c r="W332" s="4" t="s">
        <v>870</v>
      </c>
      <c r="X332" s="4" t="s">
        <v>150</v>
      </c>
      <c r="Y332" s="21" t="s">
        <v>198</v>
      </c>
      <c r="Z332" s="21"/>
      <c r="AA332" s="4" t="s">
        <v>46</v>
      </c>
      <c r="AB332" s="4" t="s">
        <v>47</v>
      </c>
      <c r="AC332" s="4" t="s">
        <v>257</v>
      </c>
      <c r="AD332" s="4" t="s">
        <v>258</v>
      </c>
      <c r="AE332" s="4" t="s">
        <v>48</v>
      </c>
      <c r="AF332" s="4" t="s">
        <v>41</v>
      </c>
      <c r="AG332" s="4" t="s">
        <v>670</v>
      </c>
    </row>
    <row r="333" spans="1:33" ht="16.5" customHeight="1" x14ac:dyDescent="0.2">
      <c r="A333" s="2" t="s">
        <v>31</v>
      </c>
      <c r="B333" s="19" t="s">
        <v>50</v>
      </c>
      <c r="C333" s="19"/>
      <c r="D333" s="19"/>
      <c r="E333" s="20" t="s">
        <v>33</v>
      </c>
      <c r="F333" s="20"/>
      <c r="G333" s="21" t="s">
        <v>664</v>
      </c>
      <c r="H333" s="21"/>
      <c r="I333" s="21"/>
      <c r="J333" s="3" t="s">
        <v>35</v>
      </c>
      <c r="K333" s="4" t="s">
        <v>152</v>
      </c>
      <c r="L333" s="4" t="s">
        <v>37</v>
      </c>
      <c r="N333" s="21" t="s">
        <v>871</v>
      </c>
      <c r="O333" s="21"/>
      <c r="P333" s="21" t="s">
        <v>872</v>
      </c>
      <c r="Q333" s="21"/>
      <c r="R333" s="21"/>
      <c r="S333" s="3" t="s">
        <v>40</v>
      </c>
      <c r="T333" s="21" t="s">
        <v>41</v>
      </c>
      <c r="U333" s="21"/>
      <c r="V333" s="4" t="s">
        <v>42</v>
      </c>
      <c r="W333" s="4" t="s">
        <v>234</v>
      </c>
      <c r="X333" s="4" t="s">
        <v>235</v>
      </c>
      <c r="Y333" s="21" t="s">
        <v>56</v>
      </c>
      <c r="Z333" s="21"/>
      <c r="AA333" s="4" t="s">
        <v>46</v>
      </c>
      <c r="AB333" s="4" t="s">
        <v>47</v>
      </c>
      <c r="AC333" s="4" t="s">
        <v>139</v>
      </c>
      <c r="AD333" s="4" t="s">
        <v>140</v>
      </c>
      <c r="AE333" s="4" t="s">
        <v>48</v>
      </c>
      <c r="AF333" s="4" t="s">
        <v>41</v>
      </c>
      <c r="AG333" s="4" t="s">
        <v>670</v>
      </c>
    </row>
    <row r="334" spans="1:33" ht="16.5" customHeight="1" x14ac:dyDescent="0.2">
      <c r="A334" s="2" t="s">
        <v>31</v>
      </c>
      <c r="B334" s="19" t="s">
        <v>50</v>
      </c>
      <c r="C334" s="19"/>
      <c r="D334" s="19"/>
      <c r="E334" s="20" t="s">
        <v>33</v>
      </c>
      <c r="F334" s="20"/>
      <c r="G334" s="21" t="s">
        <v>664</v>
      </c>
      <c r="H334" s="21"/>
      <c r="I334" s="21"/>
      <c r="J334" s="3" t="s">
        <v>35</v>
      </c>
      <c r="K334" s="4" t="s">
        <v>152</v>
      </c>
      <c r="L334" s="4" t="s">
        <v>37</v>
      </c>
      <c r="N334" s="21" t="s">
        <v>873</v>
      </c>
      <c r="O334" s="21"/>
      <c r="P334" s="21" t="s">
        <v>874</v>
      </c>
      <c r="Q334" s="21"/>
      <c r="R334" s="21"/>
      <c r="S334" s="3" t="s">
        <v>40</v>
      </c>
      <c r="T334" s="21" t="s">
        <v>41</v>
      </c>
      <c r="U334" s="21"/>
      <c r="V334" s="4" t="s">
        <v>42</v>
      </c>
      <c r="W334" s="4" t="s">
        <v>234</v>
      </c>
      <c r="X334" s="4" t="s">
        <v>235</v>
      </c>
      <c r="Y334" s="21" t="s">
        <v>56</v>
      </c>
      <c r="Z334" s="21"/>
      <c r="AA334" s="4" t="s">
        <v>46</v>
      </c>
      <c r="AB334" s="4" t="s">
        <v>47</v>
      </c>
      <c r="AC334" s="4" t="s">
        <v>139</v>
      </c>
      <c r="AD334" s="4" t="s">
        <v>140</v>
      </c>
      <c r="AE334" s="4" t="s">
        <v>48</v>
      </c>
      <c r="AF334" s="4" t="s">
        <v>41</v>
      </c>
      <c r="AG334" s="4" t="s">
        <v>670</v>
      </c>
    </row>
    <row r="335" spans="1:33" ht="16.5" customHeight="1" x14ac:dyDescent="0.2">
      <c r="A335" s="2" t="s">
        <v>31</v>
      </c>
      <c r="B335" s="19" t="s">
        <v>50</v>
      </c>
      <c r="C335" s="19"/>
      <c r="D335" s="19"/>
      <c r="E335" s="20" t="s">
        <v>33</v>
      </c>
      <c r="F335" s="20"/>
      <c r="G335" s="21" t="s">
        <v>664</v>
      </c>
      <c r="H335" s="21"/>
      <c r="I335" s="21"/>
      <c r="J335" s="3" t="s">
        <v>35</v>
      </c>
      <c r="K335" s="4" t="s">
        <v>152</v>
      </c>
      <c r="L335" s="4" t="s">
        <v>68</v>
      </c>
      <c r="N335" s="21" t="s">
        <v>875</v>
      </c>
      <c r="O335" s="21"/>
      <c r="P335" s="21" t="s">
        <v>876</v>
      </c>
      <c r="Q335" s="21"/>
      <c r="R335" s="21"/>
      <c r="S335" s="3" t="s">
        <v>40</v>
      </c>
      <c r="T335" s="21" t="s">
        <v>41</v>
      </c>
      <c r="U335" s="21"/>
      <c r="V335" s="4" t="s">
        <v>59</v>
      </c>
      <c r="W335" s="4" t="s">
        <v>234</v>
      </c>
      <c r="X335" s="4" t="s">
        <v>339</v>
      </c>
      <c r="Y335" s="21" t="s">
        <v>56</v>
      </c>
      <c r="Z335" s="21"/>
      <c r="AA335" s="4" t="s">
        <v>46</v>
      </c>
      <c r="AB335" s="4" t="s">
        <v>47</v>
      </c>
      <c r="AC335" s="4" t="s">
        <v>139</v>
      </c>
      <c r="AD335" s="4" t="s">
        <v>151</v>
      </c>
      <c r="AE335" s="4" t="s">
        <v>48</v>
      </c>
      <c r="AF335" s="4" t="s">
        <v>41</v>
      </c>
      <c r="AG335" s="4" t="s">
        <v>670</v>
      </c>
    </row>
    <row r="336" spans="1:33" ht="16.5" customHeight="1" x14ac:dyDescent="0.2">
      <c r="A336" s="2" t="s">
        <v>31</v>
      </c>
      <c r="B336" s="19" t="s">
        <v>50</v>
      </c>
      <c r="C336" s="19"/>
      <c r="D336" s="19"/>
      <c r="E336" s="20" t="s">
        <v>33</v>
      </c>
      <c r="F336" s="20"/>
      <c r="G336" s="21" t="s">
        <v>664</v>
      </c>
      <c r="H336" s="21"/>
      <c r="I336" s="21"/>
      <c r="J336" s="3" t="s">
        <v>35</v>
      </c>
      <c r="K336" s="4" t="s">
        <v>82</v>
      </c>
      <c r="L336" s="4" t="s">
        <v>37</v>
      </c>
      <c r="N336" s="21" t="s">
        <v>877</v>
      </c>
      <c r="O336" s="21"/>
      <c r="P336" s="21" t="s">
        <v>878</v>
      </c>
      <c r="Q336" s="21"/>
      <c r="R336" s="21"/>
      <c r="S336" s="3" t="s">
        <v>40</v>
      </c>
      <c r="T336" s="21" t="s">
        <v>41</v>
      </c>
      <c r="U336" s="21"/>
      <c r="V336" s="4" t="s">
        <v>42</v>
      </c>
      <c r="W336" s="4" t="s">
        <v>350</v>
      </c>
      <c r="X336" s="4" t="s">
        <v>339</v>
      </c>
      <c r="Y336" s="21" t="s">
        <v>56</v>
      </c>
      <c r="Z336" s="21"/>
      <c r="AA336" s="4" t="s">
        <v>46</v>
      </c>
      <c r="AB336" s="4" t="s">
        <v>47</v>
      </c>
      <c r="AC336" s="4" t="s">
        <v>139</v>
      </c>
      <c r="AD336" s="4" t="s">
        <v>140</v>
      </c>
      <c r="AE336" s="4" t="s">
        <v>48</v>
      </c>
      <c r="AF336" s="4" t="s">
        <v>41</v>
      </c>
      <c r="AG336" s="4" t="s">
        <v>670</v>
      </c>
    </row>
    <row r="337" spans="1:33" ht="16.5" customHeight="1" x14ac:dyDescent="0.2">
      <c r="A337" s="2" t="s">
        <v>31</v>
      </c>
      <c r="B337" s="19" t="s">
        <v>50</v>
      </c>
      <c r="C337" s="19"/>
      <c r="D337" s="19"/>
      <c r="E337" s="20" t="s">
        <v>33</v>
      </c>
      <c r="F337" s="20"/>
      <c r="G337" s="21" t="s">
        <v>664</v>
      </c>
      <c r="H337" s="21"/>
      <c r="I337" s="21"/>
      <c r="J337" s="3" t="s">
        <v>35</v>
      </c>
      <c r="K337" s="4" t="s">
        <v>87</v>
      </c>
      <c r="L337" s="4" t="s">
        <v>37</v>
      </c>
      <c r="N337" s="21" t="s">
        <v>879</v>
      </c>
      <c r="O337" s="21"/>
      <c r="P337" s="21" t="s">
        <v>880</v>
      </c>
      <c r="Q337" s="21"/>
      <c r="R337" s="21"/>
      <c r="S337" s="3" t="s">
        <v>40</v>
      </c>
      <c r="T337" s="21" t="s">
        <v>41</v>
      </c>
      <c r="U337" s="21"/>
      <c r="V337" s="4" t="s">
        <v>42</v>
      </c>
      <c r="W337" s="4" t="s">
        <v>350</v>
      </c>
      <c r="X337" s="4" t="s">
        <v>339</v>
      </c>
      <c r="Y337" s="21" t="s">
        <v>56</v>
      </c>
      <c r="Z337" s="21"/>
      <c r="AA337" s="4" t="s">
        <v>46</v>
      </c>
      <c r="AB337" s="4" t="s">
        <v>47</v>
      </c>
      <c r="AC337" s="4" t="s">
        <v>139</v>
      </c>
      <c r="AD337" s="4" t="s">
        <v>140</v>
      </c>
      <c r="AE337" s="4" t="s">
        <v>48</v>
      </c>
      <c r="AF337" s="4" t="s">
        <v>41</v>
      </c>
      <c r="AG337" s="4" t="s">
        <v>670</v>
      </c>
    </row>
    <row r="338" spans="1:33" ht="16.5" customHeight="1" x14ac:dyDescent="0.2">
      <c r="A338" s="2" t="s">
        <v>31</v>
      </c>
      <c r="B338" s="19" t="s">
        <v>50</v>
      </c>
      <c r="C338" s="19"/>
      <c r="D338" s="19"/>
      <c r="E338" s="20" t="s">
        <v>33</v>
      </c>
      <c r="F338" s="20"/>
      <c r="G338" s="21" t="s">
        <v>664</v>
      </c>
      <c r="H338" s="21"/>
      <c r="I338" s="21"/>
      <c r="J338" s="3" t="s">
        <v>35</v>
      </c>
      <c r="K338" s="4" t="s">
        <v>61</v>
      </c>
      <c r="L338" s="4" t="s">
        <v>37</v>
      </c>
      <c r="N338" s="21" t="s">
        <v>881</v>
      </c>
      <c r="O338" s="21"/>
      <c r="P338" s="21" t="s">
        <v>882</v>
      </c>
      <c r="Q338" s="21"/>
      <c r="R338" s="21"/>
      <c r="S338" s="3" t="s">
        <v>40</v>
      </c>
      <c r="T338" s="21" t="s">
        <v>41</v>
      </c>
      <c r="U338" s="21"/>
      <c r="V338" s="4" t="s">
        <v>42</v>
      </c>
      <c r="W338" s="4" t="s">
        <v>355</v>
      </c>
      <c r="X338" s="4" t="s">
        <v>356</v>
      </c>
      <c r="Y338" s="21" t="s">
        <v>65</v>
      </c>
      <c r="Z338" s="21"/>
      <c r="AA338" s="4" t="s">
        <v>46</v>
      </c>
      <c r="AB338" s="4" t="s">
        <v>47</v>
      </c>
      <c r="AC338" s="4" t="s">
        <v>57</v>
      </c>
      <c r="AD338" s="4" t="s">
        <v>58</v>
      </c>
      <c r="AE338" s="4" t="s">
        <v>48</v>
      </c>
      <c r="AF338" s="4" t="s">
        <v>41</v>
      </c>
      <c r="AG338" s="4" t="s">
        <v>670</v>
      </c>
    </row>
    <row r="339" spans="1:33" ht="16.5" customHeight="1" x14ac:dyDescent="0.2">
      <c r="A339" s="2" t="s">
        <v>31</v>
      </c>
      <c r="B339" s="19" t="s">
        <v>50</v>
      </c>
      <c r="C339" s="19"/>
      <c r="D339" s="19"/>
      <c r="E339" s="20" t="s">
        <v>33</v>
      </c>
      <c r="F339" s="20"/>
      <c r="G339" s="21" t="s">
        <v>664</v>
      </c>
      <c r="H339" s="21"/>
      <c r="I339" s="21"/>
      <c r="J339" s="3" t="s">
        <v>35</v>
      </c>
      <c r="K339" s="4" t="s">
        <v>99</v>
      </c>
      <c r="L339" s="4" t="s">
        <v>37</v>
      </c>
      <c r="N339" s="21" t="s">
        <v>883</v>
      </c>
      <c r="O339" s="21"/>
      <c r="P339" s="21" t="s">
        <v>884</v>
      </c>
      <c r="Q339" s="21"/>
      <c r="R339" s="21"/>
      <c r="S339" s="3" t="s">
        <v>40</v>
      </c>
      <c r="T339" s="21" t="s">
        <v>41</v>
      </c>
      <c r="U339" s="21"/>
      <c r="V339" s="4" t="s">
        <v>42</v>
      </c>
      <c r="W339" s="4" t="s">
        <v>355</v>
      </c>
      <c r="X339" s="4" t="s">
        <v>356</v>
      </c>
      <c r="Y339" s="21" t="s">
        <v>56</v>
      </c>
      <c r="Z339" s="21"/>
      <c r="AA339" s="4" t="s">
        <v>46</v>
      </c>
      <c r="AB339" s="4" t="s">
        <v>47</v>
      </c>
      <c r="AC339" s="4" t="s">
        <v>139</v>
      </c>
      <c r="AD339" s="4" t="s">
        <v>140</v>
      </c>
      <c r="AE339" s="4" t="s">
        <v>48</v>
      </c>
      <c r="AF339" s="4" t="s">
        <v>41</v>
      </c>
      <c r="AG339" s="4" t="s">
        <v>670</v>
      </c>
    </row>
    <row r="340" spans="1:33" ht="16.5" customHeight="1" x14ac:dyDescent="0.2">
      <c r="A340" s="2" t="s">
        <v>31</v>
      </c>
      <c r="B340" s="19" t="s">
        <v>50</v>
      </c>
      <c r="C340" s="19"/>
      <c r="D340" s="19"/>
      <c r="E340" s="20" t="s">
        <v>33</v>
      </c>
      <c r="F340" s="20"/>
      <c r="G340" s="21" t="s">
        <v>664</v>
      </c>
      <c r="H340" s="21"/>
      <c r="I340" s="21"/>
      <c r="J340" s="3" t="s">
        <v>35</v>
      </c>
      <c r="K340" s="4" t="s">
        <v>146</v>
      </c>
      <c r="L340" s="4" t="s">
        <v>37</v>
      </c>
      <c r="N340" s="21" t="s">
        <v>885</v>
      </c>
      <c r="O340" s="21"/>
      <c r="P340" s="21" t="s">
        <v>886</v>
      </c>
      <c r="Q340" s="21"/>
      <c r="R340" s="21"/>
      <c r="S340" s="3" t="s">
        <v>40</v>
      </c>
      <c r="T340" s="21" t="s">
        <v>41</v>
      </c>
      <c r="U340" s="21"/>
      <c r="V340" s="4" t="s">
        <v>42</v>
      </c>
      <c r="W340" s="4" t="s">
        <v>299</v>
      </c>
      <c r="X340" s="4" t="s">
        <v>300</v>
      </c>
      <c r="Y340" s="21" t="s">
        <v>138</v>
      </c>
      <c r="Z340" s="21"/>
      <c r="AA340" s="4" t="s">
        <v>46</v>
      </c>
      <c r="AB340" s="4" t="s">
        <v>47</v>
      </c>
      <c r="AC340" s="4" t="s">
        <v>57</v>
      </c>
      <c r="AD340" s="4" t="s">
        <v>58</v>
      </c>
      <c r="AE340" s="4" t="s">
        <v>48</v>
      </c>
      <c r="AF340" s="4" t="s">
        <v>41</v>
      </c>
      <c r="AG340" s="4" t="s">
        <v>670</v>
      </c>
    </row>
    <row r="341" spans="1:33" ht="16.5" customHeight="1" x14ac:dyDescent="0.2">
      <c r="A341" s="2" t="s">
        <v>31</v>
      </c>
      <c r="B341" s="19" t="s">
        <v>50</v>
      </c>
      <c r="C341" s="19"/>
      <c r="D341" s="19"/>
      <c r="E341" s="20" t="s">
        <v>33</v>
      </c>
      <c r="F341" s="20"/>
      <c r="G341" s="21" t="s">
        <v>664</v>
      </c>
      <c r="H341" s="21"/>
      <c r="I341" s="21"/>
      <c r="J341" s="3" t="s">
        <v>35</v>
      </c>
      <c r="K341" s="4" t="s">
        <v>146</v>
      </c>
      <c r="L341" s="4" t="s">
        <v>37</v>
      </c>
      <c r="N341" s="21" t="s">
        <v>887</v>
      </c>
      <c r="O341" s="21"/>
      <c r="P341" s="21" t="s">
        <v>888</v>
      </c>
      <c r="Q341" s="21"/>
      <c r="R341" s="21"/>
      <c r="S341" s="3" t="s">
        <v>40</v>
      </c>
      <c r="T341" s="21" t="s">
        <v>41</v>
      </c>
      <c r="U341" s="21"/>
      <c r="V341" s="4" t="s">
        <v>42</v>
      </c>
      <c r="W341" s="4" t="s">
        <v>94</v>
      </c>
      <c r="X341" s="4" t="s">
        <v>95</v>
      </c>
      <c r="Y341" s="21" t="s">
        <v>138</v>
      </c>
      <c r="Z341" s="21"/>
      <c r="AA341" s="4" t="s">
        <v>46</v>
      </c>
      <c r="AB341" s="4" t="s">
        <v>47</v>
      </c>
      <c r="AC341" s="4" t="s">
        <v>57</v>
      </c>
      <c r="AD341" s="4" t="s">
        <v>58</v>
      </c>
      <c r="AE341" s="4" t="s">
        <v>48</v>
      </c>
      <c r="AF341" s="4" t="s">
        <v>41</v>
      </c>
      <c r="AG341" s="4" t="s">
        <v>670</v>
      </c>
    </row>
    <row r="342" spans="1:33" ht="16.5" customHeight="1" x14ac:dyDescent="0.2">
      <c r="A342" s="2" t="s">
        <v>31</v>
      </c>
      <c r="B342" s="19" t="s">
        <v>50</v>
      </c>
      <c r="C342" s="19"/>
      <c r="D342" s="19"/>
      <c r="E342" s="20" t="s">
        <v>33</v>
      </c>
      <c r="F342" s="20"/>
      <c r="G342" s="21" t="s">
        <v>664</v>
      </c>
      <c r="H342" s="21"/>
      <c r="I342" s="21"/>
      <c r="J342" s="3" t="s">
        <v>35</v>
      </c>
      <c r="K342" s="4" t="s">
        <v>661</v>
      </c>
      <c r="L342" s="4" t="s">
        <v>37</v>
      </c>
      <c r="N342" s="21" t="s">
        <v>889</v>
      </c>
      <c r="O342" s="21"/>
      <c r="P342" s="21" t="s">
        <v>890</v>
      </c>
      <c r="Q342" s="21"/>
      <c r="R342" s="21"/>
      <c r="S342" s="3" t="s">
        <v>40</v>
      </c>
      <c r="T342" s="21" t="s">
        <v>41</v>
      </c>
      <c r="U342" s="21"/>
      <c r="V342" s="4" t="s">
        <v>42</v>
      </c>
      <c r="W342" s="4" t="s">
        <v>54</v>
      </c>
      <c r="X342" s="4" t="s">
        <v>55</v>
      </c>
      <c r="Y342" s="21" t="s">
        <v>198</v>
      </c>
      <c r="Z342" s="21"/>
      <c r="AA342" s="4" t="s">
        <v>46</v>
      </c>
      <c r="AB342" s="4" t="s">
        <v>47</v>
      </c>
      <c r="AC342" s="4" t="s">
        <v>139</v>
      </c>
      <c r="AD342" s="4" t="s">
        <v>140</v>
      </c>
      <c r="AE342" s="4" t="s">
        <v>48</v>
      </c>
      <c r="AF342" s="4" t="s">
        <v>41</v>
      </c>
      <c r="AG342" s="4" t="s">
        <v>670</v>
      </c>
    </row>
    <row r="343" spans="1:33" ht="16.5" customHeight="1" x14ac:dyDescent="0.2">
      <c r="A343" s="2" t="s">
        <v>31</v>
      </c>
      <c r="B343" s="19" t="s">
        <v>50</v>
      </c>
      <c r="C343" s="19"/>
      <c r="D343" s="19"/>
      <c r="E343" s="20" t="s">
        <v>33</v>
      </c>
      <c r="F343" s="20"/>
      <c r="G343" s="21" t="s">
        <v>664</v>
      </c>
      <c r="H343" s="21"/>
      <c r="I343" s="21"/>
      <c r="J343" s="3" t="s">
        <v>35</v>
      </c>
      <c r="K343" s="4" t="s">
        <v>247</v>
      </c>
      <c r="L343" s="4" t="s">
        <v>37</v>
      </c>
      <c r="N343" s="21" t="s">
        <v>891</v>
      </c>
      <c r="O343" s="21"/>
      <c r="P343" s="21" t="s">
        <v>892</v>
      </c>
      <c r="Q343" s="21"/>
      <c r="R343" s="21"/>
      <c r="S343" s="3" t="s">
        <v>40</v>
      </c>
      <c r="T343" s="21" t="s">
        <v>41</v>
      </c>
      <c r="U343" s="21"/>
      <c r="V343" s="4" t="s">
        <v>42</v>
      </c>
      <c r="W343" s="4" t="s">
        <v>54</v>
      </c>
      <c r="X343" s="4" t="s">
        <v>55</v>
      </c>
      <c r="Y343" s="21" t="s">
        <v>65</v>
      </c>
      <c r="Z343" s="21"/>
      <c r="AA343" s="4" t="s">
        <v>46</v>
      </c>
      <c r="AB343" s="4" t="s">
        <v>47</v>
      </c>
      <c r="AC343" s="4" t="s">
        <v>66</v>
      </c>
      <c r="AD343" s="4" t="s">
        <v>73</v>
      </c>
      <c r="AE343" s="4" t="s">
        <v>48</v>
      </c>
      <c r="AF343" s="4" t="s">
        <v>41</v>
      </c>
      <c r="AG343" s="4" t="s">
        <v>670</v>
      </c>
    </row>
    <row r="344" spans="1:33" ht="16.5" customHeight="1" x14ac:dyDescent="0.2">
      <c r="A344" s="2" t="s">
        <v>31</v>
      </c>
      <c r="B344" s="19" t="s">
        <v>50</v>
      </c>
      <c r="C344" s="19"/>
      <c r="D344" s="19"/>
      <c r="E344" s="20" t="s">
        <v>33</v>
      </c>
      <c r="F344" s="20"/>
      <c r="G344" s="21" t="s">
        <v>664</v>
      </c>
      <c r="H344" s="21"/>
      <c r="I344" s="21"/>
      <c r="J344" s="3" t="s">
        <v>35</v>
      </c>
      <c r="K344" s="4" t="s">
        <v>82</v>
      </c>
      <c r="L344" s="4" t="s">
        <v>37</v>
      </c>
      <c r="N344" s="21" t="s">
        <v>893</v>
      </c>
      <c r="O344" s="21"/>
      <c r="P344" s="21" t="s">
        <v>894</v>
      </c>
      <c r="Q344" s="21"/>
      <c r="R344" s="21"/>
      <c r="S344" s="3" t="s">
        <v>40</v>
      </c>
      <c r="T344" s="21" t="s">
        <v>41</v>
      </c>
      <c r="U344" s="21"/>
      <c r="V344" s="4" t="s">
        <v>42</v>
      </c>
      <c r="W344" s="4" t="s">
        <v>54</v>
      </c>
      <c r="X344" s="4" t="s">
        <v>55</v>
      </c>
      <c r="Y344" s="21" t="s">
        <v>56</v>
      </c>
      <c r="Z344" s="21"/>
      <c r="AA344" s="4" t="s">
        <v>46</v>
      </c>
      <c r="AB344" s="4" t="s">
        <v>47</v>
      </c>
      <c r="AC344" s="4" t="s">
        <v>57</v>
      </c>
      <c r="AD344" s="4" t="s">
        <v>58</v>
      </c>
      <c r="AE344" s="4" t="s">
        <v>48</v>
      </c>
      <c r="AF344" s="4" t="s">
        <v>41</v>
      </c>
      <c r="AG344" s="4" t="s">
        <v>670</v>
      </c>
    </row>
    <row r="345" spans="1:33" ht="16.5" customHeight="1" x14ac:dyDescent="0.2">
      <c r="A345" s="2" t="s">
        <v>31</v>
      </c>
      <c r="B345" s="19" t="s">
        <v>50</v>
      </c>
      <c r="C345" s="19"/>
      <c r="D345" s="19"/>
      <c r="E345" s="20" t="s">
        <v>33</v>
      </c>
      <c r="F345" s="20"/>
      <c r="G345" s="21" t="s">
        <v>664</v>
      </c>
      <c r="H345" s="21"/>
      <c r="I345" s="21"/>
      <c r="J345" s="3" t="s">
        <v>35</v>
      </c>
      <c r="K345" s="4" t="s">
        <v>82</v>
      </c>
      <c r="L345" s="4" t="s">
        <v>37</v>
      </c>
      <c r="N345" s="21" t="s">
        <v>893</v>
      </c>
      <c r="O345" s="21"/>
      <c r="P345" s="21" t="s">
        <v>894</v>
      </c>
      <c r="Q345" s="21"/>
      <c r="R345" s="21"/>
      <c r="S345" s="3" t="s">
        <v>40</v>
      </c>
      <c r="T345" s="21" t="s">
        <v>41</v>
      </c>
      <c r="U345" s="21"/>
      <c r="V345" s="4" t="s">
        <v>59</v>
      </c>
      <c r="W345" s="4" t="s">
        <v>54</v>
      </c>
      <c r="X345" s="4" t="s">
        <v>60</v>
      </c>
      <c r="Y345" s="21" t="s">
        <v>56</v>
      </c>
      <c r="Z345" s="21"/>
      <c r="AA345" s="4" t="s">
        <v>46</v>
      </c>
      <c r="AB345" s="4" t="s">
        <v>47</v>
      </c>
      <c r="AC345" s="4" t="s">
        <v>57</v>
      </c>
      <c r="AD345" s="4" t="s">
        <v>58</v>
      </c>
      <c r="AE345" s="4" t="s">
        <v>48</v>
      </c>
      <c r="AF345" s="4" t="s">
        <v>41</v>
      </c>
      <c r="AG345" s="4" t="s">
        <v>670</v>
      </c>
    </row>
    <row r="346" spans="1:33" ht="16.5" customHeight="1" x14ac:dyDescent="0.2">
      <c r="A346" s="2" t="s">
        <v>31</v>
      </c>
      <c r="B346" s="19" t="s">
        <v>50</v>
      </c>
      <c r="C346" s="19"/>
      <c r="D346" s="19"/>
      <c r="E346" s="20" t="s">
        <v>33</v>
      </c>
      <c r="F346" s="20"/>
      <c r="G346" s="21" t="s">
        <v>664</v>
      </c>
      <c r="H346" s="21"/>
      <c r="I346" s="21"/>
      <c r="J346" s="3" t="s">
        <v>35</v>
      </c>
      <c r="K346" s="4" t="s">
        <v>193</v>
      </c>
      <c r="L346" s="4" t="s">
        <v>37</v>
      </c>
      <c r="N346" s="21" t="s">
        <v>895</v>
      </c>
      <c r="O346" s="21"/>
      <c r="P346" s="21" t="s">
        <v>896</v>
      </c>
      <c r="Q346" s="21"/>
      <c r="R346" s="21"/>
      <c r="S346" s="3" t="s">
        <v>40</v>
      </c>
      <c r="T346" s="21" t="s">
        <v>41</v>
      </c>
      <c r="U346" s="21"/>
      <c r="V346" s="4" t="s">
        <v>42</v>
      </c>
      <c r="W346" s="4" t="s">
        <v>54</v>
      </c>
      <c r="X346" s="4" t="s">
        <v>55</v>
      </c>
      <c r="Y346" s="21" t="s">
        <v>198</v>
      </c>
      <c r="Z346" s="21"/>
      <c r="AA346" s="4" t="s">
        <v>46</v>
      </c>
      <c r="AB346" s="4" t="s">
        <v>47</v>
      </c>
      <c r="AC346" s="4" t="s">
        <v>139</v>
      </c>
      <c r="AD346" s="4" t="s">
        <v>140</v>
      </c>
      <c r="AE346" s="4" t="s">
        <v>48</v>
      </c>
      <c r="AF346" s="4" t="s">
        <v>41</v>
      </c>
      <c r="AG346" s="4" t="s">
        <v>670</v>
      </c>
    </row>
    <row r="347" spans="1:33" ht="16.5" customHeight="1" x14ac:dyDescent="0.2">
      <c r="A347" s="2" t="s">
        <v>31</v>
      </c>
      <c r="B347" s="19" t="s">
        <v>50</v>
      </c>
      <c r="C347" s="19"/>
      <c r="D347" s="19"/>
      <c r="E347" s="20" t="s">
        <v>33</v>
      </c>
      <c r="F347" s="20"/>
      <c r="G347" s="21" t="s">
        <v>664</v>
      </c>
      <c r="H347" s="21"/>
      <c r="I347" s="21"/>
      <c r="J347" s="3" t="s">
        <v>35</v>
      </c>
      <c r="K347" s="4" t="s">
        <v>146</v>
      </c>
      <c r="L347" s="4" t="s">
        <v>37</v>
      </c>
      <c r="N347" s="21" t="s">
        <v>897</v>
      </c>
      <c r="O347" s="21"/>
      <c r="P347" s="21" t="s">
        <v>898</v>
      </c>
      <c r="Q347" s="21"/>
      <c r="R347" s="21"/>
      <c r="S347" s="3" t="s">
        <v>40</v>
      </c>
      <c r="T347" s="21" t="s">
        <v>41</v>
      </c>
      <c r="U347" s="21"/>
      <c r="V347" s="4" t="s">
        <v>42</v>
      </c>
      <c r="W347" s="4" t="s">
        <v>54</v>
      </c>
      <c r="X347" s="4" t="s">
        <v>55</v>
      </c>
      <c r="Y347" s="21" t="s">
        <v>138</v>
      </c>
      <c r="Z347" s="21"/>
      <c r="AA347" s="4" t="s">
        <v>46</v>
      </c>
      <c r="AB347" s="4" t="s">
        <v>47</v>
      </c>
      <c r="AC347" s="4" t="s">
        <v>57</v>
      </c>
      <c r="AD347" s="4" t="s">
        <v>58</v>
      </c>
      <c r="AE347" s="4" t="s">
        <v>48</v>
      </c>
      <c r="AF347" s="4" t="s">
        <v>41</v>
      </c>
      <c r="AG347" s="4" t="s">
        <v>670</v>
      </c>
    </row>
    <row r="348" spans="1:33" ht="16.5" customHeight="1" x14ac:dyDescent="0.2">
      <c r="A348" s="2" t="s">
        <v>31</v>
      </c>
      <c r="B348" s="19" t="s">
        <v>50</v>
      </c>
      <c r="C348" s="19"/>
      <c r="D348" s="19"/>
      <c r="E348" s="20" t="s">
        <v>33</v>
      </c>
      <c r="F348" s="20"/>
      <c r="G348" s="21" t="s">
        <v>664</v>
      </c>
      <c r="H348" s="21"/>
      <c r="I348" s="21"/>
      <c r="J348" s="3" t="s">
        <v>35</v>
      </c>
      <c r="K348" s="4" t="s">
        <v>152</v>
      </c>
      <c r="L348" s="4" t="s">
        <v>37</v>
      </c>
      <c r="N348" s="21" t="s">
        <v>899</v>
      </c>
      <c r="O348" s="21"/>
      <c r="P348" s="21" t="s">
        <v>900</v>
      </c>
      <c r="Q348" s="21"/>
      <c r="R348" s="21"/>
      <c r="S348" s="3" t="s">
        <v>40</v>
      </c>
      <c r="T348" s="21" t="s">
        <v>41</v>
      </c>
      <c r="U348" s="21"/>
      <c r="V348" s="4" t="s">
        <v>42</v>
      </c>
      <c r="W348" s="4" t="s">
        <v>54</v>
      </c>
      <c r="X348" s="4" t="s">
        <v>55</v>
      </c>
      <c r="Y348" s="21" t="s">
        <v>56</v>
      </c>
      <c r="Z348" s="21"/>
      <c r="AA348" s="4" t="s">
        <v>46</v>
      </c>
      <c r="AB348" s="4" t="s">
        <v>47</v>
      </c>
      <c r="AC348" s="4" t="s">
        <v>57</v>
      </c>
      <c r="AD348" s="4" t="s">
        <v>58</v>
      </c>
      <c r="AE348" s="4" t="s">
        <v>48</v>
      </c>
      <c r="AF348" s="4" t="s">
        <v>41</v>
      </c>
      <c r="AG348" s="4" t="s">
        <v>670</v>
      </c>
    </row>
    <row r="349" spans="1:33" ht="16.5" customHeight="1" x14ac:dyDescent="0.2">
      <c r="A349" s="2" t="s">
        <v>31</v>
      </c>
      <c r="B349" s="19" t="s">
        <v>50</v>
      </c>
      <c r="C349" s="19"/>
      <c r="D349" s="19"/>
      <c r="E349" s="20" t="s">
        <v>33</v>
      </c>
      <c r="F349" s="20"/>
      <c r="G349" s="21" t="s">
        <v>664</v>
      </c>
      <c r="H349" s="21"/>
      <c r="I349" s="21"/>
      <c r="J349" s="3" t="s">
        <v>35</v>
      </c>
      <c r="K349" s="4" t="s">
        <v>152</v>
      </c>
      <c r="L349" s="4" t="s">
        <v>278</v>
      </c>
      <c r="N349" s="21" t="s">
        <v>901</v>
      </c>
      <c r="O349" s="21"/>
      <c r="P349" s="21" t="s">
        <v>902</v>
      </c>
      <c r="Q349" s="21"/>
      <c r="R349" s="21"/>
      <c r="S349" s="3" t="s">
        <v>40</v>
      </c>
      <c r="T349" s="21" t="s">
        <v>41</v>
      </c>
      <c r="U349" s="21"/>
      <c r="V349" s="4" t="s">
        <v>42</v>
      </c>
      <c r="W349" s="4" t="s">
        <v>54</v>
      </c>
      <c r="X349" s="4" t="s">
        <v>55</v>
      </c>
      <c r="Y349" s="21" t="s">
        <v>56</v>
      </c>
      <c r="Z349" s="21"/>
      <c r="AA349" s="4" t="s">
        <v>46</v>
      </c>
      <c r="AB349" s="4" t="s">
        <v>47</v>
      </c>
      <c r="AC349" s="4" t="s">
        <v>57</v>
      </c>
      <c r="AD349" s="4" t="s">
        <v>283</v>
      </c>
      <c r="AE349" s="4" t="s">
        <v>48</v>
      </c>
      <c r="AF349" s="4" t="s">
        <v>41</v>
      </c>
      <c r="AG349" s="4" t="s">
        <v>670</v>
      </c>
    </row>
    <row r="350" spans="1:33" ht="16.5" customHeight="1" x14ac:dyDescent="0.2">
      <c r="A350" s="2" t="s">
        <v>31</v>
      </c>
      <c r="B350" s="19" t="s">
        <v>50</v>
      </c>
      <c r="C350" s="19"/>
      <c r="D350" s="19"/>
      <c r="E350" s="20" t="s">
        <v>33</v>
      </c>
      <c r="F350" s="20"/>
      <c r="G350" s="21" t="s">
        <v>664</v>
      </c>
      <c r="H350" s="21"/>
      <c r="I350" s="21"/>
      <c r="J350" s="3" t="s">
        <v>35</v>
      </c>
      <c r="K350" s="4" t="s">
        <v>152</v>
      </c>
      <c r="L350" s="4" t="s">
        <v>37</v>
      </c>
      <c r="N350" s="21" t="s">
        <v>903</v>
      </c>
      <c r="O350" s="21"/>
      <c r="P350" s="21" t="s">
        <v>904</v>
      </c>
      <c r="Q350" s="21"/>
      <c r="R350" s="21"/>
      <c r="S350" s="3" t="s">
        <v>40</v>
      </c>
      <c r="T350" s="21" t="s">
        <v>41</v>
      </c>
      <c r="U350" s="21"/>
      <c r="V350" s="4" t="s">
        <v>42</v>
      </c>
      <c r="W350" s="4" t="s">
        <v>54</v>
      </c>
      <c r="X350" s="4" t="s">
        <v>55</v>
      </c>
      <c r="Y350" s="21" t="s">
        <v>56</v>
      </c>
      <c r="Z350" s="21"/>
      <c r="AA350" s="4" t="s">
        <v>46</v>
      </c>
      <c r="AB350" s="4" t="s">
        <v>47</v>
      </c>
      <c r="AC350" s="4" t="s">
        <v>57</v>
      </c>
      <c r="AD350" s="4" t="s">
        <v>58</v>
      </c>
      <c r="AE350" s="4" t="s">
        <v>48</v>
      </c>
      <c r="AF350" s="4" t="s">
        <v>41</v>
      </c>
      <c r="AG350" s="4" t="s">
        <v>670</v>
      </c>
    </row>
    <row r="351" spans="1:33" ht="16.5" customHeight="1" x14ac:dyDescent="0.2">
      <c r="A351" s="2" t="s">
        <v>31</v>
      </c>
      <c r="B351" s="19" t="s">
        <v>50</v>
      </c>
      <c r="C351" s="19"/>
      <c r="D351" s="19"/>
      <c r="E351" s="20" t="s">
        <v>33</v>
      </c>
      <c r="F351" s="20"/>
      <c r="G351" s="21" t="s">
        <v>664</v>
      </c>
      <c r="H351" s="21"/>
      <c r="I351" s="21"/>
      <c r="J351" s="3" t="s">
        <v>35</v>
      </c>
      <c r="K351" s="4" t="s">
        <v>51</v>
      </c>
      <c r="L351" s="4" t="s">
        <v>37</v>
      </c>
      <c r="N351" s="21" t="s">
        <v>905</v>
      </c>
      <c r="O351" s="21"/>
      <c r="P351" s="21" t="s">
        <v>906</v>
      </c>
      <c r="Q351" s="21"/>
      <c r="R351" s="21"/>
      <c r="S351" s="3" t="s">
        <v>40</v>
      </c>
      <c r="T351" s="21" t="s">
        <v>41</v>
      </c>
      <c r="U351" s="21"/>
      <c r="V351" s="4" t="s">
        <v>42</v>
      </c>
      <c r="W351" s="4" t="s">
        <v>54</v>
      </c>
      <c r="X351" s="4" t="s">
        <v>55</v>
      </c>
      <c r="Y351" s="21" t="s">
        <v>56</v>
      </c>
      <c r="Z351" s="21"/>
      <c r="AA351" s="4" t="s">
        <v>46</v>
      </c>
      <c r="AB351" s="4" t="s">
        <v>47</v>
      </c>
      <c r="AC351" s="4" t="s">
        <v>57</v>
      </c>
      <c r="AD351" s="4" t="s">
        <v>58</v>
      </c>
      <c r="AE351" s="4" t="s">
        <v>48</v>
      </c>
      <c r="AF351" s="4" t="s">
        <v>41</v>
      </c>
      <c r="AG351" s="4" t="s">
        <v>670</v>
      </c>
    </row>
    <row r="352" spans="1:33" ht="16.5" customHeight="1" x14ac:dyDescent="0.2">
      <c r="A352" s="2" t="s">
        <v>31</v>
      </c>
      <c r="B352" s="19" t="s">
        <v>50</v>
      </c>
      <c r="C352" s="19"/>
      <c r="D352" s="19"/>
      <c r="E352" s="20" t="s">
        <v>33</v>
      </c>
      <c r="F352" s="20"/>
      <c r="G352" s="21" t="s">
        <v>664</v>
      </c>
      <c r="H352" s="21"/>
      <c r="I352" s="21"/>
      <c r="J352" s="3" t="s">
        <v>35</v>
      </c>
      <c r="K352" s="4" t="s">
        <v>152</v>
      </c>
      <c r="L352" s="4" t="s">
        <v>37</v>
      </c>
      <c r="N352" s="21" t="s">
        <v>907</v>
      </c>
      <c r="O352" s="21"/>
      <c r="P352" s="21" t="s">
        <v>908</v>
      </c>
      <c r="Q352" s="21"/>
      <c r="R352" s="21"/>
      <c r="S352" s="3" t="s">
        <v>40</v>
      </c>
      <c r="T352" s="21" t="s">
        <v>41</v>
      </c>
      <c r="U352" s="21"/>
      <c r="V352" s="4" t="s">
        <v>42</v>
      </c>
      <c r="W352" s="4" t="s">
        <v>54</v>
      </c>
      <c r="X352" s="4" t="s">
        <v>55</v>
      </c>
      <c r="Y352" s="21" t="s">
        <v>56</v>
      </c>
      <c r="Z352" s="21"/>
      <c r="AA352" s="4" t="s">
        <v>46</v>
      </c>
      <c r="AB352" s="4" t="s">
        <v>47</v>
      </c>
      <c r="AC352" s="4" t="s">
        <v>57</v>
      </c>
      <c r="AD352" s="4" t="s">
        <v>58</v>
      </c>
      <c r="AE352" s="4" t="s">
        <v>48</v>
      </c>
      <c r="AF352" s="4" t="s">
        <v>41</v>
      </c>
      <c r="AG352" s="4" t="s">
        <v>670</v>
      </c>
    </row>
    <row r="353" spans="1:33" ht="16.5" customHeight="1" x14ac:dyDescent="0.2">
      <c r="A353" s="2" t="s">
        <v>31</v>
      </c>
      <c r="B353" s="19" t="s">
        <v>50</v>
      </c>
      <c r="C353" s="19"/>
      <c r="D353" s="19"/>
      <c r="E353" s="20" t="s">
        <v>33</v>
      </c>
      <c r="F353" s="20"/>
      <c r="G353" s="21" t="s">
        <v>664</v>
      </c>
      <c r="H353" s="21"/>
      <c r="I353" s="21"/>
      <c r="J353" s="3" t="s">
        <v>35</v>
      </c>
      <c r="K353" s="4" t="s">
        <v>51</v>
      </c>
      <c r="L353" s="4" t="s">
        <v>37</v>
      </c>
      <c r="N353" s="21" t="s">
        <v>909</v>
      </c>
      <c r="O353" s="21"/>
      <c r="P353" s="21" t="s">
        <v>910</v>
      </c>
      <c r="Q353" s="21"/>
      <c r="R353" s="21"/>
      <c r="S353" s="3" t="s">
        <v>40</v>
      </c>
      <c r="T353" s="21" t="s">
        <v>41</v>
      </c>
      <c r="U353" s="21"/>
      <c r="V353" s="4" t="s">
        <v>42</v>
      </c>
      <c r="W353" s="4" t="s">
        <v>54</v>
      </c>
      <c r="X353" s="4" t="s">
        <v>55</v>
      </c>
      <c r="Y353" s="21" t="s">
        <v>56</v>
      </c>
      <c r="Z353" s="21"/>
      <c r="AA353" s="4" t="s">
        <v>46</v>
      </c>
      <c r="AB353" s="4" t="s">
        <v>47</v>
      </c>
      <c r="AC353" s="4" t="s">
        <v>57</v>
      </c>
      <c r="AD353" s="4" t="s">
        <v>58</v>
      </c>
      <c r="AE353" s="4" t="s">
        <v>48</v>
      </c>
      <c r="AF353" s="4" t="s">
        <v>41</v>
      </c>
      <c r="AG353" s="4" t="s">
        <v>670</v>
      </c>
    </row>
    <row r="354" spans="1:33" ht="16.5" customHeight="1" x14ac:dyDescent="0.2">
      <c r="A354" s="2" t="s">
        <v>31</v>
      </c>
      <c r="B354" s="19" t="s">
        <v>50</v>
      </c>
      <c r="C354" s="19"/>
      <c r="D354" s="19"/>
      <c r="E354" s="20" t="s">
        <v>33</v>
      </c>
      <c r="F354" s="20"/>
      <c r="G354" s="21" t="s">
        <v>664</v>
      </c>
      <c r="H354" s="21"/>
      <c r="I354" s="21"/>
      <c r="J354" s="3" t="s">
        <v>35</v>
      </c>
      <c r="K354" s="4" t="s">
        <v>247</v>
      </c>
      <c r="L354" s="4" t="s">
        <v>37</v>
      </c>
      <c r="N354" s="21" t="s">
        <v>911</v>
      </c>
      <c r="O354" s="21"/>
      <c r="P354" s="21" t="s">
        <v>912</v>
      </c>
      <c r="Q354" s="21"/>
      <c r="R354" s="21"/>
      <c r="S354" s="3" t="s">
        <v>40</v>
      </c>
      <c r="T354" s="21" t="s">
        <v>41</v>
      </c>
      <c r="U354" s="21"/>
      <c r="V354" s="4" t="s">
        <v>42</v>
      </c>
      <c r="W354" s="4" t="s">
        <v>130</v>
      </c>
      <c r="X354" s="4" t="s">
        <v>60</v>
      </c>
      <c r="Y354" s="21" t="s">
        <v>65</v>
      </c>
      <c r="Z354" s="21"/>
      <c r="AA354" s="4" t="s">
        <v>46</v>
      </c>
      <c r="AB354" s="4" t="s">
        <v>47</v>
      </c>
      <c r="AC354" s="4" t="s">
        <v>66</v>
      </c>
      <c r="AD354" s="4" t="s">
        <v>73</v>
      </c>
      <c r="AE354" s="4" t="s">
        <v>48</v>
      </c>
      <c r="AF354" s="4" t="s">
        <v>41</v>
      </c>
      <c r="AG354" s="4" t="s">
        <v>670</v>
      </c>
    </row>
    <row r="355" spans="1:33" ht="16.5" customHeight="1" x14ac:dyDescent="0.2">
      <c r="A355" s="2" t="s">
        <v>31</v>
      </c>
      <c r="B355" s="19" t="s">
        <v>50</v>
      </c>
      <c r="C355" s="19"/>
      <c r="D355" s="19"/>
      <c r="E355" s="20" t="s">
        <v>33</v>
      </c>
      <c r="F355" s="20"/>
      <c r="G355" s="21" t="s">
        <v>664</v>
      </c>
      <c r="H355" s="21"/>
      <c r="I355" s="21"/>
      <c r="J355" s="3" t="s">
        <v>35</v>
      </c>
      <c r="K355" s="4" t="s">
        <v>193</v>
      </c>
      <c r="L355" s="4" t="s">
        <v>68</v>
      </c>
      <c r="N355" s="21" t="s">
        <v>913</v>
      </c>
      <c r="O355" s="21"/>
      <c r="P355" s="21" t="s">
        <v>914</v>
      </c>
      <c r="Q355" s="21"/>
      <c r="R355" s="21"/>
      <c r="S355" s="3" t="s">
        <v>40</v>
      </c>
      <c r="T355" s="21" t="s">
        <v>41</v>
      </c>
      <c r="U355" s="21"/>
      <c r="V355" s="4" t="s">
        <v>42</v>
      </c>
      <c r="W355" s="4" t="s">
        <v>130</v>
      </c>
      <c r="X355" s="4" t="s">
        <v>60</v>
      </c>
      <c r="Y355" s="21" t="s">
        <v>198</v>
      </c>
      <c r="Z355" s="21"/>
      <c r="AA355" s="4" t="s">
        <v>46</v>
      </c>
      <c r="AB355" s="4" t="s">
        <v>47</v>
      </c>
      <c r="AC355" s="4" t="s">
        <v>139</v>
      </c>
      <c r="AD355" s="4" t="s">
        <v>151</v>
      </c>
      <c r="AE355" s="4" t="s">
        <v>48</v>
      </c>
      <c r="AF355" s="4" t="s">
        <v>41</v>
      </c>
      <c r="AG355" s="4" t="s">
        <v>670</v>
      </c>
    </row>
    <row r="356" spans="1:33" ht="16.5" customHeight="1" x14ac:dyDescent="0.2">
      <c r="A356" s="2" t="s">
        <v>31</v>
      </c>
      <c r="B356" s="19" t="s">
        <v>50</v>
      </c>
      <c r="C356" s="19"/>
      <c r="D356" s="19"/>
      <c r="E356" s="20" t="s">
        <v>33</v>
      </c>
      <c r="F356" s="20"/>
      <c r="G356" s="21" t="s">
        <v>664</v>
      </c>
      <c r="H356" s="21"/>
      <c r="I356" s="21"/>
      <c r="J356" s="3" t="s">
        <v>35</v>
      </c>
      <c r="K356" s="4" t="s">
        <v>152</v>
      </c>
      <c r="L356" s="4" t="s">
        <v>37</v>
      </c>
      <c r="N356" s="21" t="s">
        <v>915</v>
      </c>
      <c r="O356" s="21"/>
      <c r="P356" s="21" t="s">
        <v>916</v>
      </c>
      <c r="Q356" s="21"/>
      <c r="R356" s="21"/>
      <c r="S356" s="3" t="s">
        <v>40</v>
      </c>
      <c r="T356" s="21" t="s">
        <v>41</v>
      </c>
      <c r="U356" s="21"/>
      <c r="V356" s="4" t="s">
        <v>59</v>
      </c>
      <c r="W356" s="4" t="s">
        <v>54</v>
      </c>
      <c r="X356" s="4" t="s">
        <v>60</v>
      </c>
      <c r="Y356" s="21" t="s">
        <v>56</v>
      </c>
      <c r="Z356" s="21"/>
      <c r="AA356" s="4" t="s">
        <v>46</v>
      </c>
      <c r="AB356" s="4" t="s">
        <v>47</v>
      </c>
      <c r="AC356" s="4" t="s">
        <v>57</v>
      </c>
      <c r="AD356" s="4" t="s">
        <v>58</v>
      </c>
      <c r="AE356" s="4" t="s">
        <v>48</v>
      </c>
      <c r="AF356" s="4" t="s">
        <v>41</v>
      </c>
      <c r="AG356" s="4" t="s">
        <v>670</v>
      </c>
    </row>
    <row r="357" spans="1:33" ht="16.5" customHeight="1" x14ac:dyDescent="0.2">
      <c r="A357" s="2" t="s">
        <v>31</v>
      </c>
      <c r="B357" s="19" t="s">
        <v>50</v>
      </c>
      <c r="C357" s="19"/>
      <c r="D357" s="19"/>
      <c r="E357" s="20" t="s">
        <v>33</v>
      </c>
      <c r="F357" s="20"/>
      <c r="G357" s="21" t="s">
        <v>664</v>
      </c>
      <c r="H357" s="21"/>
      <c r="I357" s="21"/>
      <c r="J357" s="3" t="s">
        <v>35</v>
      </c>
      <c r="K357" s="4" t="s">
        <v>152</v>
      </c>
      <c r="L357" s="4" t="s">
        <v>37</v>
      </c>
      <c r="N357" s="21" t="s">
        <v>915</v>
      </c>
      <c r="O357" s="21"/>
      <c r="P357" s="21" t="s">
        <v>916</v>
      </c>
      <c r="Q357" s="21"/>
      <c r="R357" s="21"/>
      <c r="S357" s="3" t="s">
        <v>40</v>
      </c>
      <c r="T357" s="21" t="s">
        <v>41</v>
      </c>
      <c r="U357" s="21"/>
      <c r="V357" s="4" t="s">
        <v>130</v>
      </c>
      <c r="W357" s="4" t="s">
        <v>54</v>
      </c>
      <c r="X357" s="4" t="s">
        <v>131</v>
      </c>
      <c r="Y357" s="21" t="s">
        <v>56</v>
      </c>
      <c r="Z357" s="21"/>
      <c r="AA357" s="4" t="s">
        <v>46</v>
      </c>
      <c r="AB357" s="4" t="s">
        <v>47</v>
      </c>
      <c r="AC357" s="4" t="s">
        <v>57</v>
      </c>
      <c r="AD357" s="4" t="s">
        <v>58</v>
      </c>
      <c r="AE357" s="4" t="s">
        <v>48</v>
      </c>
      <c r="AF357" s="4" t="s">
        <v>41</v>
      </c>
      <c r="AG357" s="4" t="s">
        <v>670</v>
      </c>
    </row>
    <row r="358" spans="1:33" ht="16.5" customHeight="1" x14ac:dyDescent="0.2">
      <c r="A358" s="2" t="s">
        <v>31</v>
      </c>
      <c r="B358" s="19" t="s">
        <v>50</v>
      </c>
      <c r="C358" s="19"/>
      <c r="D358" s="19"/>
      <c r="E358" s="20" t="s">
        <v>33</v>
      </c>
      <c r="F358" s="20"/>
      <c r="G358" s="21" t="s">
        <v>664</v>
      </c>
      <c r="H358" s="21"/>
      <c r="I358" s="21"/>
      <c r="J358" s="3" t="s">
        <v>35</v>
      </c>
      <c r="K358" s="4" t="s">
        <v>74</v>
      </c>
      <c r="L358" s="4" t="s">
        <v>37</v>
      </c>
      <c r="N358" s="21" t="s">
        <v>915</v>
      </c>
      <c r="O358" s="21"/>
      <c r="P358" s="21" t="s">
        <v>916</v>
      </c>
      <c r="Q358" s="21"/>
      <c r="R358" s="21"/>
      <c r="S358" s="3" t="s">
        <v>40</v>
      </c>
      <c r="T358" s="21" t="s">
        <v>41</v>
      </c>
      <c r="U358" s="21"/>
      <c r="V358" s="4" t="s">
        <v>59</v>
      </c>
      <c r="W358" s="4" t="s">
        <v>130</v>
      </c>
      <c r="X358" s="4" t="s">
        <v>131</v>
      </c>
      <c r="Y358" s="21" t="s">
        <v>65</v>
      </c>
      <c r="Z358" s="21"/>
      <c r="AA358" s="4" t="s">
        <v>46</v>
      </c>
      <c r="AB358" s="4" t="s">
        <v>47</v>
      </c>
      <c r="AC358" s="4" t="s">
        <v>66</v>
      </c>
      <c r="AD358" s="4" t="s">
        <v>73</v>
      </c>
      <c r="AE358" s="4" t="s">
        <v>48</v>
      </c>
      <c r="AF358" s="4" t="s">
        <v>41</v>
      </c>
      <c r="AG358" s="4" t="s">
        <v>670</v>
      </c>
    </row>
    <row r="359" spans="1:33" ht="16.5" customHeight="1" x14ac:dyDescent="0.2">
      <c r="A359" s="2" t="s">
        <v>31</v>
      </c>
      <c r="B359" s="19" t="s">
        <v>50</v>
      </c>
      <c r="C359" s="19"/>
      <c r="D359" s="19"/>
      <c r="E359" s="20" t="s">
        <v>33</v>
      </c>
      <c r="F359" s="20"/>
      <c r="G359" s="21" t="s">
        <v>664</v>
      </c>
      <c r="H359" s="21"/>
      <c r="I359" s="21"/>
      <c r="J359" s="3" t="s">
        <v>35</v>
      </c>
      <c r="K359" s="4" t="s">
        <v>74</v>
      </c>
      <c r="L359" s="4" t="s">
        <v>179</v>
      </c>
      <c r="N359" s="21" t="s">
        <v>915</v>
      </c>
      <c r="O359" s="21"/>
      <c r="P359" s="21" t="s">
        <v>916</v>
      </c>
      <c r="Q359" s="21"/>
      <c r="R359" s="21"/>
      <c r="S359" s="3" t="s">
        <v>40</v>
      </c>
      <c r="T359" s="21" t="s">
        <v>41</v>
      </c>
      <c r="U359" s="21"/>
      <c r="V359" s="4" t="s">
        <v>59</v>
      </c>
      <c r="W359" s="4" t="s">
        <v>130</v>
      </c>
      <c r="X359" s="4" t="s">
        <v>131</v>
      </c>
      <c r="Y359" s="21" t="s">
        <v>65</v>
      </c>
      <c r="Z359" s="21"/>
      <c r="AA359" s="4" t="s">
        <v>46</v>
      </c>
      <c r="AB359" s="4" t="s">
        <v>47</v>
      </c>
      <c r="AC359" s="4" t="s">
        <v>66</v>
      </c>
      <c r="AD359" s="4" t="s">
        <v>183</v>
      </c>
      <c r="AE359" s="4" t="s">
        <v>48</v>
      </c>
      <c r="AF359" s="4" t="s">
        <v>41</v>
      </c>
      <c r="AG359" s="4" t="s">
        <v>670</v>
      </c>
    </row>
    <row r="360" spans="1:33" ht="16.5" customHeight="1" x14ac:dyDescent="0.2">
      <c r="A360" s="2" t="s">
        <v>31</v>
      </c>
      <c r="B360" s="19" t="s">
        <v>50</v>
      </c>
      <c r="C360" s="19"/>
      <c r="D360" s="19"/>
      <c r="E360" s="20" t="s">
        <v>33</v>
      </c>
      <c r="F360" s="20"/>
      <c r="G360" s="21" t="s">
        <v>664</v>
      </c>
      <c r="H360" s="21"/>
      <c r="I360" s="21"/>
      <c r="J360" s="3" t="s">
        <v>35</v>
      </c>
      <c r="K360" s="4" t="s">
        <v>193</v>
      </c>
      <c r="L360" s="4" t="s">
        <v>37</v>
      </c>
      <c r="N360" s="21" t="s">
        <v>917</v>
      </c>
      <c r="O360" s="21"/>
      <c r="P360" s="21" t="s">
        <v>918</v>
      </c>
      <c r="Q360" s="21"/>
      <c r="R360" s="21"/>
      <c r="S360" s="3" t="s">
        <v>40</v>
      </c>
      <c r="T360" s="21" t="s">
        <v>41</v>
      </c>
      <c r="U360" s="21"/>
      <c r="V360" s="4" t="s">
        <v>42</v>
      </c>
      <c r="W360" s="4" t="s">
        <v>130</v>
      </c>
      <c r="X360" s="4" t="s">
        <v>60</v>
      </c>
      <c r="Y360" s="21" t="s">
        <v>198</v>
      </c>
      <c r="Z360" s="21"/>
      <c r="AA360" s="4" t="s">
        <v>46</v>
      </c>
      <c r="AB360" s="4" t="s">
        <v>47</v>
      </c>
      <c r="AC360" s="4" t="s">
        <v>139</v>
      </c>
      <c r="AD360" s="4" t="s">
        <v>140</v>
      </c>
      <c r="AE360" s="4" t="s">
        <v>48</v>
      </c>
      <c r="AF360" s="4" t="s">
        <v>41</v>
      </c>
      <c r="AG360" s="4" t="s">
        <v>670</v>
      </c>
    </row>
    <row r="361" spans="1:33" ht="16.5" customHeight="1" x14ac:dyDescent="0.2">
      <c r="A361" s="2" t="s">
        <v>31</v>
      </c>
      <c r="B361" s="19" t="s">
        <v>110</v>
      </c>
      <c r="C361" s="19"/>
      <c r="D361" s="19"/>
      <c r="E361" s="20" t="s">
        <v>33</v>
      </c>
      <c r="F361" s="20"/>
      <c r="G361" s="21" t="s">
        <v>664</v>
      </c>
      <c r="H361" s="21"/>
      <c r="I361" s="21"/>
      <c r="J361" s="3" t="s">
        <v>35</v>
      </c>
      <c r="K361" s="4" t="s">
        <v>394</v>
      </c>
      <c r="N361" s="21" t="s">
        <v>919</v>
      </c>
      <c r="O361" s="21"/>
      <c r="P361" s="21" t="s">
        <v>920</v>
      </c>
      <c r="Q361" s="21"/>
      <c r="R361" s="21"/>
      <c r="S361" s="3" t="s">
        <v>40</v>
      </c>
      <c r="T361" s="21" t="s">
        <v>921</v>
      </c>
      <c r="U361" s="21"/>
      <c r="V361" s="4" t="s">
        <v>922</v>
      </c>
      <c r="W361" s="4" t="s">
        <v>923</v>
      </c>
      <c r="X361" s="4" t="s">
        <v>109</v>
      </c>
      <c r="Y361" s="21" t="s">
        <v>924</v>
      </c>
      <c r="Z361" s="21"/>
      <c r="AA361" s="4" t="s">
        <v>46</v>
      </c>
      <c r="AB361" s="4" t="s">
        <v>117</v>
      </c>
      <c r="AC361" s="4" t="s">
        <v>925</v>
      </c>
      <c r="AD361" s="4" t="s">
        <v>926</v>
      </c>
      <c r="AE361" s="4" t="s">
        <v>48</v>
      </c>
      <c r="AF361" s="4" t="s">
        <v>41</v>
      </c>
      <c r="AG361" s="4" t="s">
        <v>670</v>
      </c>
    </row>
    <row r="362" spans="1:33" ht="16.5" customHeight="1" x14ac:dyDescent="0.2">
      <c r="A362" s="2" t="s">
        <v>31</v>
      </c>
      <c r="B362" s="19" t="s">
        <v>110</v>
      </c>
      <c r="C362" s="19"/>
      <c r="D362" s="19"/>
      <c r="E362" s="20" t="s">
        <v>33</v>
      </c>
      <c r="F362" s="20"/>
      <c r="G362" s="21" t="s">
        <v>664</v>
      </c>
      <c r="H362" s="21"/>
      <c r="I362" s="21"/>
      <c r="J362" s="3" t="s">
        <v>35</v>
      </c>
      <c r="K362" s="4" t="s">
        <v>394</v>
      </c>
      <c r="N362" s="21" t="s">
        <v>927</v>
      </c>
      <c r="O362" s="21"/>
      <c r="P362" s="21" t="s">
        <v>928</v>
      </c>
      <c r="Q362" s="21"/>
      <c r="R362" s="21"/>
      <c r="S362" s="3" t="s">
        <v>40</v>
      </c>
      <c r="T362" s="21" t="s">
        <v>929</v>
      </c>
      <c r="U362" s="21"/>
      <c r="V362" s="4" t="s">
        <v>922</v>
      </c>
      <c r="W362" s="4" t="s">
        <v>923</v>
      </c>
      <c r="X362" s="4" t="s">
        <v>109</v>
      </c>
      <c r="Y362" s="21" t="s">
        <v>398</v>
      </c>
      <c r="Z362" s="21"/>
      <c r="AA362" s="4" t="s">
        <v>46</v>
      </c>
      <c r="AB362" s="4" t="s">
        <v>117</v>
      </c>
      <c r="AC362" s="4" t="s">
        <v>399</v>
      </c>
      <c r="AD362" s="4" t="s">
        <v>930</v>
      </c>
      <c r="AE362" s="4" t="s">
        <v>48</v>
      </c>
      <c r="AF362" s="4" t="s">
        <v>41</v>
      </c>
      <c r="AG362" s="4" t="s">
        <v>670</v>
      </c>
    </row>
    <row r="363" spans="1:33" ht="16.5" customHeight="1" x14ac:dyDescent="0.2">
      <c r="A363" s="2" t="s">
        <v>31</v>
      </c>
      <c r="B363" s="19" t="s">
        <v>110</v>
      </c>
      <c r="C363" s="19"/>
      <c r="D363" s="19"/>
      <c r="E363" s="20" t="s">
        <v>33</v>
      </c>
      <c r="F363" s="20"/>
      <c r="G363" s="21" t="s">
        <v>664</v>
      </c>
      <c r="H363" s="21"/>
      <c r="I363" s="21"/>
      <c r="J363" s="3" t="s">
        <v>35</v>
      </c>
      <c r="K363" s="4" t="s">
        <v>394</v>
      </c>
      <c r="N363" s="21" t="s">
        <v>931</v>
      </c>
      <c r="O363" s="21"/>
      <c r="P363" s="21" t="s">
        <v>932</v>
      </c>
      <c r="Q363" s="21"/>
      <c r="R363" s="21"/>
      <c r="S363" s="3" t="s">
        <v>40</v>
      </c>
      <c r="T363" s="21" t="s">
        <v>933</v>
      </c>
      <c r="U363" s="21"/>
      <c r="V363" s="4" t="s">
        <v>934</v>
      </c>
      <c r="W363" s="4" t="s">
        <v>935</v>
      </c>
      <c r="X363" s="4" t="s">
        <v>86</v>
      </c>
      <c r="Y363" s="21" t="s">
        <v>398</v>
      </c>
      <c r="Z363" s="21"/>
      <c r="AA363" s="4" t="s">
        <v>46</v>
      </c>
      <c r="AB363" s="4" t="s">
        <v>117</v>
      </c>
      <c r="AC363" s="4" t="s">
        <v>399</v>
      </c>
      <c r="AD363" s="4" t="s">
        <v>936</v>
      </c>
      <c r="AE363" s="4" t="s">
        <v>48</v>
      </c>
      <c r="AF363" s="4" t="s">
        <v>41</v>
      </c>
      <c r="AG363" s="4" t="s">
        <v>670</v>
      </c>
    </row>
    <row r="364" spans="1:33" ht="16.5" customHeight="1" x14ac:dyDescent="0.2">
      <c r="A364" s="2" t="s">
        <v>31</v>
      </c>
      <c r="B364" s="19" t="s">
        <v>110</v>
      </c>
      <c r="C364" s="19"/>
      <c r="D364" s="19"/>
      <c r="E364" s="20" t="s">
        <v>33</v>
      </c>
      <c r="F364" s="20"/>
      <c r="G364" s="21" t="s">
        <v>664</v>
      </c>
      <c r="H364" s="21"/>
      <c r="I364" s="21"/>
      <c r="J364" s="3" t="s">
        <v>35</v>
      </c>
      <c r="K364" s="4" t="s">
        <v>937</v>
      </c>
      <c r="N364" s="21" t="s">
        <v>938</v>
      </c>
      <c r="O364" s="21"/>
      <c r="P364" s="21" t="s">
        <v>939</v>
      </c>
      <c r="Q364" s="21"/>
      <c r="R364" s="21"/>
      <c r="S364" s="3" t="s">
        <v>40</v>
      </c>
      <c r="T364" s="21" t="s">
        <v>940</v>
      </c>
      <c r="U364" s="21"/>
      <c r="V364" s="4" t="s">
        <v>59</v>
      </c>
      <c r="W364" s="4" t="s">
        <v>94</v>
      </c>
      <c r="X364" s="4" t="s">
        <v>105</v>
      </c>
      <c r="Y364" s="21" t="s">
        <v>398</v>
      </c>
      <c r="Z364" s="21"/>
      <c r="AA364" s="4" t="s">
        <v>46</v>
      </c>
      <c r="AB364" s="4" t="s">
        <v>117</v>
      </c>
      <c r="AC364" s="4" t="s">
        <v>399</v>
      </c>
      <c r="AD364" s="4" t="s">
        <v>941</v>
      </c>
      <c r="AE364" s="4" t="s">
        <v>48</v>
      </c>
      <c r="AF364" s="4" t="s">
        <v>41</v>
      </c>
      <c r="AG364" s="4" t="s">
        <v>670</v>
      </c>
    </row>
    <row r="365" spans="1:33" ht="16.5" customHeight="1" x14ac:dyDescent="0.2">
      <c r="A365" s="2" t="s">
        <v>31</v>
      </c>
      <c r="B365" s="19" t="s">
        <v>110</v>
      </c>
      <c r="C365" s="19"/>
      <c r="D365" s="19"/>
      <c r="E365" s="20" t="s">
        <v>33</v>
      </c>
      <c r="F365" s="20"/>
      <c r="G365" s="21" t="s">
        <v>664</v>
      </c>
      <c r="H365" s="21"/>
      <c r="I365" s="21"/>
      <c r="J365" s="3" t="s">
        <v>35</v>
      </c>
      <c r="K365" s="4" t="s">
        <v>937</v>
      </c>
      <c r="N365" s="21" t="s">
        <v>942</v>
      </c>
      <c r="O365" s="21"/>
      <c r="P365" s="21" t="s">
        <v>943</v>
      </c>
      <c r="Q365" s="21"/>
      <c r="R365" s="21"/>
      <c r="S365" s="3" t="s">
        <v>40</v>
      </c>
      <c r="T365" s="21" t="s">
        <v>944</v>
      </c>
      <c r="U365" s="21"/>
      <c r="V365" s="4" t="s">
        <v>59</v>
      </c>
      <c r="W365" s="4" t="s">
        <v>54</v>
      </c>
      <c r="X365" s="4" t="s">
        <v>60</v>
      </c>
      <c r="Y365" s="21" t="s">
        <v>398</v>
      </c>
      <c r="Z365" s="21"/>
      <c r="AA365" s="4" t="s">
        <v>46</v>
      </c>
      <c r="AB365" s="4" t="s">
        <v>117</v>
      </c>
      <c r="AC365" s="4" t="s">
        <v>399</v>
      </c>
      <c r="AD365" s="4" t="s">
        <v>945</v>
      </c>
      <c r="AE365" s="4" t="s">
        <v>48</v>
      </c>
      <c r="AF365" s="4" t="s">
        <v>41</v>
      </c>
      <c r="AG365" s="4" t="s">
        <v>670</v>
      </c>
    </row>
    <row r="366" spans="1:33" ht="16.5" customHeight="1" x14ac:dyDescent="0.2">
      <c r="A366" s="2" t="s">
        <v>31</v>
      </c>
      <c r="B366" s="19" t="s">
        <v>110</v>
      </c>
      <c r="C366" s="19"/>
      <c r="D366" s="19"/>
      <c r="E366" s="20" t="s">
        <v>33</v>
      </c>
      <c r="F366" s="20"/>
      <c r="G366" s="21" t="s">
        <v>664</v>
      </c>
      <c r="H366" s="21"/>
      <c r="I366" s="21"/>
      <c r="J366" s="3" t="s">
        <v>35</v>
      </c>
      <c r="K366" s="4" t="s">
        <v>394</v>
      </c>
      <c r="N366" s="21" t="s">
        <v>946</v>
      </c>
      <c r="O366" s="21"/>
      <c r="P366" s="21" t="s">
        <v>667</v>
      </c>
      <c r="Q366" s="21"/>
      <c r="R366" s="21"/>
      <c r="S366" s="3" t="s">
        <v>40</v>
      </c>
      <c r="T366" s="21" t="s">
        <v>947</v>
      </c>
      <c r="U366" s="21"/>
      <c r="V366" s="4" t="s">
        <v>59</v>
      </c>
      <c r="W366" s="4" t="s">
        <v>381</v>
      </c>
      <c r="X366" s="4" t="s">
        <v>55</v>
      </c>
      <c r="Y366" s="21" t="s">
        <v>398</v>
      </c>
      <c r="Z366" s="21"/>
      <c r="AA366" s="4" t="s">
        <v>46</v>
      </c>
      <c r="AB366" s="4" t="s">
        <v>117</v>
      </c>
      <c r="AC366" s="4" t="s">
        <v>399</v>
      </c>
      <c r="AD366" s="4" t="s">
        <v>948</v>
      </c>
      <c r="AE366" s="4" t="s">
        <v>48</v>
      </c>
      <c r="AF366" s="4" t="s">
        <v>41</v>
      </c>
      <c r="AG366" s="4" t="s">
        <v>670</v>
      </c>
    </row>
    <row r="367" spans="1:33" ht="16.5" customHeight="1" x14ac:dyDescent="0.2">
      <c r="A367" s="2" t="s">
        <v>31</v>
      </c>
      <c r="B367" s="19" t="s">
        <v>110</v>
      </c>
      <c r="C367" s="19"/>
      <c r="D367" s="19"/>
      <c r="E367" s="20" t="s">
        <v>33</v>
      </c>
      <c r="F367" s="20"/>
      <c r="G367" s="21" t="s">
        <v>664</v>
      </c>
      <c r="H367" s="21"/>
      <c r="I367" s="21"/>
      <c r="J367" s="3" t="s">
        <v>35</v>
      </c>
      <c r="K367" s="4" t="s">
        <v>394</v>
      </c>
      <c r="N367" s="21" t="s">
        <v>949</v>
      </c>
      <c r="O367" s="21"/>
      <c r="P367" s="21" t="s">
        <v>950</v>
      </c>
      <c r="Q367" s="21"/>
      <c r="R367" s="21"/>
      <c r="S367" s="3" t="s">
        <v>40</v>
      </c>
      <c r="T367" s="21" t="s">
        <v>951</v>
      </c>
      <c r="U367" s="21"/>
      <c r="V367" s="4" t="s">
        <v>952</v>
      </c>
      <c r="W367" s="4" t="s">
        <v>953</v>
      </c>
      <c r="X367" s="4" t="s">
        <v>382</v>
      </c>
      <c r="Y367" s="21" t="s">
        <v>924</v>
      </c>
      <c r="Z367" s="21"/>
      <c r="AA367" s="4" t="s">
        <v>46</v>
      </c>
      <c r="AB367" s="4" t="s">
        <v>117</v>
      </c>
      <c r="AC367" s="4" t="s">
        <v>925</v>
      </c>
      <c r="AD367" s="4" t="s">
        <v>954</v>
      </c>
      <c r="AE367" s="4" t="s">
        <v>48</v>
      </c>
      <c r="AF367" s="4" t="s">
        <v>41</v>
      </c>
      <c r="AG367" s="4" t="s">
        <v>670</v>
      </c>
    </row>
    <row r="368" spans="1:33" ht="16.5" customHeight="1" x14ac:dyDescent="0.2">
      <c r="A368" s="2" t="s">
        <v>31</v>
      </c>
      <c r="B368" s="19" t="s">
        <v>110</v>
      </c>
      <c r="C368" s="19"/>
      <c r="D368" s="19"/>
      <c r="E368" s="20" t="s">
        <v>33</v>
      </c>
      <c r="F368" s="20"/>
      <c r="G368" s="21" t="s">
        <v>664</v>
      </c>
      <c r="H368" s="21"/>
      <c r="I368" s="21"/>
      <c r="J368" s="3" t="s">
        <v>35</v>
      </c>
      <c r="K368" s="4" t="s">
        <v>955</v>
      </c>
      <c r="N368" s="21" t="s">
        <v>956</v>
      </c>
      <c r="O368" s="21"/>
      <c r="P368" s="21" t="s">
        <v>957</v>
      </c>
      <c r="Q368" s="21"/>
      <c r="R368" s="21"/>
      <c r="S368" s="3" t="s">
        <v>40</v>
      </c>
      <c r="T368" s="21" t="s">
        <v>958</v>
      </c>
      <c r="U368" s="21"/>
      <c r="V368" s="4" t="s">
        <v>59</v>
      </c>
      <c r="W368" s="4" t="s">
        <v>54</v>
      </c>
      <c r="X368" s="4" t="s">
        <v>60</v>
      </c>
      <c r="Y368" s="21" t="s">
        <v>959</v>
      </c>
      <c r="Z368" s="21"/>
      <c r="AA368" s="4" t="s">
        <v>46</v>
      </c>
      <c r="AB368" s="4" t="s">
        <v>117</v>
      </c>
      <c r="AC368" s="4" t="s">
        <v>960</v>
      </c>
      <c r="AD368" s="4" t="s">
        <v>961</v>
      </c>
      <c r="AE368" s="4" t="s">
        <v>48</v>
      </c>
      <c r="AF368" s="4" t="s">
        <v>41</v>
      </c>
      <c r="AG368" s="4" t="s">
        <v>670</v>
      </c>
    </row>
    <row r="369" spans="1:33" ht="16.5" customHeight="1" x14ac:dyDescent="0.2">
      <c r="A369" s="2" t="s">
        <v>31</v>
      </c>
      <c r="B369" s="19" t="s">
        <v>110</v>
      </c>
      <c r="C369" s="19"/>
      <c r="D369" s="19"/>
      <c r="E369" s="20" t="s">
        <v>33</v>
      </c>
      <c r="F369" s="20"/>
      <c r="G369" s="21" t="s">
        <v>664</v>
      </c>
      <c r="H369" s="21"/>
      <c r="I369" s="21"/>
      <c r="J369" s="3" t="s">
        <v>35</v>
      </c>
      <c r="K369" s="4" t="s">
        <v>394</v>
      </c>
      <c r="N369" s="21" t="s">
        <v>962</v>
      </c>
      <c r="O369" s="21"/>
      <c r="P369" s="21" t="s">
        <v>963</v>
      </c>
      <c r="Q369" s="21"/>
      <c r="R369" s="21"/>
      <c r="S369" s="3" t="s">
        <v>40</v>
      </c>
      <c r="T369" s="21" t="s">
        <v>964</v>
      </c>
      <c r="U369" s="21"/>
      <c r="V369" s="4" t="s">
        <v>59</v>
      </c>
      <c r="W369" s="4" t="s">
        <v>54</v>
      </c>
      <c r="X369" s="4" t="s">
        <v>60</v>
      </c>
      <c r="Y369" s="21" t="s">
        <v>398</v>
      </c>
      <c r="Z369" s="21"/>
      <c r="AA369" s="4" t="s">
        <v>46</v>
      </c>
      <c r="AB369" s="4" t="s">
        <v>117</v>
      </c>
      <c r="AC369" s="4" t="s">
        <v>399</v>
      </c>
      <c r="AD369" s="4" t="s">
        <v>965</v>
      </c>
      <c r="AE369" s="4" t="s">
        <v>48</v>
      </c>
      <c r="AF369" s="4" t="s">
        <v>41</v>
      </c>
      <c r="AG369" s="4" t="s">
        <v>670</v>
      </c>
    </row>
    <row r="370" spans="1:33" ht="16.5" customHeight="1" x14ac:dyDescent="0.2">
      <c r="A370" s="2" t="s">
        <v>31</v>
      </c>
      <c r="B370" s="19" t="s">
        <v>110</v>
      </c>
      <c r="C370" s="19"/>
      <c r="D370" s="19"/>
      <c r="E370" s="20" t="s">
        <v>33</v>
      </c>
      <c r="F370" s="20"/>
      <c r="G370" s="21" t="s">
        <v>664</v>
      </c>
      <c r="H370" s="21"/>
      <c r="I370" s="21"/>
      <c r="J370" s="3" t="s">
        <v>35</v>
      </c>
      <c r="K370" s="4" t="s">
        <v>394</v>
      </c>
      <c r="N370" s="21" t="s">
        <v>966</v>
      </c>
      <c r="O370" s="21"/>
      <c r="P370" s="21" t="s">
        <v>672</v>
      </c>
      <c r="Q370" s="21"/>
      <c r="R370" s="21"/>
      <c r="S370" s="3" t="s">
        <v>40</v>
      </c>
      <c r="T370" s="21" t="s">
        <v>397</v>
      </c>
      <c r="U370" s="21"/>
      <c r="V370" s="4" t="s">
        <v>59</v>
      </c>
      <c r="W370" s="4" t="s">
        <v>54</v>
      </c>
      <c r="X370" s="4" t="s">
        <v>60</v>
      </c>
      <c r="Y370" s="21" t="s">
        <v>398</v>
      </c>
      <c r="Z370" s="21"/>
      <c r="AA370" s="4" t="s">
        <v>46</v>
      </c>
      <c r="AB370" s="4" t="s">
        <v>117</v>
      </c>
      <c r="AC370" s="4" t="s">
        <v>399</v>
      </c>
      <c r="AD370" s="4" t="s">
        <v>400</v>
      </c>
      <c r="AE370" s="4" t="s">
        <v>48</v>
      </c>
      <c r="AF370" s="4" t="s">
        <v>41</v>
      </c>
      <c r="AG370" s="4" t="s">
        <v>670</v>
      </c>
    </row>
    <row r="371" spans="1:33" ht="16.5" customHeight="1" x14ac:dyDescent="0.2">
      <c r="A371" s="2" t="s">
        <v>31</v>
      </c>
      <c r="B371" s="19" t="s">
        <v>110</v>
      </c>
      <c r="C371" s="19"/>
      <c r="D371" s="19"/>
      <c r="E371" s="20" t="s">
        <v>33</v>
      </c>
      <c r="F371" s="20"/>
      <c r="G371" s="21" t="s">
        <v>664</v>
      </c>
      <c r="H371" s="21"/>
      <c r="I371" s="21"/>
      <c r="J371" s="3" t="s">
        <v>35</v>
      </c>
      <c r="K371" s="4" t="s">
        <v>394</v>
      </c>
      <c r="N371" s="21" t="s">
        <v>967</v>
      </c>
      <c r="O371" s="21"/>
      <c r="P371" s="21" t="s">
        <v>968</v>
      </c>
      <c r="Q371" s="21"/>
      <c r="R371" s="21"/>
      <c r="S371" s="3" t="s">
        <v>40</v>
      </c>
      <c r="T371" s="21" t="s">
        <v>969</v>
      </c>
      <c r="U371" s="21"/>
      <c r="V371" s="4" t="s">
        <v>59</v>
      </c>
      <c r="W371" s="4" t="s">
        <v>130</v>
      </c>
      <c r="X371" s="4" t="s">
        <v>131</v>
      </c>
      <c r="Y371" s="21" t="s">
        <v>398</v>
      </c>
      <c r="Z371" s="21"/>
      <c r="AA371" s="4" t="s">
        <v>46</v>
      </c>
      <c r="AB371" s="4" t="s">
        <v>117</v>
      </c>
      <c r="AC371" s="4" t="s">
        <v>970</v>
      </c>
      <c r="AD371" s="4" t="s">
        <v>971</v>
      </c>
      <c r="AE371" s="4" t="s">
        <v>48</v>
      </c>
      <c r="AF371" s="4" t="s">
        <v>41</v>
      </c>
      <c r="AG371" s="4" t="s">
        <v>670</v>
      </c>
    </row>
    <row r="372" spans="1:33" ht="16.5" customHeight="1" x14ac:dyDescent="0.2">
      <c r="A372" s="2" t="s">
        <v>31</v>
      </c>
      <c r="B372" s="19" t="s">
        <v>110</v>
      </c>
      <c r="C372" s="19"/>
      <c r="D372" s="19"/>
      <c r="E372" s="20" t="s">
        <v>33</v>
      </c>
      <c r="F372" s="20"/>
      <c r="G372" s="21" t="s">
        <v>664</v>
      </c>
      <c r="H372" s="21"/>
      <c r="I372" s="21"/>
      <c r="J372" s="3" t="s">
        <v>35</v>
      </c>
      <c r="K372" s="4" t="s">
        <v>394</v>
      </c>
      <c r="N372" s="21" t="s">
        <v>972</v>
      </c>
      <c r="O372" s="21"/>
      <c r="P372" s="21" t="s">
        <v>973</v>
      </c>
      <c r="Q372" s="21"/>
      <c r="R372" s="21"/>
      <c r="S372" s="3" t="s">
        <v>40</v>
      </c>
      <c r="T372" s="21" t="s">
        <v>974</v>
      </c>
      <c r="U372" s="21"/>
      <c r="V372" s="4" t="s">
        <v>59</v>
      </c>
      <c r="W372" s="4" t="s">
        <v>130</v>
      </c>
      <c r="X372" s="4" t="s">
        <v>131</v>
      </c>
      <c r="Y372" s="21" t="s">
        <v>398</v>
      </c>
      <c r="Z372" s="21"/>
      <c r="AA372" s="4" t="s">
        <v>46</v>
      </c>
      <c r="AB372" s="4" t="s">
        <v>117</v>
      </c>
      <c r="AC372" s="4" t="s">
        <v>970</v>
      </c>
      <c r="AD372" s="4" t="s">
        <v>975</v>
      </c>
      <c r="AE372" s="4" t="s">
        <v>48</v>
      </c>
      <c r="AF372" s="4" t="s">
        <v>41</v>
      </c>
      <c r="AG372" s="4" t="s">
        <v>670</v>
      </c>
    </row>
    <row r="373" spans="1:33" ht="16.5" customHeight="1" x14ac:dyDescent="0.2">
      <c r="A373" s="2" t="s">
        <v>31</v>
      </c>
      <c r="B373" s="19" t="s">
        <v>110</v>
      </c>
      <c r="C373" s="19"/>
      <c r="D373" s="19"/>
      <c r="E373" s="20" t="s">
        <v>33</v>
      </c>
      <c r="F373" s="20"/>
      <c r="G373" s="21" t="s">
        <v>664</v>
      </c>
      <c r="H373" s="21"/>
      <c r="I373" s="21"/>
      <c r="J373" s="3" t="s">
        <v>35</v>
      </c>
      <c r="K373" s="4" t="s">
        <v>976</v>
      </c>
      <c r="N373" s="21" t="s">
        <v>977</v>
      </c>
      <c r="O373" s="21"/>
      <c r="P373" s="21" t="s">
        <v>978</v>
      </c>
      <c r="Q373" s="21"/>
      <c r="R373" s="21"/>
      <c r="S373" s="3" t="s">
        <v>40</v>
      </c>
      <c r="T373" s="21" t="s">
        <v>979</v>
      </c>
      <c r="U373" s="21"/>
      <c r="V373" s="4" t="s">
        <v>59</v>
      </c>
      <c r="W373" s="4" t="s">
        <v>130</v>
      </c>
      <c r="X373" s="4" t="s">
        <v>131</v>
      </c>
      <c r="Y373" s="21" t="s">
        <v>980</v>
      </c>
      <c r="Z373" s="21"/>
      <c r="AA373" s="4" t="s">
        <v>46</v>
      </c>
      <c r="AB373" s="4" t="s">
        <v>117</v>
      </c>
      <c r="AC373" s="4" t="s">
        <v>981</v>
      </c>
      <c r="AD373" s="4" t="s">
        <v>982</v>
      </c>
      <c r="AE373" s="4" t="s">
        <v>48</v>
      </c>
      <c r="AF373" s="4" t="s">
        <v>41</v>
      </c>
      <c r="AG373" s="4" t="s">
        <v>670</v>
      </c>
    </row>
    <row r="374" spans="1:33" ht="16.5" customHeight="1" x14ac:dyDescent="0.2">
      <c r="A374" s="2" t="s">
        <v>31</v>
      </c>
      <c r="B374" s="19" t="s">
        <v>32</v>
      </c>
      <c r="C374" s="19"/>
      <c r="D374" s="19"/>
      <c r="E374" s="20" t="s">
        <v>33</v>
      </c>
      <c r="F374" s="20"/>
      <c r="G374" s="21" t="s">
        <v>983</v>
      </c>
      <c r="H374" s="21"/>
      <c r="I374" s="21"/>
      <c r="J374" s="3" t="s">
        <v>35</v>
      </c>
      <c r="K374" s="4" t="s">
        <v>665</v>
      </c>
      <c r="L374" s="4" t="s">
        <v>37</v>
      </c>
      <c r="N374" s="21" t="s">
        <v>984</v>
      </c>
      <c r="O374" s="21"/>
      <c r="P374" s="21" t="s">
        <v>985</v>
      </c>
      <c r="Q374" s="21"/>
      <c r="R374" s="21"/>
      <c r="S374" s="3" t="s">
        <v>40</v>
      </c>
      <c r="T374" s="21" t="s">
        <v>668</v>
      </c>
      <c r="U374" s="21"/>
      <c r="V374" s="4" t="s">
        <v>130</v>
      </c>
      <c r="W374" s="4" t="s">
        <v>108</v>
      </c>
      <c r="X374" s="4" t="s">
        <v>55</v>
      </c>
      <c r="Y374" s="21" t="s">
        <v>669</v>
      </c>
      <c r="Z374" s="21"/>
      <c r="AA374" s="4" t="s">
        <v>46</v>
      </c>
      <c r="AB374" s="4" t="s">
        <v>47</v>
      </c>
      <c r="AD374" s="4" t="s">
        <v>41</v>
      </c>
      <c r="AE374" s="4" t="s">
        <v>48</v>
      </c>
      <c r="AF374" s="4" t="s">
        <v>41</v>
      </c>
      <c r="AG374" s="4" t="s">
        <v>986</v>
      </c>
    </row>
    <row r="375" spans="1:33" ht="16.5" customHeight="1" x14ac:dyDescent="0.2">
      <c r="A375" s="2" t="s">
        <v>31</v>
      </c>
      <c r="B375" s="19" t="s">
        <v>50</v>
      </c>
      <c r="C375" s="19"/>
      <c r="D375" s="19"/>
      <c r="E375" s="20" t="s">
        <v>33</v>
      </c>
      <c r="F375" s="20"/>
      <c r="G375" s="21" t="s">
        <v>983</v>
      </c>
      <c r="H375" s="21"/>
      <c r="I375" s="21"/>
      <c r="J375" s="3" t="s">
        <v>35</v>
      </c>
      <c r="K375" s="4" t="s">
        <v>661</v>
      </c>
      <c r="L375" s="4" t="s">
        <v>37</v>
      </c>
      <c r="N375" s="21" t="s">
        <v>987</v>
      </c>
      <c r="O375" s="21"/>
      <c r="P375" s="21" t="s">
        <v>988</v>
      </c>
      <c r="Q375" s="21"/>
      <c r="R375" s="21"/>
      <c r="S375" s="3" t="s">
        <v>40</v>
      </c>
      <c r="T375" s="21" t="s">
        <v>41</v>
      </c>
      <c r="U375" s="21"/>
      <c r="V375" s="4" t="s">
        <v>42</v>
      </c>
      <c r="W375" s="4" t="s">
        <v>234</v>
      </c>
      <c r="X375" s="4" t="s">
        <v>235</v>
      </c>
      <c r="Y375" s="21" t="s">
        <v>198</v>
      </c>
      <c r="Z375" s="21"/>
      <c r="AA375" s="4" t="s">
        <v>46</v>
      </c>
      <c r="AB375" s="4" t="s">
        <v>47</v>
      </c>
      <c r="AC375" s="4" t="s">
        <v>257</v>
      </c>
      <c r="AD375" s="4" t="s">
        <v>258</v>
      </c>
      <c r="AE375" s="4" t="s">
        <v>48</v>
      </c>
      <c r="AF375" s="4" t="s">
        <v>41</v>
      </c>
      <c r="AG375" s="4" t="s">
        <v>986</v>
      </c>
    </row>
    <row r="376" spans="1:33" ht="16.5" customHeight="1" x14ac:dyDescent="0.2">
      <c r="A376" s="2" t="s">
        <v>31</v>
      </c>
      <c r="B376" s="19" t="s">
        <v>50</v>
      </c>
      <c r="C376" s="19"/>
      <c r="D376" s="19"/>
      <c r="E376" s="20" t="s">
        <v>33</v>
      </c>
      <c r="F376" s="20"/>
      <c r="G376" s="21" t="s">
        <v>983</v>
      </c>
      <c r="H376" s="21"/>
      <c r="I376" s="21"/>
      <c r="J376" s="3" t="s">
        <v>35</v>
      </c>
      <c r="K376" s="4" t="s">
        <v>661</v>
      </c>
      <c r="L376" s="4" t="s">
        <v>37</v>
      </c>
      <c r="N376" s="21" t="s">
        <v>987</v>
      </c>
      <c r="O376" s="21"/>
      <c r="P376" s="21" t="s">
        <v>988</v>
      </c>
      <c r="Q376" s="21"/>
      <c r="R376" s="21"/>
      <c r="S376" s="3" t="s">
        <v>40</v>
      </c>
      <c r="T376" s="21" t="s">
        <v>41</v>
      </c>
      <c r="U376" s="21"/>
      <c r="V376" s="4" t="s">
        <v>59</v>
      </c>
      <c r="W376" s="4" t="s">
        <v>234</v>
      </c>
      <c r="X376" s="4" t="s">
        <v>339</v>
      </c>
      <c r="Y376" s="21" t="s">
        <v>198</v>
      </c>
      <c r="Z376" s="21"/>
      <c r="AA376" s="4" t="s">
        <v>46</v>
      </c>
      <c r="AB376" s="4" t="s">
        <v>47</v>
      </c>
      <c r="AC376" s="4" t="s">
        <v>257</v>
      </c>
      <c r="AD376" s="4" t="s">
        <v>258</v>
      </c>
      <c r="AE376" s="4" t="s">
        <v>48</v>
      </c>
      <c r="AF376" s="4" t="s">
        <v>41</v>
      </c>
      <c r="AG376" s="4" t="s">
        <v>986</v>
      </c>
    </row>
    <row r="377" spans="1:33" ht="16.5" customHeight="1" x14ac:dyDescent="0.2">
      <c r="A377" s="2" t="s">
        <v>31</v>
      </c>
      <c r="B377" s="19" t="s">
        <v>50</v>
      </c>
      <c r="C377" s="19"/>
      <c r="D377" s="19"/>
      <c r="E377" s="20" t="s">
        <v>33</v>
      </c>
      <c r="F377" s="20"/>
      <c r="G377" s="21" t="s">
        <v>983</v>
      </c>
      <c r="H377" s="21"/>
      <c r="I377" s="21"/>
      <c r="J377" s="3" t="s">
        <v>35</v>
      </c>
      <c r="K377" s="4" t="s">
        <v>74</v>
      </c>
      <c r="L377" s="4" t="s">
        <v>37</v>
      </c>
      <c r="N377" s="21" t="s">
        <v>989</v>
      </c>
      <c r="O377" s="21"/>
      <c r="P377" s="21" t="s">
        <v>990</v>
      </c>
      <c r="Q377" s="21"/>
      <c r="R377" s="21"/>
      <c r="S377" s="3" t="s">
        <v>40</v>
      </c>
      <c r="T377" s="21" t="s">
        <v>41</v>
      </c>
      <c r="U377" s="21"/>
      <c r="V377" s="4" t="s">
        <v>42</v>
      </c>
      <c r="W377" s="4" t="s">
        <v>54</v>
      </c>
      <c r="X377" s="4" t="s">
        <v>55</v>
      </c>
      <c r="Y377" s="21" t="s">
        <v>65</v>
      </c>
      <c r="Z377" s="21"/>
      <c r="AA377" s="4" t="s">
        <v>46</v>
      </c>
      <c r="AB377" s="4" t="s">
        <v>47</v>
      </c>
      <c r="AC377" s="4" t="s">
        <v>66</v>
      </c>
      <c r="AD377" s="4" t="s">
        <v>73</v>
      </c>
      <c r="AE377" s="4" t="s">
        <v>48</v>
      </c>
      <c r="AF377" s="4" t="s">
        <v>41</v>
      </c>
      <c r="AG377" s="4" t="s">
        <v>986</v>
      </c>
    </row>
    <row r="378" spans="1:33" ht="16.5" customHeight="1" x14ac:dyDescent="0.2">
      <c r="A378" s="2" t="s">
        <v>31</v>
      </c>
      <c r="B378" s="19" t="s">
        <v>50</v>
      </c>
      <c r="C378" s="19"/>
      <c r="D378" s="19"/>
      <c r="E378" s="20" t="s">
        <v>33</v>
      </c>
      <c r="F378" s="20"/>
      <c r="G378" s="21" t="s">
        <v>983</v>
      </c>
      <c r="H378" s="21"/>
      <c r="I378" s="21"/>
      <c r="J378" s="3" t="s">
        <v>35</v>
      </c>
      <c r="K378" s="4" t="s">
        <v>152</v>
      </c>
      <c r="L378" s="4" t="s">
        <v>37</v>
      </c>
      <c r="N378" s="21" t="s">
        <v>991</v>
      </c>
      <c r="O378" s="21"/>
      <c r="P378" s="21" t="s">
        <v>992</v>
      </c>
      <c r="Q378" s="21"/>
      <c r="R378" s="21"/>
      <c r="S378" s="3" t="s">
        <v>40</v>
      </c>
      <c r="T378" s="21" t="s">
        <v>41</v>
      </c>
      <c r="U378" s="21"/>
      <c r="V378" s="4" t="s">
        <v>42</v>
      </c>
      <c r="W378" s="4" t="s">
        <v>307</v>
      </c>
      <c r="X378" s="4" t="s">
        <v>304</v>
      </c>
      <c r="Y378" s="21" t="s">
        <v>56</v>
      </c>
      <c r="Z378" s="21"/>
      <c r="AA378" s="4" t="s">
        <v>46</v>
      </c>
      <c r="AB378" s="4" t="s">
        <v>47</v>
      </c>
      <c r="AC378" s="4" t="s">
        <v>139</v>
      </c>
      <c r="AD378" s="4" t="s">
        <v>140</v>
      </c>
      <c r="AE378" s="4" t="s">
        <v>48</v>
      </c>
      <c r="AF378" s="4" t="s">
        <v>41</v>
      </c>
      <c r="AG378" s="4" t="s">
        <v>986</v>
      </c>
    </row>
    <row r="379" spans="1:33" ht="16.5" customHeight="1" x14ac:dyDescent="0.2">
      <c r="A379" s="2" t="s">
        <v>31</v>
      </c>
      <c r="B379" s="19" t="s">
        <v>50</v>
      </c>
      <c r="C379" s="19"/>
      <c r="D379" s="19"/>
      <c r="E379" s="20" t="s">
        <v>33</v>
      </c>
      <c r="F379" s="20"/>
      <c r="G379" s="21" t="s">
        <v>983</v>
      </c>
      <c r="H379" s="21"/>
      <c r="I379" s="21"/>
      <c r="J379" s="3" t="s">
        <v>35</v>
      </c>
      <c r="K379" s="4" t="s">
        <v>133</v>
      </c>
      <c r="L379" s="4" t="s">
        <v>37</v>
      </c>
      <c r="N379" s="21" t="s">
        <v>993</v>
      </c>
      <c r="O379" s="21"/>
      <c r="P379" s="21" t="s">
        <v>994</v>
      </c>
      <c r="Q379" s="21"/>
      <c r="R379" s="21"/>
      <c r="S379" s="3" t="s">
        <v>40</v>
      </c>
      <c r="T379" s="21" t="s">
        <v>41</v>
      </c>
      <c r="U379" s="21"/>
      <c r="V379" s="4" t="s">
        <v>59</v>
      </c>
      <c r="W379" s="4" t="s">
        <v>642</v>
      </c>
      <c r="X379" s="4" t="s">
        <v>995</v>
      </c>
      <c r="Y379" s="21" t="s">
        <v>138</v>
      </c>
      <c r="Z379" s="21"/>
      <c r="AA379" s="4" t="s">
        <v>46</v>
      </c>
      <c r="AB379" s="4" t="s">
        <v>47</v>
      </c>
      <c r="AC379" s="4" t="s">
        <v>139</v>
      </c>
      <c r="AD379" s="4" t="s">
        <v>140</v>
      </c>
      <c r="AE379" s="4" t="s">
        <v>48</v>
      </c>
      <c r="AF379" s="4" t="s">
        <v>41</v>
      </c>
      <c r="AG379" s="4" t="s">
        <v>986</v>
      </c>
    </row>
    <row r="380" spans="1:33" ht="16.5" customHeight="1" x14ac:dyDescent="0.2">
      <c r="A380" s="2" t="s">
        <v>31</v>
      </c>
      <c r="B380" s="19" t="s">
        <v>50</v>
      </c>
      <c r="C380" s="19"/>
      <c r="D380" s="19"/>
      <c r="E380" s="20" t="s">
        <v>33</v>
      </c>
      <c r="F380" s="20"/>
      <c r="G380" s="21" t="s">
        <v>983</v>
      </c>
      <c r="H380" s="21"/>
      <c r="I380" s="21"/>
      <c r="J380" s="3" t="s">
        <v>35</v>
      </c>
      <c r="K380" s="4" t="s">
        <v>51</v>
      </c>
      <c r="L380" s="4" t="s">
        <v>37</v>
      </c>
      <c r="N380" s="21" t="s">
        <v>996</v>
      </c>
      <c r="O380" s="21"/>
      <c r="P380" s="21" t="s">
        <v>997</v>
      </c>
      <c r="Q380" s="21"/>
      <c r="R380" s="21"/>
      <c r="S380" s="3" t="s">
        <v>40</v>
      </c>
      <c r="T380" s="21" t="s">
        <v>41</v>
      </c>
      <c r="U380" s="21"/>
      <c r="V380" s="4" t="s">
        <v>42</v>
      </c>
      <c r="W380" s="4" t="s">
        <v>161</v>
      </c>
      <c r="X380" s="4" t="s">
        <v>162</v>
      </c>
      <c r="Y380" s="21" t="s">
        <v>56</v>
      </c>
      <c r="Z380" s="21"/>
      <c r="AA380" s="4" t="s">
        <v>46</v>
      </c>
      <c r="AB380" s="4" t="s">
        <v>47</v>
      </c>
      <c r="AC380" s="4" t="s">
        <v>139</v>
      </c>
      <c r="AD380" s="4" t="s">
        <v>140</v>
      </c>
      <c r="AE380" s="4" t="s">
        <v>48</v>
      </c>
      <c r="AF380" s="4" t="s">
        <v>41</v>
      </c>
      <c r="AG380" s="4" t="s">
        <v>986</v>
      </c>
    </row>
    <row r="381" spans="1:33" ht="16.5" customHeight="1" x14ac:dyDescent="0.2">
      <c r="A381" s="2" t="s">
        <v>31</v>
      </c>
      <c r="B381" s="19" t="s">
        <v>50</v>
      </c>
      <c r="C381" s="19"/>
      <c r="D381" s="19"/>
      <c r="E381" s="20" t="s">
        <v>33</v>
      </c>
      <c r="F381" s="20"/>
      <c r="G381" s="21" t="s">
        <v>983</v>
      </c>
      <c r="H381" s="21"/>
      <c r="I381" s="21"/>
      <c r="J381" s="3" t="s">
        <v>35</v>
      </c>
      <c r="K381" s="4" t="s">
        <v>152</v>
      </c>
      <c r="L381" s="4" t="s">
        <v>37</v>
      </c>
      <c r="N381" s="21" t="s">
        <v>998</v>
      </c>
      <c r="O381" s="21"/>
      <c r="P381" s="21" t="s">
        <v>999</v>
      </c>
      <c r="Q381" s="21"/>
      <c r="R381" s="21"/>
      <c r="S381" s="3" t="s">
        <v>40</v>
      </c>
      <c r="T381" s="21" t="s">
        <v>41</v>
      </c>
      <c r="U381" s="21"/>
      <c r="V381" s="4" t="s">
        <v>42</v>
      </c>
      <c r="W381" s="4" t="s">
        <v>130</v>
      </c>
      <c r="X381" s="4" t="s">
        <v>60</v>
      </c>
      <c r="Y381" s="21" t="s">
        <v>56</v>
      </c>
      <c r="Z381" s="21"/>
      <c r="AA381" s="4" t="s">
        <v>46</v>
      </c>
      <c r="AB381" s="4" t="s">
        <v>47</v>
      </c>
      <c r="AC381" s="4" t="s">
        <v>57</v>
      </c>
      <c r="AD381" s="4" t="s">
        <v>58</v>
      </c>
      <c r="AE381" s="4" t="s">
        <v>48</v>
      </c>
      <c r="AF381" s="4" t="s">
        <v>41</v>
      </c>
      <c r="AG381" s="4" t="s">
        <v>986</v>
      </c>
    </row>
    <row r="382" spans="1:33" ht="16.5" customHeight="1" x14ac:dyDescent="0.2">
      <c r="A382" s="2" t="s">
        <v>31</v>
      </c>
      <c r="B382" s="19" t="s">
        <v>50</v>
      </c>
      <c r="C382" s="19"/>
      <c r="D382" s="19"/>
      <c r="E382" s="20" t="s">
        <v>33</v>
      </c>
      <c r="F382" s="20"/>
      <c r="G382" s="21" t="s">
        <v>983</v>
      </c>
      <c r="H382" s="21"/>
      <c r="I382" s="21"/>
      <c r="J382" s="3" t="s">
        <v>35</v>
      </c>
      <c r="K382" s="4" t="s">
        <v>99</v>
      </c>
      <c r="L382" s="4" t="s">
        <v>278</v>
      </c>
      <c r="N382" s="21" t="s">
        <v>1000</v>
      </c>
      <c r="O382" s="21"/>
      <c r="P382" s="21" t="s">
        <v>1001</v>
      </c>
      <c r="Q382" s="21"/>
      <c r="R382" s="21"/>
      <c r="S382" s="3" t="s">
        <v>40</v>
      </c>
      <c r="T382" s="21" t="s">
        <v>41</v>
      </c>
      <c r="U382" s="21"/>
      <c r="V382" s="4" t="s">
        <v>42</v>
      </c>
      <c r="W382" s="4" t="s">
        <v>1002</v>
      </c>
      <c r="X382" s="4" t="s">
        <v>537</v>
      </c>
      <c r="Y382" s="21" t="s">
        <v>56</v>
      </c>
      <c r="Z382" s="21"/>
      <c r="AA382" s="4" t="s">
        <v>46</v>
      </c>
      <c r="AB382" s="4" t="s">
        <v>47</v>
      </c>
      <c r="AC382" s="4" t="s">
        <v>139</v>
      </c>
      <c r="AD382" s="4" t="s">
        <v>69</v>
      </c>
      <c r="AE382" s="4" t="s">
        <v>48</v>
      </c>
      <c r="AF382" s="4" t="s">
        <v>41</v>
      </c>
      <c r="AG382" s="4" t="s">
        <v>986</v>
      </c>
    </row>
    <row r="383" spans="1:33" ht="16.5" customHeight="1" x14ac:dyDescent="0.2">
      <c r="A383" s="2" t="s">
        <v>31</v>
      </c>
      <c r="B383" s="19" t="s">
        <v>50</v>
      </c>
      <c r="C383" s="19"/>
      <c r="D383" s="19"/>
      <c r="E383" s="20" t="s">
        <v>33</v>
      </c>
      <c r="F383" s="20"/>
      <c r="G383" s="21" t="s">
        <v>983</v>
      </c>
      <c r="H383" s="21"/>
      <c r="I383" s="21"/>
      <c r="J383" s="3" t="s">
        <v>35</v>
      </c>
      <c r="K383" s="4" t="s">
        <v>82</v>
      </c>
      <c r="L383" s="4" t="s">
        <v>37</v>
      </c>
      <c r="N383" s="21" t="s">
        <v>1003</v>
      </c>
      <c r="O383" s="21"/>
      <c r="P383" s="21" t="s">
        <v>1004</v>
      </c>
      <c r="Q383" s="21"/>
      <c r="R383" s="21"/>
      <c r="S383" s="3" t="s">
        <v>40</v>
      </c>
      <c r="T383" s="21" t="s">
        <v>41</v>
      </c>
      <c r="U383" s="21"/>
      <c r="V383" s="4" t="s">
        <v>42</v>
      </c>
      <c r="W383" s="4" t="s">
        <v>798</v>
      </c>
      <c r="X383" s="4" t="s">
        <v>1005</v>
      </c>
      <c r="Y383" s="21" t="s">
        <v>56</v>
      </c>
      <c r="Z383" s="21"/>
      <c r="AA383" s="4" t="s">
        <v>46</v>
      </c>
      <c r="AB383" s="4" t="s">
        <v>47</v>
      </c>
      <c r="AC383" s="4" t="s">
        <v>139</v>
      </c>
      <c r="AD383" s="4" t="s">
        <v>140</v>
      </c>
      <c r="AE383" s="4" t="s">
        <v>48</v>
      </c>
      <c r="AF383" s="4" t="s">
        <v>41</v>
      </c>
      <c r="AG383" s="4" t="s">
        <v>986</v>
      </c>
    </row>
    <row r="384" spans="1:33" ht="16.5" customHeight="1" x14ac:dyDescent="0.2">
      <c r="A384" s="2" t="s">
        <v>31</v>
      </c>
      <c r="B384" s="19" t="s">
        <v>50</v>
      </c>
      <c r="C384" s="19"/>
      <c r="D384" s="19"/>
      <c r="E384" s="20" t="s">
        <v>33</v>
      </c>
      <c r="F384" s="20"/>
      <c r="G384" s="21" t="s">
        <v>983</v>
      </c>
      <c r="H384" s="21"/>
      <c r="I384" s="21"/>
      <c r="J384" s="3" t="s">
        <v>35</v>
      </c>
      <c r="K384" s="4" t="s">
        <v>169</v>
      </c>
      <c r="L384" s="4" t="s">
        <v>37</v>
      </c>
      <c r="N384" s="21" t="s">
        <v>1006</v>
      </c>
      <c r="O384" s="21"/>
      <c r="P384" s="21" t="s">
        <v>1007</v>
      </c>
      <c r="Q384" s="21"/>
      <c r="R384" s="21"/>
      <c r="S384" s="3" t="s">
        <v>40</v>
      </c>
      <c r="T384" s="21" t="s">
        <v>41</v>
      </c>
      <c r="U384" s="21"/>
      <c r="V384" s="4" t="s">
        <v>42</v>
      </c>
      <c r="W384" s="4" t="s">
        <v>1008</v>
      </c>
      <c r="X384" s="4" t="s">
        <v>1009</v>
      </c>
      <c r="Y384" s="21" t="s">
        <v>56</v>
      </c>
      <c r="Z384" s="21"/>
      <c r="AA384" s="4" t="s">
        <v>46</v>
      </c>
      <c r="AB384" s="4" t="s">
        <v>47</v>
      </c>
      <c r="AC384" s="4" t="s">
        <v>139</v>
      </c>
      <c r="AD384" s="4" t="s">
        <v>140</v>
      </c>
      <c r="AE384" s="4" t="s">
        <v>48</v>
      </c>
      <c r="AF384" s="4" t="s">
        <v>41</v>
      </c>
      <c r="AG384" s="4" t="s">
        <v>986</v>
      </c>
    </row>
    <row r="385" spans="1:33" ht="16.5" customHeight="1" x14ac:dyDescent="0.2">
      <c r="A385" s="2" t="s">
        <v>31</v>
      </c>
      <c r="B385" s="19" t="s">
        <v>50</v>
      </c>
      <c r="C385" s="19"/>
      <c r="D385" s="19"/>
      <c r="E385" s="20" t="s">
        <v>33</v>
      </c>
      <c r="F385" s="20"/>
      <c r="G385" s="21" t="s">
        <v>983</v>
      </c>
      <c r="H385" s="21"/>
      <c r="I385" s="21"/>
      <c r="J385" s="3" t="s">
        <v>35</v>
      </c>
      <c r="K385" s="4" t="s">
        <v>152</v>
      </c>
      <c r="L385" s="4" t="s">
        <v>37</v>
      </c>
      <c r="N385" s="21" t="s">
        <v>1010</v>
      </c>
      <c r="O385" s="21"/>
      <c r="P385" s="21" t="s">
        <v>1011</v>
      </c>
      <c r="Q385" s="21"/>
      <c r="R385" s="21"/>
      <c r="S385" s="3" t="s">
        <v>40</v>
      </c>
      <c r="T385" s="21" t="s">
        <v>41</v>
      </c>
      <c r="U385" s="21"/>
      <c r="V385" s="4" t="s">
        <v>42</v>
      </c>
      <c r="W385" s="4" t="s">
        <v>863</v>
      </c>
      <c r="X385" s="4" t="s">
        <v>864</v>
      </c>
      <c r="Y385" s="21" t="s">
        <v>56</v>
      </c>
      <c r="Z385" s="21"/>
      <c r="AA385" s="4" t="s">
        <v>46</v>
      </c>
      <c r="AB385" s="4" t="s">
        <v>47</v>
      </c>
      <c r="AC385" s="4" t="s">
        <v>139</v>
      </c>
      <c r="AD385" s="4" t="s">
        <v>140</v>
      </c>
      <c r="AE385" s="4" t="s">
        <v>48</v>
      </c>
      <c r="AF385" s="4" t="s">
        <v>41</v>
      </c>
      <c r="AG385" s="4" t="s">
        <v>986</v>
      </c>
    </row>
    <row r="386" spans="1:33" ht="16.5" customHeight="1" x14ac:dyDescent="0.2">
      <c r="A386" s="2" t="s">
        <v>31</v>
      </c>
      <c r="B386" s="19" t="s">
        <v>50</v>
      </c>
      <c r="C386" s="19"/>
      <c r="D386" s="19"/>
      <c r="E386" s="20" t="s">
        <v>33</v>
      </c>
      <c r="F386" s="20"/>
      <c r="G386" s="21" t="s">
        <v>983</v>
      </c>
      <c r="H386" s="21"/>
      <c r="I386" s="21"/>
      <c r="J386" s="3" t="s">
        <v>35</v>
      </c>
      <c r="K386" s="4" t="s">
        <v>247</v>
      </c>
      <c r="L386" s="4" t="s">
        <v>68</v>
      </c>
      <c r="N386" s="21" t="s">
        <v>1012</v>
      </c>
      <c r="O386" s="21"/>
      <c r="P386" s="21" t="s">
        <v>1013</v>
      </c>
      <c r="Q386" s="21"/>
      <c r="R386" s="21"/>
      <c r="S386" s="3" t="s">
        <v>40</v>
      </c>
      <c r="T386" s="21" t="s">
        <v>41</v>
      </c>
      <c r="U386" s="21"/>
      <c r="V386" s="4" t="s">
        <v>42</v>
      </c>
      <c r="W386" s="4" t="s">
        <v>54</v>
      </c>
      <c r="X386" s="4" t="s">
        <v>55</v>
      </c>
      <c r="Y386" s="21" t="s">
        <v>65</v>
      </c>
      <c r="Z386" s="21"/>
      <c r="AA386" s="4" t="s">
        <v>46</v>
      </c>
      <c r="AB386" s="4" t="s">
        <v>47</v>
      </c>
      <c r="AC386" s="4" t="s">
        <v>66</v>
      </c>
      <c r="AD386" s="4" t="s">
        <v>69</v>
      </c>
      <c r="AE386" s="4" t="s">
        <v>48</v>
      </c>
      <c r="AF386" s="4" t="s">
        <v>41</v>
      </c>
      <c r="AG386" s="4" t="s">
        <v>986</v>
      </c>
    </row>
    <row r="387" spans="1:33" ht="16.5" customHeight="1" x14ac:dyDescent="0.2">
      <c r="A387" s="2" t="s">
        <v>31</v>
      </c>
      <c r="B387" s="19" t="s">
        <v>50</v>
      </c>
      <c r="C387" s="19"/>
      <c r="D387" s="19"/>
      <c r="E387" s="20" t="s">
        <v>33</v>
      </c>
      <c r="F387" s="20"/>
      <c r="G387" s="21" t="s">
        <v>983</v>
      </c>
      <c r="H387" s="21"/>
      <c r="I387" s="21"/>
      <c r="J387" s="3" t="s">
        <v>35</v>
      </c>
      <c r="K387" s="4" t="s">
        <v>146</v>
      </c>
      <c r="L387" s="4" t="s">
        <v>37</v>
      </c>
      <c r="N387" s="21" t="s">
        <v>1014</v>
      </c>
      <c r="O387" s="21"/>
      <c r="P387" s="21" t="s">
        <v>1015</v>
      </c>
      <c r="Q387" s="21"/>
      <c r="R387" s="21"/>
      <c r="S387" s="3" t="s">
        <v>40</v>
      </c>
      <c r="T387" s="21" t="s">
        <v>41</v>
      </c>
      <c r="U387" s="21"/>
      <c r="V387" s="4" t="s">
        <v>42</v>
      </c>
      <c r="W387" s="4" t="s">
        <v>104</v>
      </c>
      <c r="X387" s="4" t="s">
        <v>105</v>
      </c>
      <c r="Y387" s="21" t="s">
        <v>138</v>
      </c>
      <c r="Z387" s="21"/>
      <c r="AA387" s="4" t="s">
        <v>46</v>
      </c>
      <c r="AB387" s="4" t="s">
        <v>47</v>
      </c>
      <c r="AC387" s="4" t="s">
        <v>57</v>
      </c>
      <c r="AD387" s="4" t="s">
        <v>58</v>
      </c>
      <c r="AE387" s="4" t="s">
        <v>48</v>
      </c>
      <c r="AF387" s="4" t="s">
        <v>41</v>
      </c>
      <c r="AG387" s="4" t="s">
        <v>986</v>
      </c>
    </row>
    <row r="388" spans="1:33" ht="16.5" customHeight="1" x14ac:dyDescent="0.2">
      <c r="A388" s="2" t="s">
        <v>31</v>
      </c>
      <c r="B388" s="19" t="s">
        <v>50</v>
      </c>
      <c r="C388" s="19"/>
      <c r="D388" s="19"/>
      <c r="E388" s="20" t="s">
        <v>33</v>
      </c>
      <c r="F388" s="20"/>
      <c r="G388" s="21" t="s">
        <v>983</v>
      </c>
      <c r="H388" s="21"/>
      <c r="I388" s="21"/>
      <c r="J388" s="3" t="s">
        <v>35</v>
      </c>
      <c r="K388" s="4" t="s">
        <v>61</v>
      </c>
      <c r="L388" s="4" t="s">
        <v>37</v>
      </c>
      <c r="N388" s="21" t="s">
        <v>1016</v>
      </c>
      <c r="O388" s="21"/>
      <c r="P388" s="21" t="s">
        <v>1017</v>
      </c>
      <c r="Q388" s="21"/>
      <c r="R388" s="21"/>
      <c r="S388" s="3" t="s">
        <v>40</v>
      </c>
      <c r="T388" s="21" t="s">
        <v>41</v>
      </c>
      <c r="U388" s="21"/>
      <c r="V388" s="4" t="s">
        <v>42</v>
      </c>
      <c r="W388" s="4" t="s">
        <v>202</v>
      </c>
      <c r="X388" s="4" t="s">
        <v>203</v>
      </c>
      <c r="Y388" s="21" t="s">
        <v>65</v>
      </c>
      <c r="Z388" s="21"/>
      <c r="AA388" s="4" t="s">
        <v>46</v>
      </c>
      <c r="AB388" s="4" t="s">
        <v>47</v>
      </c>
      <c r="AC388" s="4" t="s">
        <v>57</v>
      </c>
      <c r="AD388" s="4" t="s">
        <v>58</v>
      </c>
      <c r="AE388" s="4" t="s">
        <v>48</v>
      </c>
      <c r="AF388" s="4" t="s">
        <v>41</v>
      </c>
      <c r="AG388" s="4" t="s">
        <v>986</v>
      </c>
    </row>
    <row r="389" spans="1:33" ht="16.5" customHeight="1" x14ac:dyDescent="0.2">
      <c r="A389" s="2" t="s">
        <v>31</v>
      </c>
      <c r="B389" s="19" t="s">
        <v>50</v>
      </c>
      <c r="C389" s="19"/>
      <c r="D389" s="19"/>
      <c r="E389" s="20" t="s">
        <v>33</v>
      </c>
      <c r="F389" s="20"/>
      <c r="G389" s="21" t="s">
        <v>983</v>
      </c>
      <c r="H389" s="21"/>
      <c r="I389" s="21"/>
      <c r="J389" s="3" t="s">
        <v>35</v>
      </c>
      <c r="K389" s="4" t="s">
        <v>99</v>
      </c>
      <c r="L389" s="4" t="s">
        <v>68</v>
      </c>
      <c r="N389" s="21" t="s">
        <v>1018</v>
      </c>
      <c r="O389" s="21"/>
      <c r="P389" s="21" t="s">
        <v>1019</v>
      </c>
      <c r="Q389" s="21"/>
      <c r="R389" s="21"/>
      <c r="S389" s="3" t="s">
        <v>40</v>
      </c>
      <c r="T389" s="21" t="s">
        <v>41</v>
      </c>
      <c r="U389" s="21"/>
      <c r="V389" s="4" t="s">
        <v>42</v>
      </c>
      <c r="W389" s="4" t="s">
        <v>272</v>
      </c>
      <c r="X389" s="4" t="s">
        <v>273</v>
      </c>
      <c r="Y389" s="21" t="s">
        <v>56</v>
      </c>
      <c r="Z389" s="21"/>
      <c r="AA389" s="4" t="s">
        <v>46</v>
      </c>
      <c r="AB389" s="4" t="s">
        <v>47</v>
      </c>
      <c r="AC389" s="4" t="s">
        <v>139</v>
      </c>
      <c r="AD389" s="4" t="s">
        <v>151</v>
      </c>
      <c r="AE389" s="4" t="s">
        <v>48</v>
      </c>
      <c r="AF389" s="4" t="s">
        <v>41</v>
      </c>
      <c r="AG389" s="4" t="s">
        <v>986</v>
      </c>
    </row>
    <row r="390" spans="1:33" ht="16.5" customHeight="1" x14ac:dyDescent="0.2">
      <c r="A390" s="2" t="s">
        <v>31</v>
      </c>
      <c r="B390" s="19" t="s">
        <v>50</v>
      </c>
      <c r="C390" s="19"/>
      <c r="D390" s="19"/>
      <c r="E390" s="20" t="s">
        <v>33</v>
      </c>
      <c r="F390" s="20"/>
      <c r="G390" s="21" t="s">
        <v>983</v>
      </c>
      <c r="H390" s="21"/>
      <c r="I390" s="21"/>
      <c r="J390" s="3" t="s">
        <v>35</v>
      </c>
      <c r="K390" s="4" t="s">
        <v>413</v>
      </c>
      <c r="L390" s="4" t="s">
        <v>37</v>
      </c>
      <c r="N390" s="21" t="s">
        <v>1020</v>
      </c>
      <c r="O390" s="21"/>
      <c r="P390" s="21" t="s">
        <v>1021</v>
      </c>
      <c r="Q390" s="21"/>
      <c r="R390" s="21"/>
      <c r="S390" s="3" t="s">
        <v>40</v>
      </c>
      <c r="T390" s="21" t="s">
        <v>41</v>
      </c>
      <c r="U390" s="21"/>
      <c r="V390" s="4" t="s">
        <v>42</v>
      </c>
      <c r="W390" s="4" t="s">
        <v>234</v>
      </c>
      <c r="X390" s="4" t="s">
        <v>235</v>
      </c>
      <c r="Y390" s="21" t="s">
        <v>198</v>
      </c>
      <c r="Z390" s="21"/>
      <c r="AA390" s="4" t="s">
        <v>46</v>
      </c>
      <c r="AB390" s="4" t="s">
        <v>47</v>
      </c>
      <c r="AC390" s="4" t="s">
        <v>257</v>
      </c>
      <c r="AD390" s="4" t="s">
        <v>258</v>
      </c>
      <c r="AE390" s="4" t="s">
        <v>48</v>
      </c>
      <c r="AF390" s="4" t="s">
        <v>41</v>
      </c>
      <c r="AG390" s="4" t="s">
        <v>986</v>
      </c>
    </row>
    <row r="391" spans="1:33" ht="16.5" customHeight="1" x14ac:dyDescent="0.2">
      <c r="A391" s="2" t="s">
        <v>31</v>
      </c>
      <c r="B391" s="19" t="s">
        <v>50</v>
      </c>
      <c r="C391" s="19"/>
      <c r="D391" s="19"/>
      <c r="E391" s="20" t="s">
        <v>33</v>
      </c>
      <c r="F391" s="20"/>
      <c r="G391" s="21" t="s">
        <v>983</v>
      </c>
      <c r="H391" s="21"/>
      <c r="I391" s="21"/>
      <c r="J391" s="3" t="s">
        <v>35</v>
      </c>
      <c r="K391" s="4" t="s">
        <v>74</v>
      </c>
      <c r="L391" s="4" t="s">
        <v>68</v>
      </c>
      <c r="N391" s="21" t="s">
        <v>1022</v>
      </c>
      <c r="O391" s="21"/>
      <c r="P391" s="21" t="s">
        <v>1023</v>
      </c>
      <c r="Q391" s="21"/>
      <c r="R391" s="21"/>
      <c r="S391" s="3" t="s">
        <v>40</v>
      </c>
      <c r="T391" s="21" t="s">
        <v>41</v>
      </c>
      <c r="U391" s="21"/>
      <c r="V391" s="4" t="s">
        <v>42</v>
      </c>
      <c r="W391" s="4" t="s">
        <v>1024</v>
      </c>
      <c r="X391" s="4" t="s">
        <v>1025</v>
      </c>
      <c r="Y391" s="21" t="s">
        <v>65</v>
      </c>
      <c r="Z391" s="21"/>
      <c r="AA391" s="4" t="s">
        <v>46</v>
      </c>
      <c r="AB391" s="4" t="s">
        <v>47</v>
      </c>
      <c r="AC391" s="4" t="s">
        <v>81</v>
      </c>
      <c r="AD391" s="4" t="s">
        <v>41</v>
      </c>
      <c r="AE391" s="4" t="s">
        <v>48</v>
      </c>
      <c r="AF391" s="4" t="s">
        <v>41</v>
      </c>
      <c r="AG391" s="4" t="s">
        <v>986</v>
      </c>
    </row>
    <row r="392" spans="1:33" ht="16.5" customHeight="1" x14ac:dyDescent="0.2">
      <c r="A392" s="2" t="s">
        <v>31</v>
      </c>
      <c r="B392" s="19" t="s">
        <v>50</v>
      </c>
      <c r="C392" s="19"/>
      <c r="D392" s="19"/>
      <c r="E392" s="20" t="s">
        <v>33</v>
      </c>
      <c r="F392" s="20"/>
      <c r="G392" s="21" t="s">
        <v>983</v>
      </c>
      <c r="H392" s="21"/>
      <c r="I392" s="21"/>
      <c r="J392" s="3" t="s">
        <v>35</v>
      </c>
      <c r="K392" s="4" t="s">
        <v>204</v>
      </c>
      <c r="L392" s="4" t="s">
        <v>37</v>
      </c>
      <c r="N392" s="21" t="s">
        <v>1026</v>
      </c>
      <c r="O392" s="21"/>
      <c r="P392" s="21" t="s">
        <v>1027</v>
      </c>
      <c r="Q392" s="21"/>
      <c r="R392" s="21"/>
      <c r="S392" s="3" t="s">
        <v>40</v>
      </c>
      <c r="T392" s="21" t="s">
        <v>41</v>
      </c>
      <c r="U392" s="21"/>
      <c r="V392" s="4" t="s">
        <v>42</v>
      </c>
      <c r="W392" s="4" t="s">
        <v>54</v>
      </c>
      <c r="X392" s="4" t="s">
        <v>55</v>
      </c>
      <c r="Y392" s="21" t="s">
        <v>198</v>
      </c>
      <c r="Z392" s="21"/>
      <c r="AA392" s="4" t="s">
        <v>46</v>
      </c>
      <c r="AB392" s="4" t="s">
        <v>47</v>
      </c>
      <c r="AC392" s="4" t="s">
        <v>139</v>
      </c>
      <c r="AD392" s="4" t="s">
        <v>140</v>
      </c>
      <c r="AE392" s="4" t="s">
        <v>48</v>
      </c>
      <c r="AF392" s="4" t="s">
        <v>41</v>
      </c>
      <c r="AG392" s="4" t="s">
        <v>986</v>
      </c>
    </row>
    <row r="393" spans="1:33" ht="16.5" customHeight="1" x14ac:dyDescent="0.2">
      <c r="A393" s="2" t="s">
        <v>31</v>
      </c>
      <c r="B393" s="19" t="s">
        <v>50</v>
      </c>
      <c r="C393" s="19"/>
      <c r="D393" s="19"/>
      <c r="E393" s="20" t="s">
        <v>33</v>
      </c>
      <c r="F393" s="20"/>
      <c r="G393" s="21" t="s">
        <v>983</v>
      </c>
      <c r="H393" s="21"/>
      <c r="I393" s="21"/>
      <c r="J393" s="3" t="s">
        <v>35</v>
      </c>
      <c r="K393" s="4" t="s">
        <v>74</v>
      </c>
      <c r="L393" s="4" t="s">
        <v>37</v>
      </c>
      <c r="N393" s="21" t="s">
        <v>1028</v>
      </c>
      <c r="O393" s="21"/>
      <c r="P393" s="21" t="s">
        <v>1029</v>
      </c>
      <c r="Q393" s="21"/>
      <c r="R393" s="21"/>
      <c r="S393" s="3" t="s">
        <v>40</v>
      </c>
      <c r="T393" s="21" t="s">
        <v>41</v>
      </c>
      <c r="U393" s="21"/>
      <c r="V393" s="4" t="s">
        <v>42</v>
      </c>
      <c r="W393" s="4" t="s">
        <v>161</v>
      </c>
      <c r="X393" s="4" t="s">
        <v>162</v>
      </c>
      <c r="Y393" s="21" t="s">
        <v>65</v>
      </c>
      <c r="Z393" s="21"/>
      <c r="AA393" s="4" t="s">
        <v>46</v>
      </c>
      <c r="AB393" s="4" t="s">
        <v>47</v>
      </c>
      <c r="AC393" s="4" t="s">
        <v>57</v>
      </c>
      <c r="AD393" s="4" t="s">
        <v>58</v>
      </c>
      <c r="AE393" s="4" t="s">
        <v>48</v>
      </c>
      <c r="AF393" s="4" t="s">
        <v>41</v>
      </c>
      <c r="AG393" s="4" t="s">
        <v>986</v>
      </c>
    </row>
    <row r="394" spans="1:33" ht="16.5" customHeight="1" x14ac:dyDescent="0.2">
      <c r="A394" s="2" t="s">
        <v>31</v>
      </c>
      <c r="B394" s="19" t="s">
        <v>50</v>
      </c>
      <c r="C394" s="19"/>
      <c r="D394" s="19"/>
      <c r="E394" s="20" t="s">
        <v>33</v>
      </c>
      <c r="F394" s="20"/>
      <c r="G394" s="21" t="s">
        <v>983</v>
      </c>
      <c r="H394" s="21"/>
      <c r="I394" s="21"/>
      <c r="J394" s="3" t="s">
        <v>35</v>
      </c>
      <c r="K394" s="4" t="s">
        <v>82</v>
      </c>
      <c r="L394" s="4" t="s">
        <v>37</v>
      </c>
      <c r="N394" s="21" t="s">
        <v>1030</v>
      </c>
      <c r="O394" s="21"/>
      <c r="P394" s="21" t="s">
        <v>1031</v>
      </c>
      <c r="Q394" s="21"/>
      <c r="R394" s="21"/>
      <c r="S394" s="3" t="s">
        <v>40</v>
      </c>
      <c r="T394" s="21" t="s">
        <v>41</v>
      </c>
      <c r="U394" s="21"/>
      <c r="V394" s="4" t="s">
        <v>42</v>
      </c>
      <c r="W394" s="4" t="s">
        <v>410</v>
      </c>
      <c r="X394" s="4" t="s">
        <v>411</v>
      </c>
      <c r="Y394" s="21" t="s">
        <v>56</v>
      </c>
      <c r="Z394" s="21"/>
      <c r="AA394" s="4" t="s">
        <v>46</v>
      </c>
      <c r="AB394" s="4" t="s">
        <v>47</v>
      </c>
      <c r="AC394" s="4" t="s">
        <v>139</v>
      </c>
      <c r="AD394" s="4" t="s">
        <v>140</v>
      </c>
      <c r="AE394" s="4" t="s">
        <v>48</v>
      </c>
      <c r="AF394" s="4" t="s">
        <v>41</v>
      </c>
      <c r="AG394" s="4" t="s">
        <v>986</v>
      </c>
    </row>
    <row r="395" spans="1:33" ht="16.5" customHeight="1" x14ac:dyDescent="0.2">
      <c r="A395" s="2" t="s">
        <v>31</v>
      </c>
      <c r="B395" s="19" t="s">
        <v>50</v>
      </c>
      <c r="C395" s="19"/>
      <c r="D395" s="19"/>
      <c r="E395" s="20" t="s">
        <v>33</v>
      </c>
      <c r="F395" s="20"/>
      <c r="G395" s="21" t="s">
        <v>983</v>
      </c>
      <c r="H395" s="21"/>
      <c r="I395" s="21"/>
      <c r="J395" s="3" t="s">
        <v>35</v>
      </c>
      <c r="K395" s="4" t="s">
        <v>1032</v>
      </c>
      <c r="L395" s="4" t="s">
        <v>37</v>
      </c>
      <c r="N395" s="21" t="s">
        <v>1033</v>
      </c>
      <c r="O395" s="21"/>
      <c r="P395" s="21" t="s">
        <v>1034</v>
      </c>
      <c r="Q395" s="21"/>
      <c r="R395" s="21"/>
      <c r="S395" s="3" t="s">
        <v>40</v>
      </c>
      <c r="T395" s="21" t="s">
        <v>41</v>
      </c>
      <c r="U395" s="21"/>
      <c r="V395" s="4" t="s">
        <v>42</v>
      </c>
      <c r="W395" s="4" t="s">
        <v>94</v>
      </c>
      <c r="X395" s="4" t="s">
        <v>95</v>
      </c>
      <c r="Y395" s="21" t="s">
        <v>56</v>
      </c>
      <c r="Z395" s="21"/>
      <c r="AA395" s="4" t="s">
        <v>46</v>
      </c>
      <c r="AB395" s="4" t="s">
        <v>47</v>
      </c>
      <c r="AC395" s="4" t="s">
        <v>57</v>
      </c>
      <c r="AD395" s="4" t="s">
        <v>58</v>
      </c>
      <c r="AE395" s="4" t="s">
        <v>48</v>
      </c>
      <c r="AF395" s="4" t="s">
        <v>41</v>
      </c>
      <c r="AG395" s="4" t="s">
        <v>986</v>
      </c>
    </row>
    <row r="396" spans="1:33" ht="16.5" customHeight="1" x14ac:dyDescent="0.2">
      <c r="A396" s="2" t="s">
        <v>31</v>
      </c>
      <c r="B396" s="19" t="s">
        <v>50</v>
      </c>
      <c r="C396" s="19"/>
      <c r="D396" s="19"/>
      <c r="E396" s="20" t="s">
        <v>33</v>
      </c>
      <c r="F396" s="20"/>
      <c r="G396" s="21" t="s">
        <v>983</v>
      </c>
      <c r="H396" s="21"/>
      <c r="I396" s="21"/>
      <c r="J396" s="3" t="s">
        <v>35</v>
      </c>
      <c r="K396" s="4" t="s">
        <v>204</v>
      </c>
      <c r="L396" s="4" t="s">
        <v>37</v>
      </c>
      <c r="N396" s="21" t="s">
        <v>1035</v>
      </c>
      <c r="O396" s="21"/>
      <c r="P396" s="21" t="s">
        <v>1036</v>
      </c>
      <c r="Q396" s="21"/>
      <c r="R396" s="21"/>
      <c r="S396" s="3" t="s">
        <v>40</v>
      </c>
      <c r="T396" s="21" t="s">
        <v>41</v>
      </c>
      <c r="U396" s="21"/>
      <c r="V396" s="4" t="s">
        <v>42</v>
      </c>
      <c r="W396" s="4" t="s">
        <v>161</v>
      </c>
      <c r="X396" s="4" t="s">
        <v>162</v>
      </c>
      <c r="Y396" s="21" t="s">
        <v>198</v>
      </c>
      <c r="Z396" s="21"/>
      <c r="AA396" s="4" t="s">
        <v>46</v>
      </c>
      <c r="AB396" s="4" t="s">
        <v>47</v>
      </c>
      <c r="AC396" s="4" t="s">
        <v>257</v>
      </c>
      <c r="AD396" s="4" t="s">
        <v>258</v>
      </c>
      <c r="AE396" s="4" t="s">
        <v>48</v>
      </c>
      <c r="AF396" s="4" t="s">
        <v>41</v>
      </c>
      <c r="AG396" s="4" t="s">
        <v>986</v>
      </c>
    </row>
    <row r="397" spans="1:33" ht="16.5" customHeight="1" x14ac:dyDescent="0.2">
      <c r="A397" s="2" t="s">
        <v>31</v>
      </c>
      <c r="B397" s="19" t="s">
        <v>50</v>
      </c>
      <c r="C397" s="19"/>
      <c r="D397" s="19"/>
      <c r="E397" s="20" t="s">
        <v>33</v>
      </c>
      <c r="F397" s="20"/>
      <c r="G397" s="21" t="s">
        <v>983</v>
      </c>
      <c r="H397" s="21"/>
      <c r="I397" s="21"/>
      <c r="J397" s="3" t="s">
        <v>35</v>
      </c>
      <c r="K397" s="4" t="s">
        <v>74</v>
      </c>
      <c r="L397" s="4" t="s">
        <v>37</v>
      </c>
      <c r="N397" s="21" t="s">
        <v>1037</v>
      </c>
      <c r="O397" s="21"/>
      <c r="P397" s="21" t="s">
        <v>1038</v>
      </c>
      <c r="Q397" s="21"/>
      <c r="R397" s="21"/>
      <c r="S397" s="3" t="s">
        <v>40</v>
      </c>
      <c r="T397" s="21" t="s">
        <v>41</v>
      </c>
      <c r="U397" s="21"/>
      <c r="V397" s="4" t="s">
        <v>42</v>
      </c>
      <c r="W397" s="4" t="s">
        <v>325</v>
      </c>
      <c r="X397" s="4" t="s">
        <v>319</v>
      </c>
      <c r="Y397" s="21" t="s">
        <v>65</v>
      </c>
      <c r="Z397" s="21"/>
      <c r="AA397" s="4" t="s">
        <v>46</v>
      </c>
      <c r="AB397" s="4" t="s">
        <v>47</v>
      </c>
      <c r="AC397" s="4" t="s">
        <v>57</v>
      </c>
      <c r="AD397" s="4" t="s">
        <v>58</v>
      </c>
      <c r="AE397" s="4" t="s">
        <v>48</v>
      </c>
      <c r="AF397" s="4" t="s">
        <v>41</v>
      </c>
      <c r="AG397" s="4" t="s">
        <v>986</v>
      </c>
    </row>
    <row r="398" spans="1:33" ht="16.5" customHeight="1" x14ac:dyDescent="0.2">
      <c r="A398" s="2" t="s">
        <v>31</v>
      </c>
      <c r="B398" s="19" t="s">
        <v>50</v>
      </c>
      <c r="C398" s="19"/>
      <c r="D398" s="19"/>
      <c r="E398" s="20" t="s">
        <v>33</v>
      </c>
      <c r="F398" s="20"/>
      <c r="G398" s="21" t="s">
        <v>983</v>
      </c>
      <c r="H398" s="21"/>
      <c r="I398" s="21"/>
      <c r="J398" s="3" t="s">
        <v>35</v>
      </c>
      <c r="K398" s="4" t="s">
        <v>661</v>
      </c>
      <c r="L398" s="4" t="s">
        <v>37</v>
      </c>
      <c r="N398" s="21" t="s">
        <v>1039</v>
      </c>
      <c r="O398" s="21"/>
      <c r="P398" s="21" t="s">
        <v>1040</v>
      </c>
      <c r="Q398" s="21"/>
      <c r="R398" s="21"/>
      <c r="S398" s="3" t="s">
        <v>40</v>
      </c>
      <c r="T398" s="21" t="s">
        <v>41</v>
      </c>
      <c r="U398" s="21"/>
      <c r="V398" s="4" t="s">
        <v>42</v>
      </c>
      <c r="W398" s="4" t="s">
        <v>161</v>
      </c>
      <c r="X398" s="4" t="s">
        <v>162</v>
      </c>
      <c r="Y398" s="21" t="s">
        <v>198</v>
      </c>
      <c r="Z398" s="21"/>
      <c r="AA398" s="4" t="s">
        <v>46</v>
      </c>
      <c r="AB398" s="4" t="s">
        <v>47</v>
      </c>
      <c r="AC398" s="4" t="s">
        <v>257</v>
      </c>
      <c r="AD398" s="4" t="s">
        <v>258</v>
      </c>
      <c r="AE398" s="4" t="s">
        <v>48</v>
      </c>
      <c r="AF398" s="4" t="s">
        <v>41</v>
      </c>
      <c r="AG398" s="4" t="s">
        <v>986</v>
      </c>
    </row>
    <row r="399" spans="1:33" ht="16.5" customHeight="1" x14ac:dyDescent="0.2">
      <c r="A399" s="2" t="s">
        <v>31</v>
      </c>
      <c r="B399" s="19" t="s">
        <v>50</v>
      </c>
      <c r="C399" s="19"/>
      <c r="D399" s="19"/>
      <c r="E399" s="20" t="s">
        <v>33</v>
      </c>
      <c r="F399" s="20"/>
      <c r="G399" s="21" t="s">
        <v>983</v>
      </c>
      <c r="H399" s="21"/>
      <c r="I399" s="21"/>
      <c r="J399" s="3" t="s">
        <v>35</v>
      </c>
      <c r="K399" s="4" t="s">
        <v>133</v>
      </c>
      <c r="L399" s="4" t="s">
        <v>37</v>
      </c>
      <c r="N399" s="21" t="s">
        <v>1041</v>
      </c>
      <c r="O399" s="21"/>
      <c r="P399" s="21" t="s">
        <v>1042</v>
      </c>
      <c r="Q399" s="21"/>
      <c r="R399" s="21"/>
      <c r="S399" s="3" t="s">
        <v>40</v>
      </c>
      <c r="T399" s="21" t="s">
        <v>41</v>
      </c>
      <c r="U399" s="21"/>
      <c r="V399" s="4" t="s">
        <v>42</v>
      </c>
      <c r="W399" s="4" t="s">
        <v>234</v>
      </c>
      <c r="X399" s="4" t="s">
        <v>235</v>
      </c>
      <c r="Y399" s="21" t="s">
        <v>138</v>
      </c>
      <c r="Z399" s="21"/>
      <c r="AA399" s="4" t="s">
        <v>46</v>
      </c>
      <c r="AB399" s="4" t="s">
        <v>47</v>
      </c>
      <c r="AC399" s="4" t="s">
        <v>139</v>
      </c>
      <c r="AD399" s="4" t="s">
        <v>140</v>
      </c>
      <c r="AE399" s="4" t="s">
        <v>48</v>
      </c>
      <c r="AF399" s="4" t="s">
        <v>41</v>
      </c>
      <c r="AG399" s="4" t="s">
        <v>986</v>
      </c>
    </row>
    <row r="400" spans="1:33" ht="16.5" customHeight="1" x14ac:dyDescent="0.2">
      <c r="A400" s="2" t="s">
        <v>31</v>
      </c>
      <c r="B400" s="19" t="s">
        <v>50</v>
      </c>
      <c r="C400" s="19"/>
      <c r="D400" s="19"/>
      <c r="E400" s="20" t="s">
        <v>33</v>
      </c>
      <c r="F400" s="20"/>
      <c r="G400" s="21" t="s">
        <v>983</v>
      </c>
      <c r="H400" s="21"/>
      <c r="I400" s="21"/>
      <c r="J400" s="3" t="s">
        <v>35</v>
      </c>
      <c r="K400" s="4" t="s">
        <v>169</v>
      </c>
      <c r="L400" s="4" t="s">
        <v>37</v>
      </c>
      <c r="N400" s="21" t="s">
        <v>1043</v>
      </c>
      <c r="O400" s="21"/>
      <c r="P400" s="21" t="s">
        <v>1044</v>
      </c>
      <c r="Q400" s="21"/>
      <c r="R400" s="21"/>
      <c r="S400" s="3" t="s">
        <v>40</v>
      </c>
      <c r="T400" s="21" t="s">
        <v>41</v>
      </c>
      <c r="U400" s="21"/>
      <c r="V400" s="4" t="s">
        <v>42</v>
      </c>
      <c r="W400" s="4" t="s">
        <v>469</v>
      </c>
      <c r="X400" s="4" t="s">
        <v>470</v>
      </c>
      <c r="Y400" s="21" t="s">
        <v>56</v>
      </c>
      <c r="Z400" s="21"/>
      <c r="AA400" s="4" t="s">
        <v>46</v>
      </c>
      <c r="AB400" s="4" t="s">
        <v>47</v>
      </c>
      <c r="AC400" s="4" t="s">
        <v>139</v>
      </c>
      <c r="AD400" s="4" t="s">
        <v>140</v>
      </c>
      <c r="AE400" s="4" t="s">
        <v>48</v>
      </c>
      <c r="AF400" s="4" t="s">
        <v>41</v>
      </c>
      <c r="AG400" s="4" t="s">
        <v>986</v>
      </c>
    </row>
    <row r="401" spans="1:33" ht="16.5" customHeight="1" x14ac:dyDescent="0.2">
      <c r="A401" s="2" t="s">
        <v>31</v>
      </c>
      <c r="B401" s="19" t="s">
        <v>50</v>
      </c>
      <c r="C401" s="19"/>
      <c r="D401" s="19"/>
      <c r="E401" s="20" t="s">
        <v>33</v>
      </c>
      <c r="F401" s="20"/>
      <c r="G401" s="21" t="s">
        <v>983</v>
      </c>
      <c r="H401" s="21"/>
      <c r="I401" s="21"/>
      <c r="J401" s="3" t="s">
        <v>35</v>
      </c>
      <c r="K401" s="4" t="s">
        <v>247</v>
      </c>
      <c r="L401" s="4" t="s">
        <v>37</v>
      </c>
      <c r="N401" s="21" t="s">
        <v>1045</v>
      </c>
      <c r="O401" s="21"/>
      <c r="P401" s="21" t="s">
        <v>1046</v>
      </c>
      <c r="Q401" s="21"/>
      <c r="R401" s="21"/>
      <c r="S401" s="3" t="s">
        <v>40</v>
      </c>
      <c r="T401" s="21" t="s">
        <v>41</v>
      </c>
      <c r="U401" s="21"/>
      <c r="V401" s="4" t="s">
        <v>42</v>
      </c>
      <c r="W401" s="4" t="s">
        <v>130</v>
      </c>
      <c r="X401" s="4" t="s">
        <v>60</v>
      </c>
      <c r="Y401" s="21" t="s">
        <v>65</v>
      </c>
      <c r="Z401" s="21"/>
      <c r="AA401" s="4" t="s">
        <v>46</v>
      </c>
      <c r="AB401" s="4" t="s">
        <v>47</v>
      </c>
      <c r="AC401" s="4" t="s">
        <v>66</v>
      </c>
      <c r="AD401" s="4" t="s">
        <v>73</v>
      </c>
      <c r="AE401" s="4" t="s">
        <v>48</v>
      </c>
      <c r="AF401" s="4" t="s">
        <v>41</v>
      </c>
      <c r="AG401" s="4" t="s">
        <v>986</v>
      </c>
    </row>
    <row r="402" spans="1:33" ht="16.5" customHeight="1" x14ac:dyDescent="0.2">
      <c r="A402" s="2" t="s">
        <v>31</v>
      </c>
      <c r="B402" s="19" t="s">
        <v>50</v>
      </c>
      <c r="C402" s="19"/>
      <c r="D402" s="19"/>
      <c r="E402" s="20" t="s">
        <v>33</v>
      </c>
      <c r="F402" s="20"/>
      <c r="G402" s="21" t="s">
        <v>983</v>
      </c>
      <c r="H402" s="21"/>
      <c r="I402" s="21"/>
      <c r="J402" s="3" t="s">
        <v>35</v>
      </c>
      <c r="K402" s="4" t="s">
        <v>146</v>
      </c>
      <c r="L402" s="4" t="s">
        <v>37</v>
      </c>
      <c r="N402" s="21" t="s">
        <v>1047</v>
      </c>
      <c r="O402" s="21"/>
      <c r="P402" s="21" t="s">
        <v>1048</v>
      </c>
      <c r="Q402" s="21"/>
      <c r="R402" s="21"/>
      <c r="S402" s="3" t="s">
        <v>40</v>
      </c>
      <c r="T402" s="21" t="s">
        <v>41</v>
      </c>
      <c r="U402" s="21"/>
      <c r="V402" s="4" t="s">
        <v>42</v>
      </c>
      <c r="W402" s="4" t="s">
        <v>54</v>
      </c>
      <c r="X402" s="4" t="s">
        <v>55</v>
      </c>
      <c r="Y402" s="21" t="s">
        <v>138</v>
      </c>
      <c r="Z402" s="21"/>
      <c r="AA402" s="4" t="s">
        <v>46</v>
      </c>
      <c r="AB402" s="4" t="s">
        <v>47</v>
      </c>
      <c r="AC402" s="4" t="s">
        <v>57</v>
      </c>
      <c r="AD402" s="4" t="s">
        <v>58</v>
      </c>
      <c r="AE402" s="4" t="s">
        <v>48</v>
      </c>
      <c r="AF402" s="4" t="s">
        <v>41</v>
      </c>
      <c r="AG402" s="4" t="s">
        <v>986</v>
      </c>
    </row>
    <row r="403" spans="1:33" ht="16.5" customHeight="1" x14ac:dyDescent="0.2">
      <c r="A403" s="2" t="s">
        <v>31</v>
      </c>
      <c r="B403" s="19" t="s">
        <v>50</v>
      </c>
      <c r="C403" s="19"/>
      <c r="D403" s="19"/>
      <c r="E403" s="20" t="s">
        <v>33</v>
      </c>
      <c r="F403" s="20"/>
      <c r="G403" s="21" t="s">
        <v>983</v>
      </c>
      <c r="H403" s="21"/>
      <c r="I403" s="21"/>
      <c r="J403" s="3" t="s">
        <v>35</v>
      </c>
      <c r="K403" s="4" t="s">
        <v>204</v>
      </c>
      <c r="L403" s="4" t="s">
        <v>68</v>
      </c>
      <c r="N403" s="21" t="s">
        <v>1049</v>
      </c>
      <c r="O403" s="21"/>
      <c r="P403" s="21" t="s">
        <v>1050</v>
      </c>
      <c r="Q403" s="21"/>
      <c r="R403" s="21"/>
      <c r="S403" s="3" t="s">
        <v>40</v>
      </c>
      <c r="T403" s="21" t="s">
        <v>41</v>
      </c>
      <c r="U403" s="21"/>
      <c r="V403" s="4" t="s">
        <v>42</v>
      </c>
      <c r="W403" s="4" t="s">
        <v>54</v>
      </c>
      <c r="X403" s="4" t="s">
        <v>55</v>
      </c>
      <c r="Y403" s="21" t="s">
        <v>198</v>
      </c>
      <c r="Z403" s="21"/>
      <c r="AA403" s="4" t="s">
        <v>46</v>
      </c>
      <c r="AB403" s="4" t="s">
        <v>47</v>
      </c>
      <c r="AC403" s="4" t="s">
        <v>139</v>
      </c>
      <c r="AD403" s="4" t="s">
        <v>151</v>
      </c>
      <c r="AE403" s="4" t="s">
        <v>48</v>
      </c>
      <c r="AF403" s="4" t="s">
        <v>41</v>
      </c>
      <c r="AG403" s="4" t="s">
        <v>986</v>
      </c>
    </row>
    <row r="404" spans="1:33" ht="16.5" customHeight="1" x14ac:dyDescent="0.2">
      <c r="A404" s="2" t="s">
        <v>31</v>
      </c>
      <c r="B404" s="19" t="s">
        <v>50</v>
      </c>
      <c r="C404" s="19"/>
      <c r="D404" s="19"/>
      <c r="E404" s="20" t="s">
        <v>33</v>
      </c>
      <c r="F404" s="20"/>
      <c r="G404" s="21" t="s">
        <v>983</v>
      </c>
      <c r="H404" s="21"/>
      <c r="I404" s="21"/>
      <c r="J404" s="3" t="s">
        <v>35</v>
      </c>
      <c r="K404" s="4" t="s">
        <v>661</v>
      </c>
      <c r="L404" s="4" t="s">
        <v>68</v>
      </c>
      <c r="N404" s="21" t="s">
        <v>1051</v>
      </c>
      <c r="O404" s="21"/>
      <c r="P404" s="21" t="s">
        <v>1052</v>
      </c>
      <c r="Q404" s="21"/>
      <c r="R404" s="21"/>
      <c r="S404" s="3" t="s">
        <v>40</v>
      </c>
      <c r="T404" s="21" t="s">
        <v>41</v>
      </c>
      <c r="U404" s="21"/>
      <c r="V404" s="4" t="s">
        <v>42</v>
      </c>
      <c r="W404" s="4" t="s">
        <v>94</v>
      </c>
      <c r="X404" s="4" t="s">
        <v>95</v>
      </c>
      <c r="Y404" s="21" t="s">
        <v>198</v>
      </c>
      <c r="Z404" s="21"/>
      <c r="AA404" s="4" t="s">
        <v>46</v>
      </c>
      <c r="AB404" s="4" t="s">
        <v>47</v>
      </c>
      <c r="AC404" s="4" t="s">
        <v>139</v>
      </c>
      <c r="AD404" s="4" t="s">
        <v>151</v>
      </c>
      <c r="AE404" s="4" t="s">
        <v>48</v>
      </c>
      <c r="AF404" s="4" t="s">
        <v>41</v>
      </c>
      <c r="AG404" s="4" t="s">
        <v>986</v>
      </c>
    </row>
    <row r="405" spans="1:33" ht="16.5" customHeight="1" x14ac:dyDescent="0.2">
      <c r="A405" s="2" t="s">
        <v>31</v>
      </c>
      <c r="B405" s="19" t="s">
        <v>50</v>
      </c>
      <c r="C405" s="19"/>
      <c r="D405" s="19"/>
      <c r="E405" s="20" t="s">
        <v>33</v>
      </c>
      <c r="F405" s="20"/>
      <c r="G405" s="21" t="s">
        <v>983</v>
      </c>
      <c r="H405" s="21"/>
      <c r="I405" s="21"/>
      <c r="J405" s="3" t="s">
        <v>35</v>
      </c>
      <c r="K405" s="4" t="s">
        <v>661</v>
      </c>
      <c r="L405" s="4" t="s">
        <v>68</v>
      </c>
      <c r="N405" s="21" t="s">
        <v>1053</v>
      </c>
      <c r="O405" s="21"/>
      <c r="P405" s="21" t="s">
        <v>1054</v>
      </c>
      <c r="Q405" s="21"/>
      <c r="R405" s="21"/>
      <c r="S405" s="3" t="s">
        <v>40</v>
      </c>
      <c r="T405" s="21" t="s">
        <v>41</v>
      </c>
      <c r="U405" s="21"/>
      <c r="V405" s="4" t="s">
        <v>42</v>
      </c>
      <c r="W405" s="4" t="s">
        <v>234</v>
      </c>
      <c r="X405" s="4" t="s">
        <v>235</v>
      </c>
      <c r="Y405" s="21" t="s">
        <v>198</v>
      </c>
      <c r="Z405" s="21"/>
      <c r="AA405" s="4" t="s">
        <v>46</v>
      </c>
      <c r="AB405" s="4" t="s">
        <v>47</v>
      </c>
      <c r="AC405" s="4" t="s">
        <v>257</v>
      </c>
      <c r="AD405" s="4" t="s">
        <v>73</v>
      </c>
      <c r="AE405" s="4" t="s">
        <v>48</v>
      </c>
      <c r="AF405" s="4" t="s">
        <v>41</v>
      </c>
      <c r="AG405" s="4" t="s">
        <v>986</v>
      </c>
    </row>
    <row r="406" spans="1:33" ht="16.5" customHeight="1" x14ac:dyDescent="0.2">
      <c r="A406" s="2" t="s">
        <v>31</v>
      </c>
      <c r="B406" s="19" t="s">
        <v>50</v>
      </c>
      <c r="C406" s="19"/>
      <c r="D406" s="19"/>
      <c r="E406" s="20" t="s">
        <v>33</v>
      </c>
      <c r="F406" s="20"/>
      <c r="G406" s="21" t="s">
        <v>983</v>
      </c>
      <c r="H406" s="21"/>
      <c r="I406" s="21"/>
      <c r="J406" s="3" t="s">
        <v>35</v>
      </c>
      <c r="K406" s="4" t="s">
        <v>146</v>
      </c>
      <c r="L406" s="4" t="s">
        <v>37</v>
      </c>
      <c r="N406" s="21" t="s">
        <v>1055</v>
      </c>
      <c r="O406" s="21"/>
      <c r="P406" s="21" t="s">
        <v>1056</v>
      </c>
      <c r="Q406" s="21"/>
      <c r="R406" s="21"/>
      <c r="S406" s="3" t="s">
        <v>40</v>
      </c>
      <c r="T406" s="21" t="s">
        <v>41</v>
      </c>
      <c r="U406" s="21"/>
      <c r="V406" s="4" t="s">
        <v>42</v>
      </c>
      <c r="W406" s="4" t="s">
        <v>157</v>
      </c>
      <c r="X406" s="4" t="s">
        <v>158</v>
      </c>
      <c r="Y406" s="21" t="s">
        <v>138</v>
      </c>
      <c r="Z406" s="21"/>
      <c r="AA406" s="4" t="s">
        <v>46</v>
      </c>
      <c r="AB406" s="4" t="s">
        <v>47</v>
      </c>
      <c r="AC406" s="4" t="s">
        <v>139</v>
      </c>
      <c r="AD406" s="4" t="s">
        <v>140</v>
      </c>
      <c r="AE406" s="4" t="s">
        <v>48</v>
      </c>
      <c r="AF406" s="4" t="s">
        <v>41</v>
      </c>
      <c r="AG406" s="4" t="s">
        <v>986</v>
      </c>
    </row>
    <row r="407" spans="1:33" ht="16.5" customHeight="1" x14ac:dyDescent="0.2">
      <c r="A407" s="2" t="s">
        <v>31</v>
      </c>
      <c r="B407" s="19" t="s">
        <v>50</v>
      </c>
      <c r="C407" s="19"/>
      <c r="D407" s="19"/>
      <c r="E407" s="20" t="s">
        <v>33</v>
      </c>
      <c r="F407" s="20"/>
      <c r="G407" s="21" t="s">
        <v>983</v>
      </c>
      <c r="H407" s="21"/>
      <c r="I407" s="21"/>
      <c r="J407" s="3" t="s">
        <v>35</v>
      </c>
      <c r="K407" s="4" t="s">
        <v>204</v>
      </c>
      <c r="L407" s="4" t="s">
        <v>37</v>
      </c>
      <c r="N407" s="21" t="s">
        <v>1057</v>
      </c>
      <c r="O407" s="21"/>
      <c r="P407" s="21" t="s">
        <v>1058</v>
      </c>
      <c r="Q407" s="21"/>
      <c r="R407" s="21"/>
      <c r="S407" s="3" t="s">
        <v>40</v>
      </c>
      <c r="T407" s="21" t="s">
        <v>41</v>
      </c>
      <c r="U407" s="21"/>
      <c r="V407" s="4" t="s">
        <v>42</v>
      </c>
      <c r="W407" s="4" t="s">
        <v>350</v>
      </c>
      <c r="X407" s="4" t="s">
        <v>339</v>
      </c>
      <c r="Y407" s="21" t="s">
        <v>198</v>
      </c>
      <c r="Z407" s="21"/>
      <c r="AA407" s="4" t="s">
        <v>46</v>
      </c>
      <c r="AB407" s="4" t="s">
        <v>47</v>
      </c>
      <c r="AC407" s="4" t="s">
        <v>257</v>
      </c>
      <c r="AD407" s="4" t="s">
        <v>258</v>
      </c>
      <c r="AE407" s="4" t="s">
        <v>48</v>
      </c>
      <c r="AF407" s="4" t="s">
        <v>41</v>
      </c>
      <c r="AG407" s="4" t="s">
        <v>986</v>
      </c>
    </row>
    <row r="408" spans="1:33" ht="16.5" customHeight="1" x14ac:dyDescent="0.2">
      <c r="A408" s="2" t="s">
        <v>31</v>
      </c>
      <c r="B408" s="19" t="s">
        <v>50</v>
      </c>
      <c r="C408" s="19"/>
      <c r="D408" s="19"/>
      <c r="E408" s="20" t="s">
        <v>33</v>
      </c>
      <c r="F408" s="20"/>
      <c r="G408" s="21" t="s">
        <v>983</v>
      </c>
      <c r="H408" s="21"/>
      <c r="I408" s="21"/>
      <c r="J408" s="3" t="s">
        <v>35</v>
      </c>
      <c r="K408" s="4" t="s">
        <v>146</v>
      </c>
      <c r="L408" s="4" t="s">
        <v>278</v>
      </c>
      <c r="N408" s="21" t="s">
        <v>1059</v>
      </c>
      <c r="O408" s="21"/>
      <c r="P408" s="21" t="s">
        <v>1060</v>
      </c>
      <c r="Q408" s="21"/>
      <c r="R408" s="21"/>
      <c r="S408" s="3" t="s">
        <v>40</v>
      </c>
      <c r="T408" s="21" t="s">
        <v>41</v>
      </c>
      <c r="U408" s="21"/>
      <c r="V408" s="4" t="s">
        <v>42</v>
      </c>
      <c r="W408" s="4" t="s">
        <v>202</v>
      </c>
      <c r="X408" s="4" t="s">
        <v>203</v>
      </c>
      <c r="Y408" s="21" t="s">
        <v>138</v>
      </c>
      <c r="Z408" s="21"/>
      <c r="AA408" s="4" t="s">
        <v>46</v>
      </c>
      <c r="AB408" s="4" t="s">
        <v>47</v>
      </c>
      <c r="AC408" s="4" t="s">
        <v>139</v>
      </c>
      <c r="AD408" s="4" t="s">
        <v>69</v>
      </c>
      <c r="AE408" s="4" t="s">
        <v>48</v>
      </c>
      <c r="AF408" s="4" t="s">
        <v>41</v>
      </c>
      <c r="AG408" s="4" t="s">
        <v>986</v>
      </c>
    </row>
    <row r="409" spans="1:33" ht="16.5" customHeight="1" x14ac:dyDescent="0.2">
      <c r="A409" s="2" t="s">
        <v>31</v>
      </c>
      <c r="B409" s="19" t="s">
        <v>50</v>
      </c>
      <c r="C409" s="19"/>
      <c r="D409" s="19"/>
      <c r="E409" s="20" t="s">
        <v>33</v>
      </c>
      <c r="F409" s="20"/>
      <c r="G409" s="21" t="s">
        <v>983</v>
      </c>
      <c r="H409" s="21"/>
      <c r="I409" s="21"/>
      <c r="J409" s="3" t="s">
        <v>35</v>
      </c>
      <c r="K409" s="4" t="s">
        <v>82</v>
      </c>
      <c r="L409" s="4" t="s">
        <v>37</v>
      </c>
      <c r="N409" s="21" t="s">
        <v>1061</v>
      </c>
      <c r="O409" s="21"/>
      <c r="P409" s="21" t="s">
        <v>1062</v>
      </c>
      <c r="Q409" s="21"/>
      <c r="R409" s="21"/>
      <c r="S409" s="3" t="s">
        <v>40</v>
      </c>
      <c r="T409" s="21" t="s">
        <v>41</v>
      </c>
      <c r="U409" s="21"/>
      <c r="V409" s="4" t="s">
        <v>42</v>
      </c>
      <c r="W409" s="4" t="s">
        <v>310</v>
      </c>
      <c r="X409" s="4" t="s">
        <v>311</v>
      </c>
      <c r="Y409" s="21" t="s">
        <v>56</v>
      </c>
      <c r="Z409" s="21"/>
      <c r="AA409" s="4" t="s">
        <v>46</v>
      </c>
      <c r="AB409" s="4" t="s">
        <v>47</v>
      </c>
      <c r="AC409" s="4" t="s">
        <v>57</v>
      </c>
      <c r="AD409" s="4" t="s">
        <v>58</v>
      </c>
      <c r="AE409" s="4" t="s">
        <v>48</v>
      </c>
      <c r="AF409" s="4" t="s">
        <v>41</v>
      </c>
      <c r="AG409" s="4" t="s">
        <v>986</v>
      </c>
    </row>
    <row r="410" spans="1:33" ht="0.75" customHeight="1" x14ac:dyDescent="0.2"/>
    <row r="411" spans="1:33" ht="12" customHeight="1" x14ac:dyDescent="0.2"/>
    <row r="412" spans="1:33" ht="16.5" customHeight="1" x14ac:dyDescent="0.2">
      <c r="A412" s="2" t="s">
        <v>31</v>
      </c>
      <c r="B412" s="19" t="s">
        <v>50</v>
      </c>
      <c r="C412" s="19"/>
      <c r="D412" s="19"/>
      <c r="E412" s="20" t="s">
        <v>33</v>
      </c>
      <c r="F412" s="20"/>
      <c r="G412" s="21" t="s">
        <v>983</v>
      </c>
      <c r="H412" s="21"/>
      <c r="I412" s="21"/>
      <c r="J412" s="3" t="s">
        <v>35</v>
      </c>
      <c r="K412" s="4" t="s">
        <v>265</v>
      </c>
      <c r="L412" s="4" t="s">
        <v>37</v>
      </c>
      <c r="N412" s="21" t="s">
        <v>1063</v>
      </c>
      <c r="O412" s="21"/>
      <c r="P412" s="21" t="s">
        <v>1064</v>
      </c>
      <c r="Q412" s="21"/>
      <c r="R412" s="21"/>
      <c r="S412" s="3" t="s">
        <v>40</v>
      </c>
      <c r="T412" s="21" t="s">
        <v>41</v>
      </c>
      <c r="U412" s="21"/>
      <c r="V412" s="4" t="s">
        <v>42</v>
      </c>
      <c r="W412" s="4" t="s">
        <v>43</v>
      </c>
      <c r="X412" s="4" t="s">
        <v>44</v>
      </c>
      <c r="Y412" s="21" t="s">
        <v>56</v>
      </c>
      <c r="Z412" s="21"/>
      <c r="AA412" s="4" t="s">
        <v>46</v>
      </c>
      <c r="AB412" s="4" t="s">
        <v>47</v>
      </c>
      <c r="AC412" s="4" t="s">
        <v>139</v>
      </c>
      <c r="AD412" s="4" t="s">
        <v>140</v>
      </c>
      <c r="AE412" s="4" t="s">
        <v>48</v>
      </c>
      <c r="AF412" s="4" t="s">
        <v>41</v>
      </c>
      <c r="AG412" s="4" t="s">
        <v>986</v>
      </c>
    </row>
    <row r="413" spans="1:33" ht="16.5" customHeight="1" x14ac:dyDescent="0.2">
      <c r="A413" s="2" t="s">
        <v>31</v>
      </c>
      <c r="B413" s="19" t="s">
        <v>50</v>
      </c>
      <c r="C413" s="19"/>
      <c r="D413" s="19"/>
      <c r="E413" s="20" t="s">
        <v>33</v>
      </c>
      <c r="F413" s="20"/>
      <c r="G413" s="21" t="s">
        <v>983</v>
      </c>
      <c r="H413" s="21"/>
      <c r="I413" s="21"/>
      <c r="J413" s="3" t="s">
        <v>35</v>
      </c>
      <c r="K413" s="4" t="s">
        <v>74</v>
      </c>
      <c r="L413" s="4" t="s">
        <v>37</v>
      </c>
      <c r="N413" s="21" t="s">
        <v>1065</v>
      </c>
      <c r="O413" s="21"/>
      <c r="P413" s="21" t="s">
        <v>1066</v>
      </c>
      <c r="Q413" s="21"/>
      <c r="R413" s="21"/>
      <c r="S413" s="3" t="s">
        <v>40</v>
      </c>
      <c r="T413" s="21" t="s">
        <v>41</v>
      </c>
      <c r="U413" s="21"/>
      <c r="V413" s="4" t="s">
        <v>42</v>
      </c>
      <c r="W413" s="4" t="s">
        <v>54</v>
      </c>
      <c r="X413" s="4" t="s">
        <v>55</v>
      </c>
      <c r="Y413" s="21" t="s">
        <v>65</v>
      </c>
      <c r="Z413" s="21"/>
      <c r="AA413" s="4" t="s">
        <v>46</v>
      </c>
      <c r="AB413" s="4" t="s">
        <v>47</v>
      </c>
      <c r="AC413" s="4" t="s">
        <v>66</v>
      </c>
      <c r="AD413" s="4" t="s">
        <v>73</v>
      </c>
      <c r="AE413" s="4" t="s">
        <v>48</v>
      </c>
      <c r="AF413" s="4" t="s">
        <v>41</v>
      </c>
      <c r="AG413" s="4" t="s">
        <v>986</v>
      </c>
    </row>
    <row r="414" spans="1:33" ht="16.5" customHeight="1" x14ac:dyDescent="0.2">
      <c r="A414" s="2" t="s">
        <v>31</v>
      </c>
      <c r="B414" s="19" t="s">
        <v>50</v>
      </c>
      <c r="C414" s="19"/>
      <c r="D414" s="19"/>
      <c r="E414" s="20" t="s">
        <v>33</v>
      </c>
      <c r="F414" s="20"/>
      <c r="G414" s="21" t="s">
        <v>983</v>
      </c>
      <c r="H414" s="21"/>
      <c r="I414" s="21"/>
      <c r="J414" s="3" t="s">
        <v>35</v>
      </c>
      <c r="K414" s="4" t="s">
        <v>152</v>
      </c>
      <c r="L414" s="4" t="s">
        <v>37</v>
      </c>
      <c r="N414" s="21" t="s">
        <v>1067</v>
      </c>
      <c r="O414" s="21"/>
      <c r="P414" s="21" t="s">
        <v>1068</v>
      </c>
      <c r="Q414" s="21"/>
      <c r="R414" s="21"/>
      <c r="S414" s="3" t="s">
        <v>40</v>
      </c>
      <c r="T414" s="21" t="s">
        <v>41</v>
      </c>
      <c r="U414" s="21"/>
      <c r="V414" s="4" t="s">
        <v>42</v>
      </c>
      <c r="W414" s="4" t="s">
        <v>1069</v>
      </c>
      <c r="X414" s="4" t="s">
        <v>282</v>
      </c>
      <c r="Y414" s="21" t="s">
        <v>56</v>
      </c>
      <c r="Z414" s="21"/>
      <c r="AA414" s="4" t="s">
        <v>46</v>
      </c>
      <c r="AB414" s="4" t="s">
        <v>47</v>
      </c>
      <c r="AC414" s="4" t="s">
        <v>139</v>
      </c>
      <c r="AD414" s="4" t="s">
        <v>140</v>
      </c>
      <c r="AE414" s="4" t="s">
        <v>48</v>
      </c>
      <c r="AF414" s="4" t="s">
        <v>41</v>
      </c>
      <c r="AG414" s="4" t="s">
        <v>986</v>
      </c>
    </row>
    <row r="415" spans="1:33" ht="16.5" customHeight="1" x14ac:dyDescent="0.2">
      <c r="A415" s="2" t="s">
        <v>31</v>
      </c>
      <c r="B415" s="19" t="s">
        <v>50</v>
      </c>
      <c r="C415" s="19"/>
      <c r="D415" s="19"/>
      <c r="E415" s="20" t="s">
        <v>33</v>
      </c>
      <c r="F415" s="20"/>
      <c r="G415" s="21" t="s">
        <v>983</v>
      </c>
      <c r="H415" s="21"/>
      <c r="I415" s="21"/>
      <c r="J415" s="3" t="s">
        <v>35</v>
      </c>
      <c r="K415" s="4" t="s">
        <v>661</v>
      </c>
      <c r="L415" s="4" t="s">
        <v>278</v>
      </c>
      <c r="N415" s="21" t="s">
        <v>1070</v>
      </c>
      <c r="O415" s="21"/>
      <c r="P415" s="21" t="s">
        <v>1071</v>
      </c>
      <c r="Q415" s="21"/>
      <c r="R415" s="21"/>
      <c r="S415" s="3" t="s">
        <v>40</v>
      </c>
      <c r="T415" s="21" t="s">
        <v>41</v>
      </c>
      <c r="U415" s="21"/>
      <c r="V415" s="4" t="s">
        <v>42</v>
      </c>
      <c r="W415" s="4" t="s">
        <v>234</v>
      </c>
      <c r="X415" s="4" t="s">
        <v>235</v>
      </c>
      <c r="Y415" s="21" t="s">
        <v>198</v>
      </c>
      <c r="Z415" s="21"/>
      <c r="AA415" s="4" t="s">
        <v>46</v>
      </c>
      <c r="AB415" s="4" t="s">
        <v>47</v>
      </c>
      <c r="AC415" s="4" t="s">
        <v>257</v>
      </c>
      <c r="AD415" s="4" t="s">
        <v>1072</v>
      </c>
      <c r="AE415" s="4" t="s">
        <v>48</v>
      </c>
      <c r="AF415" s="4" t="s">
        <v>41</v>
      </c>
      <c r="AG415" s="4" t="s">
        <v>986</v>
      </c>
    </row>
    <row r="416" spans="1:33" ht="16.5" customHeight="1" x14ac:dyDescent="0.2">
      <c r="A416" s="2" t="s">
        <v>31</v>
      </c>
      <c r="B416" s="19" t="s">
        <v>50</v>
      </c>
      <c r="C416" s="19"/>
      <c r="D416" s="19"/>
      <c r="E416" s="20" t="s">
        <v>33</v>
      </c>
      <c r="F416" s="20"/>
      <c r="G416" s="21" t="s">
        <v>983</v>
      </c>
      <c r="H416" s="21"/>
      <c r="I416" s="21"/>
      <c r="J416" s="3" t="s">
        <v>35</v>
      </c>
      <c r="K416" s="4" t="s">
        <v>661</v>
      </c>
      <c r="L416" s="4" t="s">
        <v>37</v>
      </c>
      <c r="N416" s="21" t="s">
        <v>1073</v>
      </c>
      <c r="O416" s="21"/>
      <c r="P416" s="21" t="s">
        <v>1074</v>
      </c>
      <c r="Q416" s="21"/>
      <c r="R416" s="21"/>
      <c r="S416" s="3" t="s">
        <v>40</v>
      </c>
      <c r="T416" s="21" t="s">
        <v>41</v>
      </c>
      <c r="U416" s="21"/>
      <c r="V416" s="4" t="s">
        <v>42</v>
      </c>
      <c r="W416" s="4" t="s">
        <v>54</v>
      </c>
      <c r="X416" s="4" t="s">
        <v>55</v>
      </c>
      <c r="Y416" s="21" t="s">
        <v>198</v>
      </c>
      <c r="Z416" s="21"/>
      <c r="AA416" s="4" t="s">
        <v>46</v>
      </c>
      <c r="AB416" s="4" t="s">
        <v>47</v>
      </c>
      <c r="AC416" s="4" t="s">
        <v>139</v>
      </c>
      <c r="AD416" s="4" t="s">
        <v>140</v>
      </c>
      <c r="AE416" s="4" t="s">
        <v>48</v>
      </c>
      <c r="AF416" s="4" t="s">
        <v>41</v>
      </c>
      <c r="AG416" s="4" t="s">
        <v>986</v>
      </c>
    </row>
    <row r="417" spans="1:33" ht="16.5" customHeight="1" x14ac:dyDescent="0.2">
      <c r="A417" s="2" t="s">
        <v>31</v>
      </c>
      <c r="B417" s="19" t="s">
        <v>50</v>
      </c>
      <c r="C417" s="19"/>
      <c r="D417" s="19"/>
      <c r="E417" s="20" t="s">
        <v>33</v>
      </c>
      <c r="F417" s="20"/>
      <c r="G417" s="21" t="s">
        <v>983</v>
      </c>
      <c r="H417" s="21"/>
      <c r="I417" s="21"/>
      <c r="J417" s="3" t="s">
        <v>35</v>
      </c>
      <c r="K417" s="4" t="s">
        <v>661</v>
      </c>
      <c r="L417" s="4" t="s">
        <v>37</v>
      </c>
      <c r="N417" s="21" t="s">
        <v>1075</v>
      </c>
      <c r="O417" s="21"/>
      <c r="P417" s="21" t="s">
        <v>1076</v>
      </c>
      <c r="Q417" s="21"/>
      <c r="R417" s="21"/>
      <c r="S417" s="3" t="s">
        <v>40</v>
      </c>
      <c r="T417" s="21" t="s">
        <v>41</v>
      </c>
      <c r="U417" s="21"/>
      <c r="V417" s="4" t="s">
        <v>42</v>
      </c>
      <c r="W417" s="4" t="s">
        <v>1077</v>
      </c>
      <c r="X417" s="4" t="s">
        <v>214</v>
      </c>
      <c r="Y417" s="21" t="s">
        <v>198</v>
      </c>
      <c r="Z417" s="21"/>
      <c r="AA417" s="4" t="s">
        <v>46</v>
      </c>
      <c r="AB417" s="4" t="s">
        <v>47</v>
      </c>
      <c r="AC417" s="4" t="s">
        <v>257</v>
      </c>
      <c r="AD417" s="4" t="s">
        <v>258</v>
      </c>
      <c r="AE417" s="4" t="s">
        <v>48</v>
      </c>
      <c r="AF417" s="4" t="s">
        <v>41</v>
      </c>
      <c r="AG417" s="4" t="s">
        <v>986</v>
      </c>
    </row>
    <row r="418" spans="1:33" ht="16.5" customHeight="1" x14ac:dyDescent="0.2">
      <c r="A418" s="2" t="s">
        <v>31</v>
      </c>
      <c r="B418" s="19" t="s">
        <v>50</v>
      </c>
      <c r="C418" s="19"/>
      <c r="D418" s="19"/>
      <c r="E418" s="20" t="s">
        <v>33</v>
      </c>
      <c r="F418" s="20"/>
      <c r="G418" s="21" t="s">
        <v>983</v>
      </c>
      <c r="H418" s="21"/>
      <c r="I418" s="21"/>
      <c r="J418" s="3" t="s">
        <v>35</v>
      </c>
      <c r="K418" s="4" t="s">
        <v>146</v>
      </c>
      <c r="L418" s="4" t="s">
        <v>37</v>
      </c>
      <c r="N418" s="21" t="s">
        <v>1078</v>
      </c>
      <c r="O418" s="21"/>
      <c r="P418" s="21" t="s">
        <v>1079</v>
      </c>
      <c r="Q418" s="21"/>
      <c r="R418" s="21"/>
      <c r="S418" s="3" t="s">
        <v>40</v>
      </c>
      <c r="T418" s="21" t="s">
        <v>41</v>
      </c>
      <c r="U418" s="21"/>
      <c r="V418" s="4" t="s">
        <v>42</v>
      </c>
      <c r="W418" s="4" t="s">
        <v>59</v>
      </c>
      <c r="X418" s="4" t="s">
        <v>131</v>
      </c>
      <c r="Y418" s="21" t="s">
        <v>138</v>
      </c>
      <c r="Z418" s="21"/>
      <c r="AA418" s="4" t="s">
        <v>46</v>
      </c>
      <c r="AB418" s="4" t="s">
        <v>47</v>
      </c>
      <c r="AC418" s="4" t="s">
        <v>57</v>
      </c>
      <c r="AD418" s="4" t="s">
        <v>58</v>
      </c>
      <c r="AE418" s="4" t="s">
        <v>48</v>
      </c>
      <c r="AF418" s="4" t="s">
        <v>41</v>
      </c>
      <c r="AG418" s="4" t="s">
        <v>986</v>
      </c>
    </row>
    <row r="419" spans="1:33" ht="16.5" customHeight="1" x14ac:dyDescent="0.2">
      <c r="A419" s="2" t="s">
        <v>31</v>
      </c>
      <c r="B419" s="19" t="s">
        <v>50</v>
      </c>
      <c r="C419" s="19"/>
      <c r="D419" s="19"/>
      <c r="E419" s="20" t="s">
        <v>33</v>
      </c>
      <c r="F419" s="20"/>
      <c r="G419" s="21" t="s">
        <v>983</v>
      </c>
      <c r="H419" s="21"/>
      <c r="I419" s="21"/>
      <c r="J419" s="3" t="s">
        <v>35</v>
      </c>
      <c r="K419" s="4" t="s">
        <v>247</v>
      </c>
      <c r="L419" s="4" t="s">
        <v>37</v>
      </c>
      <c r="N419" s="21" t="s">
        <v>1080</v>
      </c>
      <c r="O419" s="21"/>
      <c r="P419" s="21" t="s">
        <v>1081</v>
      </c>
      <c r="Q419" s="21"/>
      <c r="R419" s="21"/>
      <c r="S419" s="3" t="s">
        <v>40</v>
      </c>
      <c r="T419" s="21" t="s">
        <v>41</v>
      </c>
      <c r="U419" s="21"/>
      <c r="V419" s="4" t="s">
        <v>42</v>
      </c>
      <c r="W419" s="4" t="s">
        <v>54</v>
      </c>
      <c r="X419" s="4" t="s">
        <v>55</v>
      </c>
      <c r="Y419" s="21" t="s">
        <v>65</v>
      </c>
      <c r="Z419" s="21"/>
      <c r="AA419" s="4" t="s">
        <v>46</v>
      </c>
      <c r="AB419" s="4" t="s">
        <v>47</v>
      </c>
      <c r="AC419" s="4" t="s">
        <v>66</v>
      </c>
      <c r="AD419" s="4" t="s">
        <v>73</v>
      </c>
      <c r="AE419" s="4" t="s">
        <v>48</v>
      </c>
      <c r="AF419" s="4" t="s">
        <v>41</v>
      </c>
      <c r="AG419" s="4" t="s">
        <v>986</v>
      </c>
    </row>
    <row r="420" spans="1:33" ht="16.5" customHeight="1" x14ac:dyDescent="0.2">
      <c r="A420" s="2" t="s">
        <v>31</v>
      </c>
      <c r="B420" s="19" t="s">
        <v>50</v>
      </c>
      <c r="C420" s="19"/>
      <c r="D420" s="19"/>
      <c r="E420" s="20" t="s">
        <v>33</v>
      </c>
      <c r="F420" s="20"/>
      <c r="G420" s="21" t="s">
        <v>983</v>
      </c>
      <c r="H420" s="21"/>
      <c r="I420" s="21"/>
      <c r="J420" s="3" t="s">
        <v>35</v>
      </c>
      <c r="K420" s="4" t="s">
        <v>314</v>
      </c>
      <c r="L420" s="4" t="s">
        <v>37</v>
      </c>
      <c r="N420" s="21" t="s">
        <v>1082</v>
      </c>
      <c r="O420" s="21"/>
      <c r="P420" s="21" t="s">
        <v>1083</v>
      </c>
      <c r="Q420" s="21"/>
      <c r="R420" s="21"/>
      <c r="S420" s="3" t="s">
        <v>40</v>
      </c>
      <c r="T420" s="21" t="s">
        <v>41</v>
      </c>
      <c r="U420" s="21"/>
      <c r="V420" s="4" t="s">
        <v>42</v>
      </c>
      <c r="W420" s="4" t="s">
        <v>217</v>
      </c>
      <c r="X420" s="4" t="s">
        <v>218</v>
      </c>
      <c r="Y420" s="21" t="s">
        <v>65</v>
      </c>
      <c r="Z420" s="21"/>
      <c r="AA420" s="4" t="s">
        <v>46</v>
      </c>
      <c r="AB420" s="4" t="s">
        <v>47</v>
      </c>
      <c r="AC420" s="4" t="s">
        <v>57</v>
      </c>
      <c r="AD420" s="4" t="s">
        <v>58</v>
      </c>
      <c r="AE420" s="4" t="s">
        <v>48</v>
      </c>
      <c r="AF420" s="4" t="s">
        <v>41</v>
      </c>
      <c r="AG420" s="4" t="s">
        <v>986</v>
      </c>
    </row>
    <row r="421" spans="1:33" ht="16.5" customHeight="1" x14ac:dyDescent="0.2">
      <c r="A421" s="2" t="s">
        <v>31</v>
      </c>
      <c r="B421" s="19" t="s">
        <v>50</v>
      </c>
      <c r="C421" s="19"/>
      <c r="D421" s="19"/>
      <c r="E421" s="20" t="s">
        <v>33</v>
      </c>
      <c r="F421" s="20"/>
      <c r="G421" s="21" t="s">
        <v>983</v>
      </c>
      <c r="H421" s="21"/>
      <c r="I421" s="21"/>
      <c r="J421" s="3" t="s">
        <v>35</v>
      </c>
      <c r="K421" s="4" t="s">
        <v>74</v>
      </c>
      <c r="L421" s="4" t="s">
        <v>37</v>
      </c>
      <c r="N421" s="21" t="s">
        <v>1084</v>
      </c>
      <c r="O421" s="21"/>
      <c r="P421" s="21" t="s">
        <v>1085</v>
      </c>
      <c r="Q421" s="21"/>
      <c r="R421" s="21"/>
      <c r="S421" s="3" t="s">
        <v>40</v>
      </c>
      <c r="T421" s="21" t="s">
        <v>41</v>
      </c>
      <c r="U421" s="21"/>
      <c r="V421" s="4" t="s">
        <v>42</v>
      </c>
      <c r="W421" s="4" t="s">
        <v>54</v>
      </c>
      <c r="X421" s="4" t="s">
        <v>55</v>
      </c>
      <c r="Y421" s="21" t="s">
        <v>65</v>
      </c>
      <c r="Z421" s="21"/>
      <c r="AA421" s="4" t="s">
        <v>46</v>
      </c>
      <c r="AB421" s="4" t="s">
        <v>47</v>
      </c>
      <c r="AC421" s="4" t="s">
        <v>66</v>
      </c>
      <c r="AD421" s="4" t="s">
        <v>73</v>
      </c>
      <c r="AE421" s="4" t="s">
        <v>48</v>
      </c>
      <c r="AF421" s="4" t="s">
        <v>41</v>
      </c>
      <c r="AG421" s="4" t="s">
        <v>986</v>
      </c>
    </row>
    <row r="422" spans="1:33" ht="16.5" customHeight="1" x14ac:dyDescent="0.2">
      <c r="A422" s="2" t="s">
        <v>31</v>
      </c>
      <c r="B422" s="19" t="s">
        <v>50</v>
      </c>
      <c r="C422" s="19"/>
      <c r="D422" s="19"/>
      <c r="E422" s="20" t="s">
        <v>33</v>
      </c>
      <c r="F422" s="20"/>
      <c r="G422" s="21" t="s">
        <v>983</v>
      </c>
      <c r="H422" s="21"/>
      <c r="I422" s="21"/>
      <c r="J422" s="3" t="s">
        <v>35</v>
      </c>
      <c r="K422" s="4" t="s">
        <v>99</v>
      </c>
      <c r="L422" s="4" t="s">
        <v>37</v>
      </c>
      <c r="N422" s="21" t="s">
        <v>1086</v>
      </c>
      <c r="O422" s="21"/>
      <c r="P422" s="21" t="s">
        <v>1087</v>
      </c>
      <c r="Q422" s="21"/>
      <c r="R422" s="21"/>
      <c r="S422" s="3" t="s">
        <v>40</v>
      </c>
      <c r="T422" s="21" t="s">
        <v>41</v>
      </c>
      <c r="U422" s="21"/>
      <c r="V422" s="4" t="s">
        <v>42</v>
      </c>
      <c r="W422" s="4" t="s">
        <v>1088</v>
      </c>
      <c r="X422" s="4" t="s">
        <v>1089</v>
      </c>
      <c r="Y422" s="21" t="s">
        <v>56</v>
      </c>
      <c r="Z422" s="21"/>
      <c r="AA422" s="4" t="s">
        <v>46</v>
      </c>
      <c r="AB422" s="4" t="s">
        <v>47</v>
      </c>
      <c r="AC422" s="4" t="s">
        <v>139</v>
      </c>
      <c r="AD422" s="4" t="s">
        <v>140</v>
      </c>
      <c r="AE422" s="4" t="s">
        <v>48</v>
      </c>
      <c r="AF422" s="4" t="s">
        <v>41</v>
      </c>
      <c r="AG422" s="4" t="s">
        <v>986</v>
      </c>
    </row>
    <row r="423" spans="1:33" ht="16.5" customHeight="1" x14ac:dyDescent="0.2">
      <c r="A423" s="2" t="s">
        <v>31</v>
      </c>
      <c r="B423" s="19" t="s">
        <v>50</v>
      </c>
      <c r="C423" s="19"/>
      <c r="D423" s="19"/>
      <c r="E423" s="20" t="s">
        <v>33</v>
      </c>
      <c r="F423" s="20"/>
      <c r="G423" s="21" t="s">
        <v>983</v>
      </c>
      <c r="H423" s="21"/>
      <c r="I423" s="21"/>
      <c r="J423" s="3" t="s">
        <v>35</v>
      </c>
      <c r="K423" s="4" t="s">
        <v>146</v>
      </c>
      <c r="L423" s="4" t="s">
        <v>278</v>
      </c>
      <c r="N423" s="21" t="s">
        <v>1090</v>
      </c>
      <c r="O423" s="21"/>
      <c r="P423" s="21" t="s">
        <v>1091</v>
      </c>
      <c r="Q423" s="21"/>
      <c r="R423" s="21"/>
      <c r="S423" s="3" t="s">
        <v>40</v>
      </c>
      <c r="T423" s="21" t="s">
        <v>41</v>
      </c>
      <c r="U423" s="21"/>
      <c r="V423" s="4" t="s">
        <v>42</v>
      </c>
      <c r="W423" s="4" t="s">
        <v>234</v>
      </c>
      <c r="X423" s="4" t="s">
        <v>235</v>
      </c>
      <c r="Y423" s="21" t="s">
        <v>138</v>
      </c>
      <c r="Z423" s="21"/>
      <c r="AA423" s="4" t="s">
        <v>46</v>
      </c>
      <c r="AB423" s="4" t="s">
        <v>47</v>
      </c>
      <c r="AC423" s="4" t="s">
        <v>139</v>
      </c>
      <c r="AD423" s="4" t="s">
        <v>69</v>
      </c>
      <c r="AE423" s="4" t="s">
        <v>48</v>
      </c>
      <c r="AF423" s="4" t="s">
        <v>41</v>
      </c>
      <c r="AG423" s="4" t="s">
        <v>986</v>
      </c>
    </row>
    <row r="424" spans="1:33" ht="16.5" customHeight="1" x14ac:dyDescent="0.2">
      <c r="A424" s="2" t="s">
        <v>31</v>
      </c>
      <c r="B424" s="19" t="s">
        <v>50</v>
      </c>
      <c r="C424" s="19"/>
      <c r="D424" s="19"/>
      <c r="E424" s="20" t="s">
        <v>33</v>
      </c>
      <c r="F424" s="20"/>
      <c r="G424" s="21" t="s">
        <v>983</v>
      </c>
      <c r="H424" s="21"/>
      <c r="I424" s="21"/>
      <c r="J424" s="3" t="s">
        <v>35</v>
      </c>
      <c r="K424" s="4" t="s">
        <v>152</v>
      </c>
      <c r="L424" s="4" t="s">
        <v>37</v>
      </c>
      <c r="N424" s="21" t="s">
        <v>1092</v>
      </c>
      <c r="O424" s="21"/>
      <c r="P424" s="21" t="s">
        <v>1093</v>
      </c>
      <c r="Q424" s="21"/>
      <c r="R424" s="21"/>
      <c r="S424" s="3" t="s">
        <v>40</v>
      </c>
      <c r="T424" s="21" t="s">
        <v>41</v>
      </c>
      <c r="U424" s="21"/>
      <c r="V424" s="4" t="s">
        <v>42</v>
      </c>
      <c r="W424" s="4" t="s">
        <v>229</v>
      </c>
      <c r="X424" s="4" t="s">
        <v>448</v>
      </c>
      <c r="Y424" s="21" t="s">
        <v>56</v>
      </c>
      <c r="Z424" s="21"/>
      <c r="AA424" s="4" t="s">
        <v>46</v>
      </c>
      <c r="AB424" s="4" t="s">
        <v>47</v>
      </c>
      <c r="AC424" s="4" t="s">
        <v>139</v>
      </c>
      <c r="AD424" s="4" t="s">
        <v>140</v>
      </c>
      <c r="AE424" s="4" t="s">
        <v>48</v>
      </c>
      <c r="AF424" s="4" t="s">
        <v>41</v>
      </c>
      <c r="AG424" s="4" t="s">
        <v>986</v>
      </c>
    </row>
    <row r="425" spans="1:33" ht="16.5" customHeight="1" x14ac:dyDescent="0.2">
      <c r="A425" s="2" t="s">
        <v>31</v>
      </c>
      <c r="B425" s="19" t="s">
        <v>50</v>
      </c>
      <c r="C425" s="19"/>
      <c r="D425" s="19"/>
      <c r="E425" s="20" t="s">
        <v>33</v>
      </c>
      <c r="F425" s="20"/>
      <c r="G425" s="21" t="s">
        <v>983</v>
      </c>
      <c r="H425" s="21"/>
      <c r="I425" s="21"/>
      <c r="J425" s="3" t="s">
        <v>35</v>
      </c>
      <c r="K425" s="4" t="s">
        <v>1094</v>
      </c>
      <c r="L425" s="4" t="s">
        <v>37</v>
      </c>
      <c r="N425" s="21" t="s">
        <v>1095</v>
      </c>
      <c r="O425" s="21"/>
      <c r="P425" s="21" t="s">
        <v>1096</v>
      </c>
      <c r="Q425" s="21"/>
      <c r="R425" s="21"/>
      <c r="S425" s="3" t="s">
        <v>40</v>
      </c>
      <c r="T425" s="21" t="s">
        <v>41</v>
      </c>
      <c r="U425" s="21"/>
      <c r="V425" s="4" t="s">
        <v>42</v>
      </c>
      <c r="W425" s="4" t="s">
        <v>229</v>
      </c>
      <c r="X425" s="4" t="s">
        <v>448</v>
      </c>
      <c r="Y425" s="21" t="s">
        <v>138</v>
      </c>
      <c r="Z425" s="21"/>
      <c r="AA425" s="4" t="s">
        <v>46</v>
      </c>
      <c r="AB425" s="4" t="s">
        <v>47</v>
      </c>
      <c r="AC425" s="4" t="s">
        <v>139</v>
      </c>
      <c r="AD425" s="4" t="s">
        <v>140</v>
      </c>
      <c r="AE425" s="4" t="s">
        <v>48</v>
      </c>
      <c r="AF425" s="4" t="s">
        <v>41</v>
      </c>
      <c r="AG425" s="4" t="s">
        <v>986</v>
      </c>
    </row>
    <row r="426" spans="1:33" ht="16.5" customHeight="1" x14ac:dyDescent="0.2">
      <c r="A426" s="2" t="s">
        <v>31</v>
      </c>
      <c r="B426" s="19" t="s">
        <v>50</v>
      </c>
      <c r="C426" s="19"/>
      <c r="D426" s="19"/>
      <c r="E426" s="20" t="s">
        <v>33</v>
      </c>
      <c r="F426" s="20"/>
      <c r="G426" s="21" t="s">
        <v>983</v>
      </c>
      <c r="H426" s="21"/>
      <c r="I426" s="21"/>
      <c r="J426" s="3" t="s">
        <v>35</v>
      </c>
      <c r="K426" s="4" t="s">
        <v>247</v>
      </c>
      <c r="L426" s="4" t="s">
        <v>68</v>
      </c>
      <c r="N426" s="21" t="s">
        <v>1097</v>
      </c>
      <c r="O426" s="21"/>
      <c r="P426" s="21" t="s">
        <v>1098</v>
      </c>
      <c r="Q426" s="21"/>
      <c r="R426" s="21"/>
      <c r="S426" s="3" t="s">
        <v>40</v>
      </c>
      <c r="T426" s="21" t="s">
        <v>41</v>
      </c>
      <c r="U426" s="21"/>
      <c r="V426" s="4" t="s">
        <v>42</v>
      </c>
      <c r="W426" s="4" t="s">
        <v>77</v>
      </c>
      <c r="X426" s="4" t="s">
        <v>78</v>
      </c>
      <c r="Y426" s="21" t="s">
        <v>65</v>
      </c>
      <c r="Z426" s="21"/>
      <c r="AA426" s="4" t="s">
        <v>46</v>
      </c>
      <c r="AB426" s="4" t="s">
        <v>47</v>
      </c>
      <c r="AC426" s="4" t="s">
        <v>81</v>
      </c>
      <c r="AD426" s="4" t="s">
        <v>41</v>
      </c>
      <c r="AE426" s="4" t="s">
        <v>48</v>
      </c>
      <c r="AF426" s="4" t="s">
        <v>41</v>
      </c>
      <c r="AG426" s="4" t="s">
        <v>986</v>
      </c>
    </row>
    <row r="427" spans="1:33" ht="16.5" customHeight="1" x14ac:dyDescent="0.2">
      <c r="A427" s="2" t="s">
        <v>31</v>
      </c>
      <c r="B427" s="19" t="s">
        <v>50</v>
      </c>
      <c r="C427" s="19"/>
      <c r="D427" s="19"/>
      <c r="E427" s="20" t="s">
        <v>33</v>
      </c>
      <c r="F427" s="20"/>
      <c r="G427" s="21" t="s">
        <v>983</v>
      </c>
      <c r="H427" s="21"/>
      <c r="I427" s="21"/>
      <c r="J427" s="3" t="s">
        <v>35</v>
      </c>
      <c r="K427" s="4" t="s">
        <v>51</v>
      </c>
      <c r="L427" s="4" t="s">
        <v>278</v>
      </c>
      <c r="N427" s="21" t="s">
        <v>1099</v>
      </c>
      <c r="O427" s="21"/>
      <c r="P427" s="21" t="s">
        <v>1100</v>
      </c>
      <c r="Q427" s="21"/>
      <c r="R427" s="21"/>
      <c r="S427" s="3" t="s">
        <v>40</v>
      </c>
      <c r="T427" s="21" t="s">
        <v>41</v>
      </c>
      <c r="U427" s="21"/>
      <c r="V427" s="4" t="s">
        <v>42</v>
      </c>
      <c r="W427" s="4" t="s">
        <v>54</v>
      </c>
      <c r="X427" s="4" t="s">
        <v>55</v>
      </c>
      <c r="Y427" s="21" t="s">
        <v>56</v>
      </c>
      <c r="Z427" s="21"/>
      <c r="AA427" s="4" t="s">
        <v>46</v>
      </c>
      <c r="AB427" s="4" t="s">
        <v>47</v>
      </c>
      <c r="AC427" s="4" t="s">
        <v>57</v>
      </c>
      <c r="AD427" s="4" t="s">
        <v>283</v>
      </c>
      <c r="AE427" s="4" t="s">
        <v>48</v>
      </c>
      <c r="AF427" s="4" t="s">
        <v>41</v>
      </c>
      <c r="AG427" s="4" t="s">
        <v>986</v>
      </c>
    </row>
    <row r="428" spans="1:33" ht="16.5" customHeight="1" x14ac:dyDescent="0.2">
      <c r="A428" s="2" t="s">
        <v>31</v>
      </c>
      <c r="B428" s="19" t="s">
        <v>50</v>
      </c>
      <c r="C428" s="19"/>
      <c r="D428" s="19"/>
      <c r="E428" s="20" t="s">
        <v>33</v>
      </c>
      <c r="F428" s="20"/>
      <c r="G428" s="21" t="s">
        <v>983</v>
      </c>
      <c r="H428" s="21"/>
      <c r="I428" s="21"/>
      <c r="J428" s="3" t="s">
        <v>35</v>
      </c>
      <c r="K428" s="4" t="s">
        <v>152</v>
      </c>
      <c r="L428" s="4" t="s">
        <v>37</v>
      </c>
      <c r="N428" s="21" t="s">
        <v>1101</v>
      </c>
      <c r="O428" s="21"/>
      <c r="P428" s="21" t="s">
        <v>1102</v>
      </c>
      <c r="Q428" s="21"/>
      <c r="R428" s="21"/>
      <c r="S428" s="3" t="s">
        <v>40</v>
      </c>
      <c r="T428" s="21" t="s">
        <v>41</v>
      </c>
      <c r="U428" s="21"/>
      <c r="V428" s="4" t="s">
        <v>42</v>
      </c>
      <c r="W428" s="4" t="s">
        <v>1103</v>
      </c>
      <c r="X428" s="4" t="s">
        <v>1104</v>
      </c>
      <c r="Y428" s="21" t="s">
        <v>56</v>
      </c>
      <c r="Z428" s="21"/>
      <c r="AA428" s="4" t="s">
        <v>46</v>
      </c>
      <c r="AB428" s="4" t="s">
        <v>47</v>
      </c>
      <c r="AC428" s="4" t="s">
        <v>139</v>
      </c>
      <c r="AD428" s="4" t="s">
        <v>140</v>
      </c>
      <c r="AE428" s="4" t="s">
        <v>48</v>
      </c>
      <c r="AF428" s="4" t="s">
        <v>41</v>
      </c>
      <c r="AG428" s="4" t="s">
        <v>986</v>
      </c>
    </row>
    <row r="429" spans="1:33" ht="16.5" customHeight="1" x14ac:dyDescent="0.2">
      <c r="A429" s="2" t="s">
        <v>31</v>
      </c>
      <c r="B429" s="19" t="s">
        <v>50</v>
      </c>
      <c r="C429" s="19"/>
      <c r="D429" s="19"/>
      <c r="E429" s="20" t="s">
        <v>33</v>
      </c>
      <c r="F429" s="20"/>
      <c r="G429" s="21" t="s">
        <v>983</v>
      </c>
      <c r="H429" s="21"/>
      <c r="I429" s="21"/>
      <c r="J429" s="3" t="s">
        <v>35</v>
      </c>
      <c r="K429" s="4" t="s">
        <v>152</v>
      </c>
      <c r="L429" s="4" t="s">
        <v>37</v>
      </c>
      <c r="N429" s="21" t="s">
        <v>1105</v>
      </c>
      <c r="O429" s="21"/>
      <c r="P429" s="21" t="s">
        <v>1106</v>
      </c>
      <c r="Q429" s="21"/>
      <c r="R429" s="21"/>
      <c r="S429" s="3" t="s">
        <v>40</v>
      </c>
      <c r="T429" s="21" t="s">
        <v>41</v>
      </c>
      <c r="U429" s="21"/>
      <c r="V429" s="4" t="s">
        <v>42</v>
      </c>
      <c r="W429" s="4" t="s">
        <v>290</v>
      </c>
      <c r="X429" s="4" t="s">
        <v>291</v>
      </c>
      <c r="Y429" s="21" t="s">
        <v>56</v>
      </c>
      <c r="Z429" s="21"/>
      <c r="AA429" s="4" t="s">
        <v>46</v>
      </c>
      <c r="AB429" s="4" t="s">
        <v>47</v>
      </c>
      <c r="AC429" s="4" t="s">
        <v>139</v>
      </c>
      <c r="AD429" s="4" t="s">
        <v>140</v>
      </c>
      <c r="AE429" s="4" t="s">
        <v>48</v>
      </c>
      <c r="AF429" s="4" t="s">
        <v>41</v>
      </c>
      <c r="AG429" s="4" t="s">
        <v>986</v>
      </c>
    </row>
    <row r="430" spans="1:33" ht="16.5" customHeight="1" x14ac:dyDescent="0.2">
      <c r="A430" s="2" t="s">
        <v>31</v>
      </c>
      <c r="B430" s="19" t="s">
        <v>50</v>
      </c>
      <c r="C430" s="19"/>
      <c r="D430" s="19"/>
      <c r="E430" s="20" t="s">
        <v>33</v>
      </c>
      <c r="F430" s="20"/>
      <c r="G430" s="21" t="s">
        <v>983</v>
      </c>
      <c r="H430" s="21"/>
      <c r="I430" s="21"/>
      <c r="J430" s="3" t="s">
        <v>35</v>
      </c>
      <c r="K430" s="4" t="s">
        <v>247</v>
      </c>
      <c r="L430" s="4" t="s">
        <v>37</v>
      </c>
      <c r="N430" s="21" t="s">
        <v>1107</v>
      </c>
      <c r="O430" s="21"/>
      <c r="P430" s="21" t="s">
        <v>1108</v>
      </c>
      <c r="Q430" s="21"/>
      <c r="R430" s="21"/>
      <c r="S430" s="3" t="s">
        <v>40</v>
      </c>
      <c r="T430" s="21" t="s">
        <v>41</v>
      </c>
      <c r="U430" s="21"/>
      <c r="V430" s="4" t="s">
        <v>42</v>
      </c>
      <c r="W430" s="4" t="s">
        <v>286</v>
      </c>
      <c r="X430" s="4" t="s">
        <v>287</v>
      </c>
      <c r="Y430" s="21" t="s">
        <v>65</v>
      </c>
      <c r="Z430" s="21"/>
      <c r="AA430" s="4" t="s">
        <v>46</v>
      </c>
      <c r="AB430" s="4" t="s">
        <v>47</v>
      </c>
      <c r="AC430" s="4" t="s">
        <v>57</v>
      </c>
      <c r="AD430" s="4" t="s">
        <v>58</v>
      </c>
      <c r="AE430" s="4" t="s">
        <v>48</v>
      </c>
      <c r="AF430" s="4" t="s">
        <v>41</v>
      </c>
      <c r="AG430" s="4" t="s">
        <v>986</v>
      </c>
    </row>
    <row r="431" spans="1:33" ht="16.5" customHeight="1" x14ac:dyDescent="0.2">
      <c r="A431" s="2" t="s">
        <v>31</v>
      </c>
      <c r="B431" s="19" t="s">
        <v>50</v>
      </c>
      <c r="C431" s="19"/>
      <c r="D431" s="19"/>
      <c r="E431" s="20" t="s">
        <v>33</v>
      </c>
      <c r="F431" s="20"/>
      <c r="G431" s="21" t="s">
        <v>983</v>
      </c>
      <c r="H431" s="21"/>
      <c r="I431" s="21"/>
      <c r="J431" s="3" t="s">
        <v>35</v>
      </c>
      <c r="K431" s="4" t="s">
        <v>152</v>
      </c>
      <c r="L431" s="4" t="s">
        <v>68</v>
      </c>
      <c r="N431" s="21" t="s">
        <v>1109</v>
      </c>
      <c r="O431" s="21"/>
      <c r="P431" s="21" t="s">
        <v>1110</v>
      </c>
      <c r="Q431" s="21"/>
      <c r="R431" s="21"/>
      <c r="S431" s="3" t="s">
        <v>40</v>
      </c>
      <c r="T431" s="21" t="s">
        <v>41</v>
      </c>
      <c r="U431" s="21"/>
      <c r="V431" s="4" t="s">
        <v>42</v>
      </c>
      <c r="W431" s="4" t="s">
        <v>202</v>
      </c>
      <c r="X431" s="4" t="s">
        <v>203</v>
      </c>
      <c r="Y431" s="21" t="s">
        <v>56</v>
      </c>
      <c r="Z431" s="21"/>
      <c r="AA431" s="4" t="s">
        <v>46</v>
      </c>
      <c r="AB431" s="4" t="s">
        <v>47</v>
      </c>
      <c r="AC431" s="4" t="s">
        <v>139</v>
      </c>
      <c r="AD431" s="4" t="s">
        <v>151</v>
      </c>
      <c r="AE431" s="4" t="s">
        <v>48</v>
      </c>
      <c r="AF431" s="4" t="s">
        <v>41</v>
      </c>
      <c r="AG431" s="4" t="s">
        <v>986</v>
      </c>
    </row>
    <row r="432" spans="1:33" ht="16.5" customHeight="1" x14ac:dyDescent="0.2">
      <c r="A432" s="2" t="s">
        <v>31</v>
      </c>
      <c r="B432" s="19" t="s">
        <v>50</v>
      </c>
      <c r="C432" s="19"/>
      <c r="D432" s="19"/>
      <c r="E432" s="20" t="s">
        <v>33</v>
      </c>
      <c r="F432" s="20"/>
      <c r="G432" s="21" t="s">
        <v>983</v>
      </c>
      <c r="H432" s="21"/>
      <c r="I432" s="21"/>
      <c r="J432" s="3" t="s">
        <v>35</v>
      </c>
      <c r="K432" s="4" t="s">
        <v>152</v>
      </c>
      <c r="L432" s="4" t="s">
        <v>68</v>
      </c>
      <c r="N432" s="21" t="s">
        <v>1111</v>
      </c>
      <c r="O432" s="21"/>
      <c r="P432" s="21" t="s">
        <v>1112</v>
      </c>
      <c r="Q432" s="21"/>
      <c r="R432" s="21"/>
      <c r="S432" s="3" t="s">
        <v>40</v>
      </c>
      <c r="T432" s="21" t="s">
        <v>41</v>
      </c>
      <c r="U432" s="21"/>
      <c r="V432" s="4" t="s">
        <v>42</v>
      </c>
      <c r="W432" s="4" t="s">
        <v>202</v>
      </c>
      <c r="X432" s="4" t="s">
        <v>203</v>
      </c>
      <c r="Y432" s="21" t="s">
        <v>56</v>
      </c>
      <c r="Z432" s="21"/>
      <c r="AA432" s="4" t="s">
        <v>46</v>
      </c>
      <c r="AB432" s="4" t="s">
        <v>47</v>
      </c>
      <c r="AC432" s="4" t="s">
        <v>139</v>
      </c>
      <c r="AD432" s="4" t="s">
        <v>151</v>
      </c>
      <c r="AE432" s="4" t="s">
        <v>48</v>
      </c>
      <c r="AF432" s="4" t="s">
        <v>41</v>
      </c>
      <c r="AG432" s="4" t="s">
        <v>986</v>
      </c>
    </row>
    <row r="433" spans="1:33" ht="16.5" customHeight="1" x14ac:dyDescent="0.2">
      <c r="A433" s="2" t="s">
        <v>31</v>
      </c>
      <c r="B433" s="19" t="s">
        <v>50</v>
      </c>
      <c r="C433" s="19"/>
      <c r="D433" s="19"/>
      <c r="E433" s="20" t="s">
        <v>33</v>
      </c>
      <c r="F433" s="20"/>
      <c r="G433" s="21" t="s">
        <v>983</v>
      </c>
      <c r="H433" s="21"/>
      <c r="I433" s="21"/>
      <c r="J433" s="3" t="s">
        <v>35</v>
      </c>
      <c r="K433" s="4" t="s">
        <v>152</v>
      </c>
      <c r="L433" s="4" t="s">
        <v>37</v>
      </c>
      <c r="N433" s="21" t="s">
        <v>1113</v>
      </c>
      <c r="O433" s="21"/>
      <c r="P433" s="21" t="s">
        <v>1114</v>
      </c>
      <c r="Q433" s="21"/>
      <c r="R433" s="21"/>
      <c r="S433" s="3" t="s">
        <v>40</v>
      </c>
      <c r="T433" s="21" t="s">
        <v>41</v>
      </c>
      <c r="U433" s="21"/>
      <c r="V433" s="4" t="s">
        <v>42</v>
      </c>
      <c r="W433" s="4" t="s">
        <v>823</v>
      </c>
      <c r="X433" s="4" t="s">
        <v>791</v>
      </c>
      <c r="Y433" s="21" t="s">
        <v>56</v>
      </c>
      <c r="Z433" s="21"/>
      <c r="AA433" s="4" t="s">
        <v>46</v>
      </c>
      <c r="AB433" s="4" t="s">
        <v>47</v>
      </c>
      <c r="AC433" s="4" t="s">
        <v>139</v>
      </c>
      <c r="AD433" s="4" t="s">
        <v>140</v>
      </c>
      <c r="AE433" s="4" t="s">
        <v>48</v>
      </c>
      <c r="AF433" s="4" t="s">
        <v>41</v>
      </c>
      <c r="AG433" s="4" t="s">
        <v>986</v>
      </c>
    </row>
    <row r="434" spans="1:33" ht="16.5" customHeight="1" x14ac:dyDescent="0.2">
      <c r="A434" s="2" t="s">
        <v>31</v>
      </c>
      <c r="B434" s="19" t="s">
        <v>50</v>
      </c>
      <c r="C434" s="19"/>
      <c r="D434" s="19"/>
      <c r="E434" s="20" t="s">
        <v>33</v>
      </c>
      <c r="F434" s="20"/>
      <c r="G434" s="21" t="s">
        <v>983</v>
      </c>
      <c r="H434" s="21"/>
      <c r="I434" s="21"/>
      <c r="J434" s="3" t="s">
        <v>35</v>
      </c>
      <c r="K434" s="4" t="s">
        <v>61</v>
      </c>
      <c r="L434" s="4" t="s">
        <v>68</v>
      </c>
      <c r="N434" s="21" t="s">
        <v>1115</v>
      </c>
      <c r="O434" s="21"/>
      <c r="P434" s="21" t="s">
        <v>1116</v>
      </c>
      <c r="Q434" s="21"/>
      <c r="R434" s="21"/>
      <c r="S434" s="3" t="s">
        <v>40</v>
      </c>
      <c r="T434" s="21" t="s">
        <v>41</v>
      </c>
      <c r="U434" s="21"/>
      <c r="V434" s="4" t="s">
        <v>42</v>
      </c>
      <c r="W434" s="4" t="s">
        <v>828</v>
      </c>
      <c r="X434" s="4" t="s">
        <v>829</v>
      </c>
      <c r="Y434" s="21" t="s">
        <v>65</v>
      </c>
      <c r="Z434" s="21"/>
      <c r="AA434" s="4" t="s">
        <v>46</v>
      </c>
      <c r="AB434" s="4" t="s">
        <v>47</v>
      </c>
      <c r="AC434" s="4" t="s">
        <v>57</v>
      </c>
      <c r="AD434" s="4" t="s">
        <v>98</v>
      </c>
      <c r="AE434" s="4" t="s">
        <v>48</v>
      </c>
      <c r="AF434" s="4" t="s">
        <v>41</v>
      </c>
      <c r="AG434" s="4" t="s">
        <v>986</v>
      </c>
    </row>
    <row r="435" spans="1:33" ht="16.5" customHeight="1" x14ac:dyDescent="0.2">
      <c r="A435" s="2" t="s">
        <v>31</v>
      </c>
      <c r="B435" s="19" t="s">
        <v>50</v>
      </c>
      <c r="C435" s="19"/>
      <c r="D435" s="19"/>
      <c r="E435" s="20" t="s">
        <v>33</v>
      </c>
      <c r="F435" s="20"/>
      <c r="G435" s="21" t="s">
        <v>983</v>
      </c>
      <c r="H435" s="21"/>
      <c r="I435" s="21"/>
      <c r="J435" s="3" t="s">
        <v>35</v>
      </c>
      <c r="K435" s="4" t="s">
        <v>152</v>
      </c>
      <c r="L435" s="4" t="s">
        <v>37</v>
      </c>
      <c r="N435" s="21" t="s">
        <v>1117</v>
      </c>
      <c r="O435" s="21"/>
      <c r="P435" s="21" t="s">
        <v>1118</v>
      </c>
      <c r="Q435" s="21"/>
      <c r="R435" s="21"/>
      <c r="S435" s="3" t="s">
        <v>40</v>
      </c>
      <c r="T435" s="21" t="s">
        <v>41</v>
      </c>
      <c r="U435" s="21"/>
      <c r="V435" s="4" t="s">
        <v>42</v>
      </c>
      <c r="W435" s="4" t="s">
        <v>1119</v>
      </c>
      <c r="X435" s="4" t="s">
        <v>1120</v>
      </c>
      <c r="Y435" s="21" t="s">
        <v>56</v>
      </c>
      <c r="Z435" s="21"/>
      <c r="AA435" s="4" t="s">
        <v>46</v>
      </c>
      <c r="AB435" s="4" t="s">
        <v>47</v>
      </c>
      <c r="AC435" s="4" t="s">
        <v>139</v>
      </c>
      <c r="AD435" s="4" t="s">
        <v>140</v>
      </c>
      <c r="AE435" s="4" t="s">
        <v>48</v>
      </c>
      <c r="AF435" s="4" t="s">
        <v>41</v>
      </c>
      <c r="AG435" s="4" t="s">
        <v>986</v>
      </c>
    </row>
    <row r="436" spans="1:33" ht="16.5" customHeight="1" x14ac:dyDescent="0.2">
      <c r="A436" s="2" t="s">
        <v>31</v>
      </c>
      <c r="B436" s="19" t="s">
        <v>50</v>
      </c>
      <c r="C436" s="19"/>
      <c r="D436" s="19"/>
      <c r="E436" s="20" t="s">
        <v>33</v>
      </c>
      <c r="F436" s="20"/>
      <c r="G436" s="21" t="s">
        <v>983</v>
      </c>
      <c r="H436" s="21"/>
      <c r="I436" s="21"/>
      <c r="J436" s="3" t="s">
        <v>35</v>
      </c>
      <c r="K436" s="4" t="s">
        <v>146</v>
      </c>
      <c r="L436" s="4" t="s">
        <v>37</v>
      </c>
      <c r="N436" s="21" t="s">
        <v>1121</v>
      </c>
      <c r="O436" s="21"/>
      <c r="P436" s="21" t="s">
        <v>1122</v>
      </c>
      <c r="Q436" s="21"/>
      <c r="R436" s="21"/>
      <c r="S436" s="3" t="s">
        <v>40</v>
      </c>
      <c r="T436" s="21" t="s">
        <v>41</v>
      </c>
      <c r="U436" s="21"/>
      <c r="V436" s="4" t="s">
        <v>42</v>
      </c>
      <c r="W436" s="4" t="s">
        <v>1123</v>
      </c>
      <c r="X436" s="4" t="s">
        <v>1124</v>
      </c>
      <c r="Y436" s="21" t="s">
        <v>138</v>
      </c>
      <c r="Z436" s="21"/>
      <c r="AA436" s="4" t="s">
        <v>46</v>
      </c>
      <c r="AB436" s="4" t="s">
        <v>47</v>
      </c>
      <c r="AC436" s="4" t="s">
        <v>139</v>
      </c>
      <c r="AD436" s="4" t="s">
        <v>140</v>
      </c>
      <c r="AE436" s="4" t="s">
        <v>48</v>
      </c>
      <c r="AF436" s="4" t="s">
        <v>41</v>
      </c>
      <c r="AG436" s="4" t="s">
        <v>986</v>
      </c>
    </row>
    <row r="437" spans="1:33" ht="16.5" customHeight="1" x14ac:dyDescent="0.2">
      <c r="A437" s="2" t="s">
        <v>31</v>
      </c>
      <c r="B437" s="19" t="s">
        <v>50</v>
      </c>
      <c r="C437" s="19"/>
      <c r="D437" s="19"/>
      <c r="E437" s="20" t="s">
        <v>33</v>
      </c>
      <c r="F437" s="20"/>
      <c r="G437" s="21" t="s">
        <v>983</v>
      </c>
      <c r="H437" s="21"/>
      <c r="I437" s="21"/>
      <c r="J437" s="3" t="s">
        <v>35</v>
      </c>
      <c r="K437" s="4" t="s">
        <v>146</v>
      </c>
      <c r="L437" s="4" t="s">
        <v>37</v>
      </c>
      <c r="N437" s="21" t="s">
        <v>1125</v>
      </c>
      <c r="O437" s="21"/>
      <c r="P437" s="21" t="s">
        <v>1126</v>
      </c>
      <c r="Q437" s="21"/>
      <c r="R437" s="21"/>
      <c r="S437" s="3" t="s">
        <v>40</v>
      </c>
      <c r="T437" s="21" t="s">
        <v>41</v>
      </c>
      <c r="U437" s="21"/>
      <c r="V437" s="4" t="s">
        <v>42</v>
      </c>
      <c r="W437" s="4" t="s">
        <v>43</v>
      </c>
      <c r="X437" s="4" t="s">
        <v>44</v>
      </c>
      <c r="Y437" s="21" t="s">
        <v>138</v>
      </c>
      <c r="Z437" s="21"/>
      <c r="AA437" s="4" t="s">
        <v>46</v>
      </c>
      <c r="AB437" s="4" t="s">
        <v>47</v>
      </c>
      <c r="AC437" s="4" t="s">
        <v>139</v>
      </c>
      <c r="AD437" s="4" t="s">
        <v>140</v>
      </c>
      <c r="AE437" s="4" t="s">
        <v>48</v>
      </c>
      <c r="AF437" s="4" t="s">
        <v>41</v>
      </c>
      <c r="AG437" s="4" t="s">
        <v>986</v>
      </c>
    </row>
    <row r="438" spans="1:33" ht="16.5" customHeight="1" x14ac:dyDescent="0.2">
      <c r="A438" s="2" t="s">
        <v>31</v>
      </c>
      <c r="B438" s="19" t="s">
        <v>50</v>
      </c>
      <c r="C438" s="19"/>
      <c r="D438" s="19"/>
      <c r="E438" s="20" t="s">
        <v>33</v>
      </c>
      <c r="F438" s="20"/>
      <c r="G438" s="21" t="s">
        <v>983</v>
      </c>
      <c r="H438" s="21"/>
      <c r="I438" s="21"/>
      <c r="J438" s="3" t="s">
        <v>35</v>
      </c>
      <c r="K438" s="4" t="s">
        <v>82</v>
      </c>
      <c r="L438" s="4" t="s">
        <v>37</v>
      </c>
      <c r="N438" s="21" t="s">
        <v>1127</v>
      </c>
      <c r="O438" s="21"/>
      <c r="P438" s="21" t="s">
        <v>1128</v>
      </c>
      <c r="Q438" s="21"/>
      <c r="R438" s="21"/>
      <c r="S438" s="3" t="s">
        <v>40</v>
      </c>
      <c r="T438" s="21" t="s">
        <v>41</v>
      </c>
      <c r="U438" s="21"/>
      <c r="V438" s="4" t="s">
        <v>42</v>
      </c>
      <c r="W438" s="4" t="s">
        <v>43</v>
      </c>
      <c r="X438" s="4" t="s">
        <v>44</v>
      </c>
      <c r="Y438" s="21" t="s">
        <v>56</v>
      </c>
      <c r="Z438" s="21"/>
      <c r="AA438" s="4" t="s">
        <v>46</v>
      </c>
      <c r="AB438" s="4" t="s">
        <v>47</v>
      </c>
      <c r="AC438" s="4" t="s">
        <v>139</v>
      </c>
      <c r="AD438" s="4" t="s">
        <v>140</v>
      </c>
      <c r="AE438" s="4" t="s">
        <v>48</v>
      </c>
      <c r="AF438" s="4" t="s">
        <v>41</v>
      </c>
      <c r="AG438" s="4" t="s">
        <v>986</v>
      </c>
    </row>
    <row r="439" spans="1:33" ht="16.5" customHeight="1" x14ac:dyDescent="0.2">
      <c r="A439" s="2" t="s">
        <v>31</v>
      </c>
      <c r="B439" s="19" t="s">
        <v>50</v>
      </c>
      <c r="C439" s="19"/>
      <c r="D439" s="19"/>
      <c r="E439" s="20" t="s">
        <v>33</v>
      </c>
      <c r="F439" s="20"/>
      <c r="G439" s="21" t="s">
        <v>983</v>
      </c>
      <c r="H439" s="21"/>
      <c r="I439" s="21"/>
      <c r="J439" s="3" t="s">
        <v>35</v>
      </c>
      <c r="K439" s="4" t="s">
        <v>152</v>
      </c>
      <c r="L439" s="4" t="s">
        <v>68</v>
      </c>
      <c r="N439" s="21" t="s">
        <v>1129</v>
      </c>
      <c r="O439" s="21"/>
      <c r="P439" s="21" t="s">
        <v>1130</v>
      </c>
      <c r="Q439" s="21"/>
      <c r="R439" s="21"/>
      <c r="S439" s="3" t="s">
        <v>40</v>
      </c>
      <c r="T439" s="21" t="s">
        <v>41</v>
      </c>
      <c r="U439" s="21"/>
      <c r="V439" s="4" t="s">
        <v>42</v>
      </c>
      <c r="W439" s="4" t="s">
        <v>43</v>
      </c>
      <c r="X439" s="4" t="s">
        <v>44</v>
      </c>
      <c r="Y439" s="21" t="s">
        <v>56</v>
      </c>
      <c r="Z439" s="21"/>
      <c r="AA439" s="4" t="s">
        <v>46</v>
      </c>
      <c r="AB439" s="4" t="s">
        <v>47</v>
      </c>
      <c r="AC439" s="4" t="s">
        <v>139</v>
      </c>
      <c r="AD439" s="4" t="s">
        <v>151</v>
      </c>
      <c r="AE439" s="4" t="s">
        <v>48</v>
      </c>
      <c r="AF439" s="4" t="s">
        <v>41</v>
      </c>
      <c r="AG439" s="4" t="s">
        <v>986</v>
      </c>
    </row>
    <row r="440" spans="1:33" ht="16.5" customHeight="1" x14ac:dyDescent="0.2">
      <c r="A440" s="2" t="s">
        <v>31</v>
      </c>
      <c r="B440" s="19" t="s">
        <v>50</v>
      </c>
      <c r="C440" s="19"/>
      <c r="D440" s="19"/>
      <c r="E440" s="20" t="s">
        <v>33</v>
      </c>
      <c r="F440" s="20"/>
      <c r="G440" s="21" t="s">
        <v>983</v>
      </c>
      <c r="H440" s="21"/>
      <c r="I440" s="21"/>
      <c r="J440" s="3" t="s">
        <v>35</v>
      </c>
      <c r="K440" s="4" t="s">
        <v>152</v>
      </c>
      <c r="L440" s="4" t="s">
        <v>445</v>
      </c>
      <c r="N440" s="21" t="s">
        <v>1131</v>
      </c>
      <c r="O440" s="21"/>
      <c r="P440" s="21" t="s">
        <v>1132</v>
      </c>
      <c r="Q440" s="21"/>
      <c r="R440" s="21"/>
      <c r="S440" s="3" t="s">
        <v>40</v>
      </c>
      <c r="T440" s="21" t="s">
        <v>41</v>
      </c>
      <c r="U440" s="21"/>
      <c r="V440" s="4" t="s">
        <v>42</v>
      </c>
      <c r="W440" s="4" t="s">
        <v>43</v>
      </c>
      <c r="X440" s="4" t="s">
        <v>44</v>
      </c>
      <c r="Y440" s="21" t="s">
        <v>56</v>
      </c>
      <c r="Z440" s="21"/>
      <c r="AA440" s="4" t="s">
        <v>46</v>
      </c>
      <c r="AB440" s="4" t="s">
        <v>47</v>
      </c>
      <c r="AC440" s="4" t="s">
        <v>139</v>
      </c>
      <c r="AD440" s="4" t="s">
        <v>466</v>
      </c>
      <c r="AE440" s="4" t="s">
        <v>48</v>
      </c>
      <c r="AF440" s="4" t="s">
        <v>41</v>
      </c>
      <c r="AG440" s="4" t="s">
        <v>986</v>
      </c>
    </row>
    <row r="441" spans="1:33" ht="16.5" customHeight="1" x14ac:dyDescent="0.2">
      <c r="A441" s="2" t="s">
        <v>31</v>
      </c>
      <c r="B441" s="19" t="s">
        <v>50</v>
      </c>
      <c r="C441" s="19"/>
      <c r="D441" s="19"/>
      <c r="E441" s="20" t="s">
        <v>33</v>
      </c>
      <c r="F441" s="20"/>
      <c r="G441" s="21" t="s">
        <v>983</v>
      </c>
      <c r="H441" s="21"/>
      <c r="I441" s="21"/>
      <c r="J441" s="3" t="s">
        <v>35</v>
      </c>
      <c r="K441" s="4" t="s">
        <v>152</v>
      </c>
      <c r="L441" s="4" t="s">
        <v>37</v>
      </c>
      <c r="N441" s="21" t="s">
        <v>1133</v>
      </c>
      <c r="O441" s="21"/>
      <c r="P441" s="21" t="s">
        <v>1134</v>
      </c>
      <c r="Q441" s="21"/>
      <c r="R441" s="21"/>
      <c r="S441" s="3" t="s">
        <v>40</v>
      </c>
      <c r="T441" s="21" t="s">
        <v>41</v>
      </c>
      <c r="U441" s="21"/>
      <c r="V441" s="4" t="s">
        <v>42</v>
      </c>
      <c r="W441" s="4" t="s">
        <v>43</v>
      </c>
      <c r="X441" s="4" t="s">
        <v>44</v>
      </c>
      <c r="Y441" s="21" t="s">
        <v>56</v>
      </c>
      <c r="Z441" s="21"/>
      <c r="AA441" s="4" t="s">
        <v>46</v>
      </c>
      <c r="AB441" s="4" t="s">
        <v>47</v>
      </c>
      <c r="AC441" s="4" t="s">
        <v>139</v>
      </c>
      <c r="AD441" s="4" t="s">
        <v>140</v>
      </c>
      <c r="AE441" s="4" t="s">
        <v>48</v>
      </c>
      <c r="AF441" s="4" t="s">
        <v>41</v>
      </c>
      <c r="AG441" s="4" t="s">
        <v>986</v>
      </c>
    </row>
    <row r="442" spans="1:33" ht="16.5" customHeight="1" x14ac:dyDescent="0.2">
      <c r="A442" s="2" t="s">
        <v>31</v>
      </c>
      <c r="B442" s="19" t="s">
        <v>50</v>
      </c>
      <c r="C442" s="19"/>
      <c r="D442" s="19"/>
      <c r="E442" s="20" t="s">
        <v>33</v>
      </c>
      <c r="F442" s="20"/>
      <c r="G442" s="21" t="s">
        <v>983</v>
      </c>
      <c r="H442" s="21"/>
      <c r="I442" s="21"/>
      <c r="J442" s="3" t="s">
        <v>35</v>
      </c>
      <c r="K442" s="4" t="s">
        <v>61</v>
      </c>
      <c r="L442" s="4" t="s">
        <v>37</v>
      </c>
      <c r="N442" s="21" t="s">
        <v>1135</v>
      </c>
      <c r="O442" s="21"/>
      <c r="P442" s="21" t="s">
        <v>1136</v>
      </c>
      <c r="Q442" s="21"/>
      <c r="R442" s="21"/>
      <c r="S442" s="3" t="s">
        <v>40</v>
      </c>
      <c r="T442" s="21" t="s">
        <v>41</v>
      </c>
      <c r="U442" s="21"/>
      <c r="V442" s="4" t="s">
        <v>42</v>
      </c>
      <c r="W442" s="4" t="s">
        <v>43</v>
      </c>
      <c r="X442" s="4" t="s">
        <v>44</v>
      </c>
      <c r="Y442" s="21" t="s">
        <v>65</v>
      </c>
      <c r="Z442" s="21"/>
      <c r="AA442" s="4" t="s">
        <v>46</v>
      </c>
      <c r="AB442" s="4" t="s">
        <v>47</v>
      </c>
      <c r="AC442" s="4" t="s">
        <v>57</v>
      </c>
      <c r="AD442" s="4" t="s">
        <v>58</v>
      </c>
      <c r="AE442" s="4" t="s">
        <v>48</v>
      </c>
      <c r="AF442" s="4" t="s">
        <v>41</v>
      </c>
      <c r="AG442" s="4" t="s">
        <v>986</v>
      </c>
    </row>
    <row r="443" spans="1:33" ht="16.5" customHeight="1" x14ac:dyDescent="0.2">
      <c r="A443" s="2" t="s">
        <v>31</v>
      </c>
      <c r="B443" s="19" t="s">
        <v>50</v>
      </c>
      <c r="C443" s="19"/>
      <c r="D443" s="19"/>
      <c r="E443" s="20" t="s">
        <v>33</v>
      </c>
      <c r="F443" s="20"/>
      <c r="G443" s="21" t="s">
        <v>983</v>
      </c>
      <c r="H443" s="21"/>
      <c r="I443" s="21"/>
      <c r="J443" s="3" t="s">
        <v>35</v>
      </c>
      <c r="K443" s="4" t="s">
        <v>99</v>
      </c>
      <c r="L443" s="4" t="s">
        <v>37</v>
      </c>
      <c r="N443" s="21" t="s">
        <v>1137</v>
      </c>
      <c r="O443" s="21"/>
      <c r="P443" s="21" t="s">
        <v>1138</v>
      </c>
      <c r="Q443" s="21"/>
      <c r="R443" s="21"/>
      <c r="S443" s="3" t="s">
        <v>40</v>
      </c>
      <c r="T443" s="21" t="s">
        <v>41</v>
      </c>
      <c r="U443" s="21"/>
      <c r="V443" s="4" t="s">
        <v>42</v>
      </c>
      <c r="W443" s="4" t="s">
        <v>43</v>
      </c>
      <c r="X443" s="4" t="s">
        <v>44</v>
      </c>
      <c r="Y443" s="21" t="s">
        <v>56</v>
      </c>
      <c r="Z443" s="21"/>
      <c r="AA443" s="4" t="s">
        <v>46</v>
      </c>
      <c r="AB443" s="4" t="s">
        <v>47</v>
      </c>
      <c r="AC443" s="4" t="s">
        <v>139</v>
      </c>
      <c r="AD443" s="4" t="s">
        <v>140</v>
      </c>
      <c r="AE443" s="4" t="s">
        <v>48</v>
      </c>
      <c r="AF443" s="4" t="s">
        <v>41</v>
      </c>
      <c r="AG443" s="4" t="s">
        <v>986</v>
      </c>
    </row>
    <row r="444" spans="1:33" ht="16.5" customHeight="1" x14ac:dyDescent="0.2">
      <c r="A444" s="2" t="s">
        <v>31</v>
      </c>
      <c r="B444" s="19" t="s">
        <v>50</v>
      </c>
      <c r="C444" s="19"/>
      <c r="D444" s="19"/>
      <c r="E444" s="20" t="s">
        <v>33</v>
      </c>
      <c r="F444" s="20"/>
      <c r="G444" s="21" t="s">
        <v>983</v>
      </c>
      <c r="H444" s="21"/>
      <c r="I444" s="21"/>
      <c r="J444" s="3" t="s">
        <v>35</v>
      </c>
      <c r="K444" s="4" t="s">
        <v>152</v>
      </c>
      <c r="L444" s="4" t="s">
        <v>37</v>
      </c>
      <c r="N444" s="21" t="s">
        <v>1139</v>
      </c>
      <c r="O444" s="21"/>
      <c r="P444" s="21" t="s">
        <v>1140</v>
      </c>
      <c r="Q444" s="21"/>
      <c r="R444" s="21"/>
      <c r="S444" s="3" t="s">
        <v>40</v>
      </c>
      <c r="T444" s="21" t="s">
        <v>41</v>
      </c>
      <c r="U444" s="21"/>
      <c r="V444" s="4" t="s">
        <v>42</v>
      </c>
      <c r="W444" s="4" t="s">
        <v>43</v>
      </c>
      <c r="X444" s="4" t="s">
        <v>44</v>
      </c>
      <c r="Y444" s="21" t="s">
        <v>56</v>
      </c>
      <c r="Z444" s="21"/>
      <c r="AA444" s="4" t="s">
        <v>46</v>
      </c>
      <c r="AB444" s="4" t="s">
        <v>47</v>
      </c>
      <c r="AC444" s="4" t="s">
        <v>139</v>
      </c>
      <c r="AD444" s="4" t="s">
        <v>140</v>
      </c>
      <c r="AE444" s="4" t="s">
        <v>48</v>
      </c>
      <c r="AF444" s="4" t="s">
        <v>41</v>
      </c>
      <c r="AG444" s="4" t="s">
        <v>986</v>
      </c>
    </row>
    <row r="445" spans="1:33" ht="16.5" customHeight="1" x14ac:dyDescent="0.2">
      <c r="A445" s="2" t="s">
        <v>31</v>
      </c>
      <c r="B445" s="19" t="s">
        <v>50</v>
      </c>
      <c r="C445" s="19"/>
      <c r="D445" s="19"/>
      <c r="E445" s="20" t="s">
        <v>33</v>
      </c>
      <c r="F445" s="20"/>
      <c r="G445" s="21" t="s">
        <v>983</v>
      </c>
      <c r="H445" s="21"/>
      <c r="I445" s="21"/>
      <c r="J445" s="3" t="s">
        <v>35</v>
      </c>
      <c r="K445" s="4" t="s">
        <v>99</v>
      </c>
      <c r="L445" s="4" t="s">
        <v>37</v>
      </c>
      <c r="N445" s="21" t="s">
        <v>1141</v>
      </c>
      <c r="O445" s="21"/>
      <c r="P445" s="21" t="s">
        <v>1142</v>
      </c>
      <c r="Q445" s="21"/>
      <c r="R445" s="21"/>
      <c r="S445" s="3" t="s">
        <v>40</v>
      </c>
      <c r="T445" s="21" t="s">
        <v>41</v>
      </c>
      <c r="U445" s="21"/>
      <c r="V445" s="4" t="s">
        <v>42</v>
      </c>
      <c r="W445" s="4" t="s">
        <v>333</v>
      </c>
      <c r="X445" s="4" t="s">
        <v>334</v>
      </c>
      <c r="Y445" s="21" t="s">
        <v>56</v>
      </c>
      <c r="Z445" s="21"/>
      <c r="AA445" s="4" t="s">
        <v>46</v>
      </c>
      <c r="AB445" s="4" t="s">
        <v>47</v>
      </c>
      <c r="AC445" s="4" t="s">
        <v>139</v>
      </c>
      <c r="AD445" s="4" t="s">
        <v>140</v>
      </c>
      <c r="AE445" s="4" t="s">
        <v>48</v>
      </c>
      <c r="AF445" s="4" t="s">
        <v>41</v>
      </c>
      <c r="AG445" s="4" t="s">
        <v>986</v>
      </c>
    </row>
    <row r="446" spans="1:33" ht="16.5" customHeight="1" x14ac:dyDescent="0.2">
      <c r="A446" s="2" t="s">
        <v>31</v>
      </c>
      <c r="B446" s="19" t="s">
        <v>50</v>
      </c>
      <c r="C446" s="19"/>
      <c r="D446" s="19"/>
      <c r="E446" s="20" t="s">
        <v>33</v>
      </c>
      <c r="F446" s="20"/>
      <c r="G446" s="21" t="s">
        <v>983</v>
      </c>
      <c r="H446" s="21"/>
      <c r="I446" s="21"/>
      <c r="J446" s="3" t="s">
        <v>35</v>
      </c>
      <c r="K446" s="4" t="s">
        <v>146</v>
      </c>
      <c r="L446" s="4" t="s">
        <v>37</v>
      </c>
      <c r="N446" s="21" t="s">
        <v>1143</v>
      </c>
      <c r="O446" s="21"/>
      <c r="P446" s="21" t="s">
        <v>1144</v>
      </c>
      <c r="Q446" s="21"/>
      <c r="R446" s="21"/>
      <c r="S446" s="3" t="s">
        <v>40</v>
      </c>
      <c r="T446" s="21" t="s">
        <v>41</v>
      </c>
      <c r="U446" s="21"/>
      <c r="V446" s="4" t="s">
        <v>42</v>
      </c>
      <c r="W446" s="4" t="s">
        <v>333</v>
      </c>
      <c r="X446" s="4" t="s">
        <v>334</v>
      </c>
      <c r="Y446" s="21" t="s">
        <v>138</v>
      </c>
      <c r="Z446" s="21"/>
      <c r="AA446" s="4" t="s">
        <v>46</v>
      </c>
      <c r="AB446" s="4" t="s">
        <v>47</v>
      </c>
      <c r="AC446" s="4" t="s">
        <v>139</v>
      </c>
      <c r="AD446" s="4" t="s">
        <v>140</v>
      </c>
      <c r="AE446" s="4" t="s">
        <v>48</v>
      </c>
      <c r="AF446" s="4" t="s">
        <v>41</v>
      </c>
      <c r="AG446" s="4" t="s">
        <v>986</v>
      </c>
    </row>
    <row r="447" spans="1:33" ht="16.5" customHeight="1" x14ac:dyDescent="0.2">
      <c r="A447" s="2" t="s">
        <v>31</v>
      </c>
      <c r="B447" s="19" t="s">
        <v>50</v>
      </c>
      <c r="C447" s="19"/>
      <c r="D447" s="19"/>
      <c r="E447" s="20" t="s">
        <v>33</v>
      </c>
      <c r="F447" s="20"/>
      <c r="G447" s="21" t="s">
        <v>983</v>
      </c>
      <c r="H447" s="21"/>
      <c r="I447" s="21"/>
      <c r="J447" s="3" t="s">
        <v>35</v>
      </c>
      <c r="K447" s="4" t="s">
        <v>146</v>
      </c>
      <c r="L447" s="4" t="s">
        <v>37</v>
      </c>
      <c r="N447" s="21" t="s">
        <v>1145</v>
      </c>
      <c r="O447" s="21"/>
      <c r="P447" s="21" t="s">
        <v>1146</v>
      </c>
      <c r="Q447" s="21"/>
      <c r="R447" s="21"/>
      <c r="S447" s="3" t="s">
        <v>40</v>
      </c>
      <c r="T447" s="21" t="s">
        <v>41</v>
      </c>
      <c r="U447" s="21"/>
      <c r="V447" s="4" t="s">
        <v>42</v>
      </c>
      <c r="W447" s="4" t="s">
        <v>149</v>
      </c>
      <c r="X447" s="4" t="s">
        <v>150</v>
      </c>
      <c r="Y447" s="21" t="s">
        <v>138</v>
      </c>
      <c r="Z447" s="21"/>
      <c r="AA447" s="4" t="s">
        <v>46</v>
      </c>
      <c r="AB447" s="4" t="s">
        <v>47</v>
      </c>
      <c r="AC447" s="4" t="s">
        <v>139</v>
      </c>
      <c r="AD447" s="4" t="s">
        <v>140</v>
      </c>
      <c r="AE447" s="4" t="s">
        <v>48</v>
      </c>
      <c r="AF447" s="4" t="s">
        <v>41</v>
      </c>
      <c r="AG447" s="4" t="s">
        <v>986</v>
      </c>
    </row>
    <row r="448" spans="1:33" ht="16.5" customHeight="1" x14ac:dyDescent="0.2">
      <c r="A448" s="2" t="s">
        <v>31</v>
      </c>
      <c r="B448" s="19" t="s">
        <v>50</v>
      </c>
      <c r="C448" s="19"/>
      <c r="D448" s="19"/>
      <c r="E448" s="20" t="s">
        <v>33</v>
      </c>
      <c r="F448" s="20"/>
      <c r="G448" s="21" t="s">
        <v>983</v>
      </c>
      <c r="H448" s="21"/>
      <c r="I448" s="21"/>
      <c r="J448" s="3" t="s">
        <v>35</v>
      </c>
      <c r="K448" s="4" t="s">
        <v>146</v>
      </c>
      <c r="L448" s="4" t="s">
        <v>37</v>
      </c>
      <c r="N448" s="21" t="s">
        <v>1147</v>
      </c>
      <c r="O448" s="21"/>
      <c r="P448" s="21" t="s">
        <v>1148</v>
      </c>
      <c r="Q448" s="21"/>
      <c r="R448" s="21"/>
      <c r="S448" s="3" t="s">
        <v>40</v>
      </c>
      <c r="T448" s="21" t="s">
        <v>41</v>
      </c>
      <c r="U448" s="21"/>
      <c r="V448" s="4" t="s">
        <v>42</v>
      </c>
      <c r="W448" s="4" t="s">
        <v>54</v>
      </c>
      <c r="X448" s="4" t="s">
        <v>55</v>
      </c>
      <c r="Y448" s="21" t="s">
        <v>138</v>
      </c>
      <c r="Z448" s="21"/>
      <c r="AA448" s="4" t="s">
        <v>46</v>
      </c>
      <c r="AB448" s="4" t="s">
        <v>47</v>
      </c>
      <c r="AC448" s="4" t="s">
        <v>57</v>
      </c>
      <c r="AD448" s="4" t="s">
        <v>58</v>
      </c>
      <c r="AE448" s="4" t="s">
        <v>48</v>
      </c>
      <c r="AF448" s="4" t="s">
        <v>41</v>
      </c>
      <c r="AG448" s="4" t="s">
        <v>986</v>
      </c>
    </row>
    <row r="449" spans="1:33" ht="16.5" customHeight="1" x14ac:dyDescent="0.2">
      <c r="A449" s="2" t="s">
        <v>31</v>
      </c>
      <c r="B449" s="19" t="s">
        <v>50</v>
      </c>
      <c r="C449" s="19"/>
      <c r="D449" s="19"/>
      <c r="E449" s="20" t="s">
        <v>33</v>
      </c>
      <c r="F449" s="20"/>
      <c r="G449" s="21" t="s">
        <v>983</v>
      </c>
      <c r="H449" s="21"/>
      <c r="I449" s="21"/>
      <c r="J449" s="3" t="s">
        <v>35</v>
      </c>
      <c r="K449" s="4" t="s">
        <v>146</v>
      </c>
      <c r="L449" s="4" t="s">
        <v>37</v>
      </c>
      <c r="N449" s="21" t="s">
        <v>1149</v>
      </c>
      <c r="O449" s="21"/>
      <c r="P449" s="21" t="s">
        <v>1150</v>
      </c>
      <c r="Q449" s="21"/>
      <c r="R449" s="21"/>
      <c r="S449" s="3" t="s">
        <v>40</v>
      </c>
      <c r="T449" s="21" t="s">
        <v>41</v>
      </c>
      <c r="U449" s="21"/>
      <c r="V449" s="4" t="s">
        <v>42</v>
      </c>
      <c r="W449" s="4" t="s">
        <v>863</v>
      </c>
      <c r="X449" s="4" t="s">
        <v>864</v>
      </c>
      <c r="Y449" s="21" t="s">
        <v>138</v>
      </c>
      <c r="Z449" s="21"/>
      <c r="AA449" s="4" t="s">
        <v>46</v>
      </c>
      <c r="AB449" s="4" t="s">
        <v>47</v>
      </c>
      <c r="AC449" s="4" t="s">
        <v>139</v>
      </c>
      <c r="AD449" s="4" t="s">
        <v>140</v>
      </c>
      <c r="AE449" s="4" t="s">
        <v>48</v>
      </c>
      <c r="AF449" s="4" t="s">
        <v>41</v>
      </c>
      <c r="AG449" s="4" t="s">
        <v>986</v>
      </c>
    </row>
    <row r="450" spans="1:33" ht="16.5" customHeight="1" x14ac:dyDescent="0.2">
      <c r="A450" s="2" t="s">
        <v>31</v>
      </c>
      <c r="B450" s="19" t="s">
        <v>50</v>
      </c>
      <c r="C450" s="19"/>
      <c r="D450" s="19"/>
      <c r="E450" s="20" t="s">
        <v>33</v>
      </c>
      <c r="F450" s="20"/>
      <c r="G450" s="21" t="s">
        <v>983</v>
      </c>
      <c r="H450" s="21"/>
      <c r="I450" s="21"/>
      <c r="J450" s="3" t="s">
        <v>35</v>
      </c>
      <c r="K450" s="4" t="s">
        <v>133</v>
      </c>
      <c r="L450" s="4" t="s">
        <v>37</v>
      </c>
      <c r="N450" s="21" t="s">
        <v>1151</v>
      </c>
      <c r="O450" s="21"/>
      <c r="P450" s="21" t="s">
        <v>1152</v>
      </c>
      <c r="Q450" s="21"/>
      <c r="R450" s="21"/>
      <c r="S450" s="3" t="s">
        <v>40</v>
      </c>
      <c r="T450" s="21" t="s">
        <v>41</v>
      </c>
      <c r="U450" s="21"/>
      <c r="V450" s="4" t="s">
        <v>42</v>
      </c>
      <c r="W450" s="4" t="s">
        <v>863</v>
      </c>
      <c r="X450" s="4" t="s">
        <v>864</v>
      </c>
      <c r="Y450" s="21" t="s">
        <v>138</v>
      </c>
      <c r="Z450" s="21"/>
      <c r="AA450" s="4" t="s">
        <v>46</v>
      </c>
      <c r="AB450" s="4" t="s">
        <v>47</v>
      </c>
      <c r="AC450" s="4" t="s">
        <v>139</v>
      </c>
      <c r="AD450" s="4" t="s">
        <v>140</v>
      </c>
      <c r="AE450" s="4" t="s">
        <v>48</v>
      </c>
      <c r="AF450" s="4" t="s">
        <v>41</v>
      </c>
      <c r="AG450" s="4" t="s">
        <v>986</v>
      </c>
    </row>
    <row r="451" spans="1:33" ht="16.5" customHeight="1" x14ac:dyDescent="0.2">
      <c r="A451" s="2" t="s">
        <v>31</v>
      </c>
      <c r="B451" s="19" t="s">
        <v>50</v>
      </c>
      <c r="C451" s="19"/>
      <c r="D451" s="19"/>
      <c r="E451" s="20" t="s">
        <v>33</v>
      </c>
      <c r="F451" s="20"/>
      <c r="G451" s="21" t="s">
        <v>983</v>
      </c>
      <c r="H451" s="21"/>
      <c r="I451" s="21"/>
      <c r="J451" s="3" t="s">
        <v>35</v>
      </c>
      <c r="K451" s="4" t="s">
        <v>152</v>
      </c>
      <c r="L451" s="4" t="s">
        <v>68</v>
      </c>
      <c r="N451" s="21" t="s">
        <v>1153</v>
      </c>
      <c r="O451" s="21"/>
      <c r="P451" s="21" t="s">
        <v>1154</v>
      </c>
      <c r="Q451" s="21"/>
      <c r="R451" s="21"/>
      <c r="S451" s="3" t="s">
        <v>40</v>
      </c>
      <c r="T451" s="21" t="s">
        <v>41</v>
      </c>
      <c r="U451" s="21"/>
      <c r="V451" s="4" t="s">
        <v>42</v>
      </c>
      <c r="W451" s="4" t="s">
        <v>234</v>
      </c>
      <c r="X451" s="4" t="s">
        <v>235</v>
      </c>
      <c r="Y451" s="21" t="s">
        <v>56</v>
      </c>
      <c r="Z451" s="21"/>
      <c r="AA451" s="4" t="s">
        <v>46</v>
      </c>
      <c r="AB451" s="4" t="s">
        <v>47</v>
      </c>
      <c r="AC451" s="4" t="s">
        <v>139</v>
      </c>
      <c r="AD451" s="4" t="s">
        <v>151</v>
      </c>
      <c r="AE451" s="4" t="s">
        <v>48</v>
      </c>
      <c r="AF451" s="4" t="s">
        <v>41</v>
      </c>
      <c r="AG451" s="4" t="s">
        <v>986</v>
      </c>
    </row>
    <row r="452" spans="1:33" ht="16.5" customHeight="1" x14ac:dyDescent="0.2">
      <c r="A452" s="2" t="s">
        <v>31</v>
      </c>
      <c r="B452" s="19" t="s">
        <v>50</v>
      </c>
      <c r="C452" s="19"/>
      <c r="D452" s="19"/>
      <c r="E452" s="20" t="s">
        <v>33</v>
      </c>
      <c r="F452" s="20"/>
      <c r="G452" s="21" t="s">
        <v>983</v>
      </c>
      <c r="H452" s="21"/>
      <c r="I452" s="21"/>
      <c r="J452" s="3" t="s">
        <v>35</v>
      </c>
      <c r="K452" s="4" t="s">
        <v>61</v>
      </c>
      <c r="L452" s="4" t="s">
        <v>37</v>
      </c>
      <c r="N452" s="21" t="s">
        <v>1155</v>
      </c>
      <c r="O452" s="21"/>
      <c r="P452" s="21" t="s">
        <v>1156</v>
      </c>
      <c r="Q452" s="21"/>
      <c r="R452" s="21"/>
      <c r="S452" s="3" t="s">
        <v>40</v>
      </c>
      <c r="T452" s="21" t="s">
        <v>41</v>
      </c>
      <c r="U452" s="21"/>
      <c r="V452" s="4" t="s">
        <v>42</v>
      </c>
      <c r="W452" s="4" t="s">
        <v>234</v>
      </c>
      <c r="X452" s="4" t="s">
        <v>235</v>
      </c>
      <c r="Y452" s="21" t="s">
        <v>65</v>
      </c>
      <c r="Z452" s="21"/>
      <c r="AA452" s="4" t="s">
        <v>46</v>
      </c>
      <c r="AB452" s="4" t="s">
        <v>47</v>
      </c>
      <c r="AC452" s="4" t="s">
        <v>57</v>
      </c>
      <c r="AD452" s="4" t="s">
        <v>58</v>
      </c>
      <c r="AE452" s="4" t="s">
        <v>48</v>
      </c>
      <c r="AF452" s="4" t="s">
        <v>41</v>
      </c>
      <c r="AG452" s="4" t="s">
        <v>986</v>
      </c>
    </row>
    <row r="453" spans="1:33" ht="16.5" customHeight="1" x14ac:dyDescent="0.2">
      <c r="A453" s="2" t="s">
        <v>31</v>
      </c>
      <c r="B453" s="19" t="s">
        <v>50</v>
      </c>
      <c r="C453" s="19"/>
      <c r="D453" s="19"/>
      <c r="E453" s="20" t="s">
        <v>33</v>
      </c>
      <c r="F453" s="20"/>
      <c r="G453" s="21" t="s">
        <v>983</v>
      </c>
      <c r="H453" s="21"/>
      <c r="I453" s="21"/>
      <c r="J453" s="3" t="s">
        <v>35</v>
      </c>
      <c r="K453" s="4" t="s">
        <v>146</v>
      </c>
      <c r="L453" s="4" t="s">
        <v>278</v>
      </c>
      <c r="N453" s="21" t="s">
        <v>1157</v>
      </c>
      <c r="O453" s="21"/>
      <c r="P453" s="21" t="s">
        <v>1158</v>
      </c>
      <c r="Q453" s="21"/>
      <c r="R453" s="21"/>
      <c r="S453" s="3" t="s">
        <v>40</v>
      </c>
      <c r="T453" s="21" t="s">
        <v>41</v>
      </c>
      <c r="U453" s="21"/>
      <c r="V453" s="4" t="s">
        <v>42</v>
      </c>
      <c r="W453" s="4" t="s">
        <v>234</v>
      </c>
      <c r="X453" s="4" t="s">
        <v>235</v>
      </c>
      <c r="Y453" s="21" t="s">
        <v>138</v>
      </c>
      <c r="Z453" s="21"/>
      <c r="AA453" s="4" t="s">
        <v>46</v>
      </c>
      <c r="AB453" s="4" t="s">
        <v>47</v>
      </c>
      <c r="AC453" s="4" t="s">
        <v>139</v>
      </c>
      <c r="AD453" s="4" t="s">
        <v>69</v>
      </c>
      <c r="AE453" s="4" t="s">
        <v>48</v>
      </c>
      <c r="AF453" s="4" t="s">
        <v>41</v>
      </c>
      <c r="AG453" s="4" t="s">
        <v>986</v>
      </c>
    </row>
    <row r="454" spans="1:33" ht="16.5" customHeight="1" x14ac:dyDescent="0.2">
      <c r="A454" s="2" t="s">
        <v>31</v>
      </c>
      <c r="B454" s="19" t="s">
        <v>50</v>
      </c>
      <c r="C454" s="19"/>
      <c r="D454" s="19"/>
      <c r="E454" s="20" t="s">
        <v>33</v>
      </c>
      <c r="F454" s="20"/>
      <c r="G454" s="21" t="s">
        <v>983</v>
      </c>
      <c r="H454" s="21"/>
      <c r="I454" s="21"/>
      <c r="J454" s="3" t="s">
        <v>35</v>
      </c>
      <c r="K454" s="4" t="s">
        <v>146</v>
      </c>
      <c r="L454" s="4" t="s">
        <v>68</v>
      </c>
      <c r="N454" s="21" t="s">
        <v>1159</v>
      </c>
      <c r="O454" s="21"/>
      <c r="P454" s="21" t="s">
        <v>1160</v>
      </c>
      <c r="Q454" s="21"/>
      <c r="R454" s="21"/>
      <c r="S454" s="3" t="s">
        <v>40</v>
      </c>
      <c r="T454" s="21" t="s">
        <v>41</v>
      </c>
      <c r="U454" s="21"/>
      <c r="V454" s="4" t="s">
        <v>42</v>
      </c>
      <c r="W454" s="4" t="s">
        <v>234</v>
      </c>
      <c r="X454" s="4" t="s">
        <v>235</v>
      </c>
      <c r="Y454" s="21" t="s">
        <v>138</v>
      </c>
      <c r="Z454" s="21"/>
      <c r="AA454" s="4" t="s">
        <v>46</v>
      </c>
      <c r="AB454" s="4" t="s">
        <v>47</v>
      </c>
      <c r="AC454" s="4" t="s">
        <v>139</v>
      </c>
      <c r="AD454" s="4" t="s">
        <v>151</v>
      </c>
      <c r="AE454" s="4" t="s">
        <v>48</v>
      </c>
      <c r="AF454" s="4" t="s">
        <v>41</v>
      </c>
      <c r="AG454" s="4" t="s">
        <v>986</v>
      </c>
    </row>
    <row r="455" spans="1:33" ht="16.5" customHeight="1" x14ac:dyDescent="0.2">
      <c r="A455" s="2" t="s">
        <v>31</v>
      </c>
      <c r="B455" s="19" t="s">
        <v>50</v>
      </c>
      <c r="C455" s="19"/>
      <c r="D455" s="19"/>
      <c r="E455" s="20" t="s">
        <v>33</v>
      </c>
      <c r="F455" s="20"/>
      <c r="G455" s="21" t="s">
        <v>983</v>
      </c>
      <c r="H455" s="21"/>
      <c r="I455" s="21"/>
      <c r="J455" s="3" t="s">
        <v>35</v>
      </c>
      <c r="K455" s="4" t="s">
        <v>204</v>
      </c>
      <c r="L455" s="4" t="s">
        <v>68</v>
      </c>
      <c r="N455" s="21" t="s">
        <v>1161</v>
      </c>
      <c r="O455" s="21"/>
      <c r="P455" s="21" t="s">
        <v>1162</v>
      </c>
      <c r="Q455" s="21"/>
      <c r="R455" s="21"/>
      <c r="S455" s="3" t="s">
        <v>40</v>
      </c>
      <c r="T455" s="21" t="s">
        <v>41</v>
      </c>
      <c r="U455" s="21"/>
      <c r="V455" s="4" t="s">
        <v>42</v>
      </c>
      <c r="W455" s="4" t="s">
        <v>85</v>
      </c>
      <c r="X455" s="4" t="s">
        <v>86</v>
      </c>
      <c r="Y455" s="21" t="s">
        <v>198</v>
      </c>
      <c r="Z455" s="21"/>
      <c r="AA455" s="4" t="s">
        <v>46</v>
      </c>
      <c r="AB455" s="4" t="s">
        <v>47</v>
      </c>
      <c r="AC455" s="4" t="s">
        <v>139</v>
      </c>
      <c r="AD455" s="4" t="s">
        <v>151</v>
      </c>
      <c r="AE455" s="4" t="s">
        <v>48</v>
      </c>
      <c r="AF455" s="4" t="s">
        <v>41</v>
      </c>
      <c r="AG455" s="4" t="s">
        <v>986</v>
      </c>
    </row>
    <row r="456" spans="1:33" ht="16.5" customHeight="1" x14ac:dyDescent="0.2">
      <c r="A456" s="2" t="s">
        <v>31</v>
      </c>
      <c r="B456" s="19" t="s">
        <v>50</v>
      </c>
      <c r="C456" s="19"/>
      <c r="D456" s="19"/>
      <c r="E456" s="20" t="s">
        <v>33</v>
      </c>
      <c r="F456" s="20"/>
      <c r="G456" s="21" t="s">
        <v>983</v>
      </c>
      <c r="H456" s="21"/>
      <c r="I456" s="21"/>
      <c r="J456" s="3" t="s">
        <v>35</v>
      </c>
      <c r="K456" s="4" t="s">
        <v>74</v>
      </c>
      <c r="L456" s="4" t="s">
        <v>37</v>
      </c>
      <c r="N456" s="21" t="s">
        <v>1163</v>
      </c>
      <c r="O456" s="21"/>
      <c r="P456" s="21" t="s">
        <v>1164</v>
      </c>
      <c r="Q456" s="21"/>
      <c r="R456" s="21"/>
      <c r="S456" s="3" t="s">
        <v>40</v>
      </c>
      <c r="T456" s="21" t="s">
        <v>41</v>
      </c>
      <c r="U456" s="21"/>
      <c r="V456" s="4" t="s">
        <v>42</v>
      </c>
      <c r="W456" s="4" t="s">
        <v>104</v>
      </c>
      <c r="X456" s="4" t="s">
        <v>105</v>
      </c>
      <c r="Y456" s="21" t="s">
        <v>65</v>
      </c>
      <c r="Z456" s="21"/>
      <c r="AA456" s="4" t="s">
        <v>46</v>
      </c>
      <c r="AB456" s="4" t="s">
        <v>47</v>
      </c>
      <c r="AC456" s="4" t="s">
        <v>66</v>
      </c>
      <c r="AD456" s="4" t="s">
        <v>73</v>
      </c>
      <c r="AE456" s="4" t="s">
        <v>48</v>
      </c>
      <c r="AF456" s="4" t="s">
        <v>41</v>
      </c>
      <c r="AG456" s="4" t="s">
        <v>986</v>
      </c>
    </row>
    <row r="457" spans="1:33" ht="16.5" customHeight="1" x14ac:dyDescent="0.2">
      <c r="A457" s="2" t="s">
        <v>31</v>
      </c>
      <c r="B457" s="19" t="s">
        <v>50</v>
      </c>
      <c r="C457" s="19"/>
      <c r="D457" s="19"/>
      <c r="E457" s="20" t="s">
        <v>33</v>
      </c>
      <c r="F457" s="20"/>
      <c r="G457" s="21" t="s">
        <v>983</v>
      </c>
      <c r="H457" s="21"/>
      <c r="I457" s="21"/>
      <c r="J457" s="3" t="s">
        <v>35</v>
      </c>
      <c r="K457" s="4" t="s">
        <v>169</v>
      </c>
      <c r="L457" s="4" t="s">
        <v>37</v>
      </c>
      <c r="N457" s="21" t="s">
        <v>1165</v>
      </c>
      <c r="O457" s="21"/>
      <c r="P457" s="21" t="s">
        <v>1166</v>
      </c>
      <c r="Q457" s="21"/>
      <c r="R457" s="21"/>
      <c r="S457" s="3" t="s">
        <v>40</v>
      </c>
      <c r="T457" s="21" t="s">
        <v>41</v>
      </c>
      <c r="U457" s="21"/>
      <c r="V457" s="4" t="s">
        <v>42</v>
      </c>
      <c r="W457" s="4" t="s">
        <v>234</v>
      </c>
      <c r="X457" s="4" t="s">
        <v>235</v>
      </c>
      <c r="Y457" s="21" t="s">
        <v>56</v>
      </c>
      <c r="Z457" s="21"/>
      <c r="AA457" s="4" t="s">
        <v>46</v>
      </c>
      <c r="AB457" s="4" t="s">
        <v>47</v>
      </c>
      <c r="AC457" s="4" t="s">
        <v>139</v>
      </c>
      <c r="AD457" s="4" t="s">
        <v>140</v>
      </c>
      <c r="AE457" s="4" t="s">
        <v>48</v>
      </c>
      <c r="AF457" s="4" t="s">
        <v>41</v>
      </c>
      <c r="AG457" s="4" t="s">
        <v>986</v>
      </c>
    </row>
    <row r="458" spans="1:33" ht="16.5" customHeight="1" x14ac:dyDescent="0.2">
      <c r="A458" s="2" t="s">
        <v>31</v>
      </c>
      <c r="B458" s="19" t="s">
        <v>50</v>
      </c>
      <c r="C458" s="19"/>
      <c r="D458" s="19"/>
      <c r="E458" s="20" t="s">
        <v>33</v>
      </c>
      <c r="F458" s="20"/>
      <c r="G458" s="21" t="s">
        <v>983</v>
      </c>
      <c r="H458" s="21"/>
      <c r="I458" s="21"/>
      <c r="J458" s="3" t="s">
        <v>35</v>
      </c>
      <c r="K458" s="4" t="s">
        <v>247</v>
      </c>
      <c r="L458" s="4" t="s">
        <v>37</v>
      </c>
      <c r="N458" s="21" t="s">
        <v>1167</v>
      </c>
      <c r="O458" s="21"/>
      <c r="P458" s="21" t="s">
        <v>1168</v>
      </c>
      <c r="Q458" s="21"/>
      <c r="R458" s="21"/>
      <c r="S458" s="3" t="s">
        <v>40</v>
      </c>
      <c r="T458" s="21" t="s">
        <v>41</v>
      </c>
      <c r="U458" s="21"/>
      <c r="V458" s="4" t="s">
        <v>42</v>
      </c>
      <c r="W458" s="4" t="s">
        <v>234</v>
      </c>
      <c r="X458" s="4" t="s">
        <v>235</v>
      </c>
      <c r="Y458" s="21" t="s">
        <v>65</v>
      </c>
      <c r="Z458" s="21"/>
      <c r="AA458" s="4" t="s">
        <v>46</v>
      </c>
      <c r="AB458" s="4" t="s">
        <v>47</v>
      </c>
      <c r="AC458" s="4" t="s">
        <v>57</v>
      </c>
      <c r="AD458" s="4" t="s">
        <v>58</v>
      </c>
      <c r="AE458" s="4" t="s">
        <v>48</v>
      </c>
      <c r="AF458" s="4" t="s">
        <v>41</v>
      </c>
      <c r="AG458" s="4" t="s">
        <v>986</v>
      </c>
    </row>
    <row r="459" spans="1:33" ht="16.5" customHeight="1" x14ac:dyDescent="0.2">
      <c r="A459" s="2" t="s">
        <v>31</v>
      </c>
      <c r="B459" s="19" t="s">
        <v>50</v>
      </c>
      <c r="C459" s="19"/>
      <c r="D459" s="19"/>
      <c r="E459" s="20" t="s">
        <v>33</v>
      </c>
      <c r="F459" s="20"/>
      <c r="G459" s="21" t="s">
        <v>983</v>
      </c>
      <c r="H459" s="21"/>
      <c r="I459" s="21"/>
      <c r="J459" s="3" t="s">
        <v>35</v>
      </c>
      <c r="K459" s="4" t="s">
        <v>661</v>
      </c>
      <c r="L459" s="4" t="s">
        <v>37</v>
      </c>
      <c r="N459" s="21" t="s">
        <v>1169</v>
      </c>
      <c r="O459" s="21"/>
      <c r="P459" s="21" t="s">
        <v>1170</v>
      </c>
      <c r="Q459" s="21"/>
      <c r="R459" s="21"/>
      <c r="S459" s="3" t="s">
        <v>40</v>
      </c>
      <c r="T459" s="21" t="s">
        <v>41</v>
      </c>
      <c r="U459" s="21"/>
      <c r="V459" s="4" t="s">
        <v>42</v>
      </c>
      <c r="W459" s="4" t="s">
        <v>234</v>
      </c>
      <c r="X459" s="4" t="s">
        <v>235</v>
      </c>
      <c r="Y459" s="21" t="s">
        <v>198</v>
      </c>
      <c r="Z459" s="21"/>
      <c r="AA459" s="4" t="s">
        <v>46</v>
      </c>
      <c r="AB459" s="4" t="s">
        <v>47</v>
      </c>
      <c r="AC459" s="4" t="s">
        <v>257</v>
      </c>
      <c r="AD459" s="4" t="s">
        <v>258</v>
      </c>
      <c r="AE459" s="4" t="s">
        <v>48</v>
      </c>
      <c r="AF459" s="4" t="s">
        <v>41</v>
      </c>
      <c r="AG459" s="4" t="s">
        <v>986</v>
      </c>
    </row>
    <row r="460" spans="1:33" ht="16.5" customHeight="1" x14ac:dyDescent="0.2">
      <c r="A460" s="2" t="s">
        <v>31</v>
      </c>
      <c r="B460" s="19" t="s">
        <v>50</v>
      </c>
      <c r="C460" s="19"/>
      <c r="D460" s="19"/>
      <c r="E460" s="20" t="s">
        <v>33</v>
      </c>
      <c r="F460" s="20"/>
      <c r="G460" s="21" t="s">
        <v>983</v>
      </c>
      <c r="H460" s="21"/>
      <c r="I460" s="21"/>
      <c r="J460" s="3" t="s">
        <v>35</v>
      </c>
      <c r="K460" s="4" t="s">
        <v>204</v>
      </c>
      <c r="L460" s="4" t="s">
        <v>37</v>
      </c>
      <c r="N460" s="21" t="s">
        <v>1171</v>
      </c>
      <c r="O460" s="21"/>
      <c r="P460" s="21" t="s">
        <v>1172</v>
      </c>
      <c r="Q460" s="21"/>
      <c r="R460" s="21"/>
      <c r="S460" s="3" t="s">
        <v>40</v>
      </c>
      <c r="T460" s="21" t="s">
        <v>41</v>
      </c>
      <c r="U460" s="21"/>
      <c r="V460" s="4" t="s">
        <v>42</v>
      </c>
      <c r="W460" s="4" t="s">
        <v>350</v>
      </c>
      <c r="X460" s="4" t="s">
        <v>339</v>
      </c>
      <c r="Y460" s="21" t="s">
        <v>198</v>
      </c>
      <c r="Z460" s="21"/>
      <c r="AA460" s="4" t="s">
        <v>46</v>
      </c>
      <c r="AB460" s="4" t="s">
        <v>47</v>
      </c>
      <c r="AC460" s="4" t="s">
        <v>81</v>
      </c>
      <c r="AD460" s="4" t="s">
        <v>41</v>
      </c>
      <c r="AE460" s="4" t="s">
        <v>48</v>
      </c>
      <c r="AF460" s="4" t="s">
        <v>41</v>
      </c>
      <c r="AG460" s="4" t="s">
        <v>986</v>
      </c>
    </row>
    <row r="461" spans="1:33" ht="16.5" customHeight="1" x14ac:dyDescent="0.2">
      <c r="A461" s="2" t="s">
        <v>31</v>
      </c>
      <c r="B461" s="19" t="s">
        <v>50</v>
      </c>
      <c r="C461" s="19"/>
      <c r="D461" s="19"/>
      <c r="E461" s="20" t="s">
        <v>33</v>
      </c>
      <c r="F461" s="20"/>
      <c r="G461" s="21" t="s">
        <v>983</v>
      </c>
      <c r="H461" s="21"/>
      <c r="I461" s="21"/>
      <c r="J461" s="3" t="s">
        <v>35</v>
      </c>
      <c r="K461" s="4" t="s">
        <v>247</v>
      </c>
      <c r="L461" s="4" t="s">
        <v>278</v>
      </c>
      <c r="N461" s="21" t="s">
        <v>1173</v>
      </c>
      <c r="O461" s="21"/>
      <c r="P461" s="21" t="s">
        <v>1174</v>
      </c>
      <c r="Q461" s="21"/>
      <c r="R461" s="21"/>
      <c r="S461" s="3" t="s">
        <v>40</v>
      </c>
      <c r="T461" s="21" t="s">
        <v>41</v>
      </c>
      <c r="U461" s="21"/>
      <c r="V461" s="4" t="s">
        <v>42</v>
      </c>
      <c r="W461" s="4" t="s">
        <v>350</v>
      </c>
      <c r="X461" s="4" t="s">
        <v>339</v>
      </c>
      <c r="Y461" s="21" t="s">
        <v>65</v>
      </c>
      <c r="Z461" s="21"/>
      <c r="AA461" s="4" t="s">
        <v>46</v>
      </c>
      <c r="AB461" s="4" t="s">
        <v>47</v>
      </c>
      <c r="AC461" s="4" t="s">
        <v>57</v>
      </c>
      <c r="AD461" s="4" t="s">
        <v>283</v>
      </c>
      <c r="AE461" s="4" t="s">
        <v>48</v>
      </c>
      <c r="AF461" s="4" t="s">
        <v>41</v>
      </c>
      <c r="AG461" s="4" t="s">
        <v>986</v>
      </c>
    </row>
    <row r="462" spans="1:33" ht="16.5" customHeight="1" x14ac:dyDescent="0.2">
      <c r="A462" s="2" t="s">
        <v>31</v>
      </c>
      <c r="B462" s="19" t="s">
        <v>50</v>
      </c>
      <c r="C462" s="19"/>
      <c r="D462" s="19"/>
      <c r="E462" s="20" t="s">
        <v>33</v>
      </c>
      <c r="F462" s="20"/>
      <c r="G462" s="21" t="s">
        <v>983</v>
      </c>
      <c r="H462" s="21"/>
      <c r="I462" s="21"/>
      <c r="J462" s="3" t="s">
        <v>35</v>
      </c>
      <c r="K462" s="4" t="s">
        <v>204</v>
      </c>
      <c r="L462" s="4" t="s">
        <v>37</v>
      </c>
      <c r="N462" s="21" t="s">
        <v>1175</v>
      </c>
      <c r="O462" s="21"/>
      <c r="P462" s="21" t="s">
        <v>1176</v>
      </c>
      <c r="Q462" s="21"/>
      <c r="R462" s="21"/>
      <c r="S462" s="3" t="s">
        <v>40</v>
      </c>
      <c r="T462" s="21" t="s">
        <v>41</v>
      </c>
      <c r="U462" s="21"/>
      <c r="V462" s="4" t="s">
        <v>42</v>
      </c>
      <c r="W462" s="4" t="s">
        <v>350</v>
      </c>
      <c r="X462" s="4" t="s">
        <v>339</v>
      </c>
      <c r="Y462" s="21" t="s">
        <v>198</v>
      </c>
      <c r="Z462" s="21"/>
      <c r="AA462" s="4" t="s">
        <v>46</v>
      </c>
      <c r="AB462" s="4" t="s">
        <v>47</v>
      </c>
      <c r="AC462" s="4" t="s">
        <v>257</v>
      </c>
      <c r="AD462" s="4" t="s">
        <v>258</v>
      </c>
      <c r="AE462" s="4" t="s">
        <v>48</v>
      </c>
      <c r="AF462" s="4" t="s">
        <v>41</v>
      </c>
      <c r="AG462" s="4" t="s">
        <v>986</v>
      </c>
    </row>
    <row r="463" spans="1:33" ht="16.5" customHeight="1" x14ac:dyDescent="0.2">
      <c r="A463" s="2" t="s">
        <v>31</v>
      </c>
      <c r="B463" s="19" t="s">
        <v>50</v>
      </c>
      <c r="C463" s="19"/>
      <c r="D463" s="19"/>
      <c r="E463" s="20" t="s">
        <v>33</v>
      </c>
      <c r="F463" s="20"/>
      <c r="G463" s="21" t="s">
        <v>983</v>
      </c>
      <c r="H463" s="21"/>
      <c r="I463" s="21"/>
      <c r="J463" s="3" t="s">
        <v>35</v>
      </c>
      <c r="K463" s="4" t="s">
        <v>61</v>
      </c>
      <c r="L463" s="4" t="s">
        <v>37</v>
      </c>
      <c r="N463" s="21" t="s">
        <v>1177</v>
      </c>
      <c r="O463" s="21"/>
      <c r="P463" s="21" t="s">
        <v>1178</v>
      </c>
      <c r="Q463" s="21"/>
      <c r="R463" s="21"/>
      <c r="S463" s="3" t="s">
        <v>40</v>
      </c>
      <c r="T463" s="21" t="s">
        <v>41</v>
      </c>
      <c r="U463" s="21"/>
      <c r="V463" s="4" t="s">
        <v>42</v>
      </c>
      <c r="W463" s="4" t="s">
        <v>355</v>
      </c>
      <c r="X463" s="4" t="s">
        <v>356</v>
      </c>
      <c r="Y463" s="21" t="s">
        <v>65</v>
      </c>
      <c r="Z463" s="21"/>
      <c r="AA463" s="4" t="s">
        <v>46</v>
      </c>
      <c r="AB463" s="4" t="s">
        <v>47</v>
      </c>
      <c r="AC463" s="4" t="s">
        <v>57</v>
      </c>
      <c r="AD463" s="4" t="s">
        <v>58</v>
      </c>
      <c r="AE463" s="4" t="s">
        <v>48</v>
      </c>
      <c r="AF463" s="4" t="s">
        <v>41</v>
      </c>
      <c r="AG463" s="4" t="s">
        <v>986</v>
      </c>
    </row>
    <row r="464" spans="1:33" ht="16.5" customHeight="1" x14ac:dyDescent="0.2">
      <c r="A464" s="2" t="s">
        <v>31</v>
      </c>
      <c r="B464" s="19" t="s">
        <v>50</v>
      </c>
      <c r="C464" s="19"/>
      <c r="D464" s="19"/>
      <c r="E464" s="20" t="s">
        <v>33</v>
      </c>
      <c r="F464" s="20"/>
      <c r="G464" s="21" t="s">
        <v>983</v>
      </c>
      <c r="H464" s="21"/>
      <c r="I464" s="21"/>
      <c r="J464" s="3" t="s">
        <v>35</v>
      </c>
      <c r="K464" s="4" t="s">
        <v>247</v>
      </c>
      <c r="L464" s="4" t="s">
        <v>68</v>
      </c>
      <c r="N464" s="21" t="s">
        <v>1179</v>
      </c>
      <c r="O464" s="21"/>
      <c r="P464" s="21" t="s">
        <v>1180</v>
      </c>
      <c r="Q464" s="21"/>
      <c r="R464" s="21"/>
      <c r="S464" s="3" t="s">
        <v>40</v>
      </c>
      <c r="T464" s="21" t="s">
        <v>41</v>
      </c>
      <c r="U464" s="21"/>
      <c r="V464" s="4" t="s">
        <v>42</v>
      </c>
      <c r="W464" s="4" t="s">
        <v>54</v>
      </c>
      <c r="X464" s="4" t="s">
        <v>55</v>
      </c>
      <c r="Y464" s="21" t="s">
        <v>65</v>
      </c>
      <c r="Z464" s="21"/>
      <c r="AA464" s="4" t="s">
        <v>46</v>
      </c>
      <c r="AB464" s="4" t="s">
        <v>47</v>
      </c>
      <c r="AC464" s="4" t="s">
        <v>66</v>
      </c>
      <c r="AD464" s="4" t="s">
        <v>69</v>
      </c>
      <c r="AE464" s="4" t="s">
        <v>48</v>
      </c>
      <c r="AF464" s="4" t="s">
        <v>41</v>
      </c>
      <c r="AG464" s="4" t="s">
        <v>986</v>
      </c>
    </row>
    <row r="465" spans="1:33" ht="16.5" customHeight="1" x14ac:dyDescent="0.2">
      <c r="A465" s="2" t="s">
        <v>31</v>
      </c>
      <c r="B465" s="19" t="s">
        <v>50</v>
      </c>
      <c r="C465" s="19"/>
      <c r="D465" s="19"/>
      <c r="E465" s="20" t="s">
        <v>33</v>
      </c>
      <c r="F465" s="20"/>
      <c r="G465" s="21" t="s">
        <v>983</v>
      </c>
      <c r="H465" s="21"/>
      <c r="I465" s="21"/>
      <c r="J465" s="3" t="s">
        <v>35</v>
      </c>
      <c r="K465" s="4" t="s">
        <v>82</v>
      </c>
      <c r="L465" s="4" t="s">
        <v>37</v>
      </c>
      <c r="N465" s="21" t="s">
        <v>1181</v>
      </c>
      <c r="O465" s="21"/>
      <c r="P465" s="21" t="s">
        <v>1182</v>
      </c>
      <c r="Q465" s="21"/>
      <c r="R465" s="21"/>
      <c r="S465" s="3" t="s">
        <v>40</v>
      </c>
      <c r="T465" s="21" t="s">
        <v>41</v>
      </c>
      <c r="U465" s="21"/>
      <c r="V465" s="4" t="s">
        <v>42</v>
      </c>
      <c r="W465" s="4" t="s">
        <v>182</v>
      </c>
      <c r="X465" s="4" t="s">
        <v>294</v>
      </c>
      <c r="Y465" s="21" t="s">
        <v>56</v>
      </c>
      <c r="Z465" s="21"/>
      <c r="AA465" s="4" t="s">
        <v>46</v>
      </c>
      <c r="AB465" s="4" t="s">
        <v>47</v>
      </c>
      <c r="AC465" s="4" t="s">
        <v>57</v>
      </c>
      <c r="AD465" s="4" t="s">
        <v>58</v>
      </c>
      <c r="AE465" s="4" t="s">
        <v>48</v>
      </c>
      <c r="AF465" s="4" t="s">
        <v>41</v>
      </c>
      <c r="AG465" s="4" t="s">
        <v>986</v>
      </c>
    </row>
    <row r="466" spans="1:33" ht="16.5" customHeight="1" x14ac:dyDescent="0.2">
      <c r="A466" s="2" t="s">
        <v>31</v>
      </c>
      <c r="B466" s="19" t="s">
        <v>50</v>
      </c>
      <c r="C466" s="19"/>
      <c r="D466" s="19"/>
      <c r="E466" s="20" t="s">
        <v>33</v>
      </c>
      <c r="F466" s="20"/>
      <c r="G466" s="21" t="s">
        <v>983</v>
      </c>
      <c r="H466" s="21"/>
      <c r="I466" s="21"/>
      <c r="J466" s="3" t="s">
        <v>35</v>
      </c>
      <c r="K466" s="4" t="s">
        <v>247</v>
      </c>
      <c r="L466" s="4" t="s">
        <v>68</v>
      </c>
      <c r="N466" s="21" t="s">
        <v>1183</v>
      </c>
      <c r="O466" s="21"/>
      <c r="P466" s="21" t="s">
        <v>1184</v>
      </c>
      <c r="Q466" s="21"/>
      <c r="R466" s="21"/>
      <c r="S466" s="3" t="s">
        <v>40</v>
      </c>
      <c r="T466" s="21" t="s">
        <v>41</v>
      </c>
      <c r="U466" s="21"/>
      <c r="V466" s="4" t="s">
        <v>42</v>
      </c>
      <c r="W466" s="4" t="s">
        <v>182</v>
      </c>
      <c r="X466" s="4" t="s">
        <v>294</v>
      </c>
      <c r="Y466" s="21" t="s">
        <v>65</v>
      </c>
      <c r="Z466" s="21"/>
      <c r="AA466" s="4" t="s">
        <v>46</v>
      </c>
      <c r="AB466" s="4" t="s">
        <v>47</v>
      </c>
      <c r="AC466" s="4" t="s">
        <v>66</v>
      </c>
      <c r="AD466" s="4" t="s">
        <v>69</v>
      </c>
      <c r="AE466" s="4" t="s">
        <v>48</v>
      </c>
      <c r="AF466" s="4" t="s">
        <v>41</v>
      </c>
      <c r="AG466" s="4" t="s">
        <v>986</v>
      </c>
    </row>
    <row r="467" spans="1:33" ht="16.5" customHeight="1" x14ac:dyDescent="0.2">
      <c r="A467" s="2" t="s">
        <v>31</v>
      </c>
      <c r="B467" s="19" t="s">
        <v>50</v>
      </c>
      <c r="C467" s="19"/>
      <c r="D467" s="19"/>
      <c r="E467" s="20" t="s">
        <v>33</v>
      </c>
      <c r="F467" s="20"/>
      <c r="G467" s="21" t="s">
        <v>983</v>
      </c>
      <c r="H467" s="21"/>
      <c r="I467" s="21"/>
      <c r="J467" s="3" t="s">
        <v>35</v>
      </c>
      <c r="K467" s="4" t="s">
        <v>82</v>
      </c>
      <c r="L467" s="4" t="s">
        <v>37</v>
      </c>
      <c r="N467" s="21" t="s">
        <v>1185</v>
      </c>
      <c r="O467" s="21"/>
      <c r="P467" s="21" t="s">
        <v>1186</v>
      </c>
      <c r="Q467" s="21"/>
      <c r="R467" s="21"/>
      <c r="S467" s="3" t="s">
        <v>40</v>
      </c>
      <c r="T467" s="21" t="s">
        <v>41</v>
      </c>
      <c r="U467" s="21"/>
      <c r="V467" s="4" t="s">
        <v>42</v>
      </c>
      <c r="W467" s="4" t="s">
        <v>77</v>
      </c>
      <c r="X467" s="4" t="s">
        <v>78</v>
      </c>
      <c r="Y467" s="21" t="s">
        <v>56</v>
      </c>
      <c r="Z467" s="21"/>
      <c r="AA467" s="4" t="s">
        <v>46</v>
      </c>
      <c r="AB467" s="4" t="s">
        <v>47</v>
      </c>
      <c r="AC467" s="4" t="s">
        <v>57</v>
      </c>
      <c r="AD467" s="4" t="s">
        <v>58</v>
      </c>
      <c r="AE467" s="4" t="s">
        <v>48</v>
      </c>
      <c r="AF467" s="4" t="s">
        <v>41</v>
      </c>
      <c r="AG467" s="4" t="s">
        <v>986</v>
      </c>
    </row>
    <row r="468" spans="1:33" ht="16.5" customHeight="1" x14ac:dyDescent="0.2">
      <c r="A468" s="2" t="s">
        <v>31</v>
      </c>
      <c r="B468" s="19" t="s">
        <v>50</v>
      </c>
      <c r="C468" s="19"/>
      <c r="D468" s="19"/>
      <c r="E468" s="20" t="s">
        <v>33</v>
      </c>
      <c r="F468" s="20"/>
      <c r="G468" s="21" t="s">
        <v>983</v>
      </c>
      <c r="H468" s="21"/>
      <c r="I468" s="21"/>
      <c r="J468" s="3" t="s">
        <v>35</v>
      </c>
      <c r="K468" s="4" t="s">
        <v>82</v>
      </c>
      <c r="L468" s="4" t="s">
        <v>37</v>
      </c>
      <c r="N468" s="21" t="s">
        <v>1187</v>
      </c>
      <c r="O468" s="21"/>
      <c r="P468" s="21" t="s">
        <v>1188</v>
      </c>
      <c r="Q468" s="21"/>
      <c r="R468" s="21"/>
      <c r="S468" s="3" t="s">
        <v>40</v>
      </c>
      <c r="T468" s="21" t="s">
        <v>41</v>
      </c>
      <c r="U468" s="21"/>
      <c r="V468" s="4" t="s">
        <v>42</v>
      </c>
      <c r="W468" s="4" t="s">
        <v>77</v>
      </c>
      <c r="X468" s="4" t="s">
        <v>78</v>
      </c>
      <c r="Y468" s="21" t="s">
        <v>56</v>
      </c>
      <c r="Z468" s="21"/>
      <c r="AA468" s="4" t="s">
        <v>46</v>
      </c>
      <c r="AB468" s="4" t="s">
        <v>47</v>
      </c>
      <c r="AC468" s="4" t="s">
        <v>57</v>
      </c>
      <c r="AD468" s="4" t="s">
        <v>58</v>
      </c>
      <c r="AE468" s="4" t="s">
        <v>48</v>
      </c>
      <c r="AF468" s="4" t="s">
        <v>41</v>
      </c>
      <c r="AG468" s="4" t="s">
        <v>986</v>
      </c>
    </row>
    <row r="469" spans="1:33" ht="16.5" customHeight="1" x14ac:dyDescent="0.2">
      <c r="A469" s="2" t="s">
        <v>31</v>
      </c>
      <c r="B469" s="19" t="s">
        <v>50</v>
      </c>
      <c r="C469" s="19"/>
      <c r="D469" s="19"/>
      <c r="E469" s="20" t="s">
        <v>33</v>
      </c>
      <c r="F469" s="20"/>
      <c r="G469" s="21" t="s">
        <v>983</v>
      </c>
      <c r="H469" s="21"/>
      <c r="I469" s="21"/>
      <c r="J469" s="3" t="s">
        <v>35</v>
      </c>
      <c r="K469" s="4" t="s">
        <v>133</v>
      </c>
      <c r="L469" s="4" t="s">
        <v>37</v>
      </c>
      <c r="N469" s="21" t="s">
        <v>1189</v>
      </c>
      <c r="O469" s="21"/>
      <c r="P469" s="21" t="s">
        <v>1190</v>
      </c>
      <c r="Q469" s="21"/>
      <c r="R469" s="21"/>
      <c r="S469" s="3" t="s">
        <v>40</v>
      </c>
      <c r="T469" s="21" t="s">
        <v>41</v>
      </c>
      <c r="U469" s="21"/>
      <c r="V469" s="4" t="s">
        <v>42</v>
      </c>
      <c r="W469" s="4" t="s">
        <v>310</v>
      </c>
      <c r="X469" s="4" t="s">
        <v>311</v>
      </c>
      <c r="Y469" s="21" t="s">
        <v>138</v>
      </c>
      <c r="Z469" s="21"/>
      <c r="AA469" s="4" t="s">
        <v>46</v>
      </c>
      <c r="AB469" s="4" t="s">
        <v>47</v>
      </c>
      <c r="AC469" s="4" t="s">
        <v>57</v>
      </c>
      <c r="AD469" s="4" t="s">
        <v>58</v>
      </c>
      <c r="AE469" s="4" t="s">
        <v>48</v>
      </c>
      <c r="AF469" s="4" t="s">
        <v>41</v>
      </c>
      <c r="AG469" s="4" t="s">
        <v>986</v>
      </c>
    </row>
    <row r="470" spans="1:33" ht="16.5" customHeight="1" x14ac:dyDescent="0.2">
      <c r="A470" s="2" t="s">
        <v>31</v>
      </c>
      <c r="B470" s="19" t="s">
        <v>50</v>
      </c>
      <c r="C470" s="19"/>
      <c r="D470" s="19"/>
      <c r="E470" s="20" t="s">
        <v>33</v>
      </c>
      <c r="F470" s="20"/>
      <c r="G470" s="21" t="s">
        <v>983</v>
      </c>
      <c r="H470" s="21"/>
      <c r="I470" s="21"/>
      <c r="J470" s="3" t="s">
        <v>35</v>
      </c>
      <c r="K470" s="4" t="s">
        <v>152</v>
      </c>
      <c r="L470" s="4" t="s">
        <v>37</v>
      </c>
      <c r="N470" s="21" t="s">
        <v>1191</v>
      </c>
      <c r="O470" s="21"/>
      <c r="P470" s="21" t="s">
        <v>1192</v>
      </c>
      <c r="Q470" s="21"/>
      <c r="R470" s="21"/>
      <c r="S470" s="3" t="s">
        <v>40</v>
      </c>
      <c r="T470" s="21" t="s">
        <v>41</v>
      </c>
      <c r="U470" s="21"/>
      <c r="V470" s="4" t="s">
        <v>42</v>
      </c>
      <c r="W470" s="4" t="s">
        <v>310</v>
      </c>
      <c r="X470" s="4" t="s">
        <v>311</v>
      </c>
      <c r="Y470" s="21" t="s">
        <v>56</v>
      </c>
      <c r="Z470" s="21"/>
      <c r="AA470" s="4" t="s">
        <v>46</v>
      </c>
      <c r="AB470" s="4" t="s">
        <v>47</v>
      </c>
      <c r="AC470" s="4" t="s">
        <v>57</v>
      </c>
      <c r="AD470" s="4" t="s">
        <v>58</v>
      </c>
      <c r="AE470" s="4" t="s">
        <v>48</v>
      </c>
      <c r="AF470" s="4" t="s">
        <v>41</v>
      </c>
      <c r="AG470" s="4" t="s">
        <v>986</v>
      </c>
    </row>
    <row r="471" spans="1:33" ht="16.5" customHeight="1" x14ac:dyDescent="0.2">
      <c r="A471" s="2" t="s">
        <v>31</v>
      </c>
      <c r="B471" s="19" t="s">
        <v>50</v>
      </c>
      <c r="C471" s="19"/>
      <c r="D471" s="19"/>
      <c r="E471" s="20" t="s">
        <v>33</v>
      </c>
      <c r="F471" s="20"/>
      <c r="G471" s="21" t="s">
        <v>983</v>
      </c>
      <c r="H471" s="21"/>
      <c r="I471" s="21"/>
      <c r="J471" s="3" t="s">
        <v>35</v>
      </c>
      <c r="K471" s="4" t="s">
        <v>204</v>
      </c>
      <c r="L471" s="4" t="s">
        <v>37</v>
      </c>
      <c r="N471" s="21" t="s">
        <v>1193</v>
      </c>
      <c r="O471" s="21"/>
      <c r="P471" s="21" t="s">
        <v>1194</v>
      </c>
      <c r="Q471" s="21"/>
      <c r="R471" s="21"/>
      <c r="S471" s="3" t="s">
        <v>40</v>
      </c>
      <c r="T471" s="21" t="s">
        <v>41</v>
      </c>
      <c r="U471" s="21"/>
      <c r="V471" s="4" t="s">
        <v>42</v>
      </c>
      <c r="W471" s="4" t="s">
        <v>310</v>
      </c>
      <c r="X471" s="4" t="s">
        <v>311</v>
      </c>
      <c r="Y471" s="21" t="s">
        <v>198</v>
      </c>
      <c r="Z471" s="21"/>
      <c r="AA471" s="4" t="s">
        <v>46</v>
      </c>
      <c r="AB471" s="4" t="s">
        <v>47</v>
      </c>
      <c r="AC471" s="4" t="s">
        <v>139</v>
      </c>
      <c r="AD471" s="4" t="s">
        <v>140</v>
      </c>
      <c r="AE471" s="4" t="s">
        <v>48</v>
      </c>
      <c r="AF471" s="4" t="s">
        <v>41</v>
      </c>
      <c r="AG471" s="4" t="s">
        <v>986</v>
      </c>
    </row>
    <row r="472" spans="1:33" ht="16.5" customHeight="1" x14ac:dyDescent="0.2">
      <c r="A472" s="2" t="s">
        <v>31</v>
      </c>
      <c r="B472" s="19" t="s">
        <v>50</v>
      </c>
      <c r="C472" s="19"/>
      <c r="D472" s="19"/>
      <c r="E472" s="20" t="s">
        <v>33</v>
      </c>
      <c r="F472" s="20"/>
      <c r="G472" s="21" t="s">
        <v>983</v>
      </c>
      <c r="H472" s="21"/>
      <c r="I472" s="21"/>
      <c r="J472" s="3" t="s">
        <v>35</v>
      </c>
      <c r="K472" s="4" t="s">
        <v>61</v>
      </c>
      <c r="L472" s="4" t="s">
        <v>37</v>
      </c>
      <c r="N472" s="21" t="s">
        <v>1195</v>
      </c>
      <c r="O472" s="21"/>
      <c r="P472" s="21" t="s">
        <v>1196</v>
      </c>
      <c r="Q472" s="21"/>
      <c r="R472" s="21"/>
      <c r="S472" s="3" t="s">
        <v>40</v>
      </c>
      <c r="T472" s="21" t="s">
        <v>41</v>
      </c>
      <c r="U472" s="21"/>
      <c r="V472" s="4" t="s">
        <v>42</v>
      </c>
      <c r="W472" s="4" t="s">
        <v>310</v>
      </c>
      <c r="X472" s="4" t="s">
        <v>311</v>
      </c>
      <c r="Y472" s="21" t="s">
        <v>65</v>
      </c>
      <c r="Z472" s="21"/>
      <c r="AA472" s="4" t="s">
        <v>46</v>
      </c>
      <c r="AB472" s="4" t="s">
        <v>47</v>
      </c>
      <c r="AC472" s="4" t="s">
        <v>66</v>
      </c>
      <c r="AD472" s="4" t="s">
        <v>73</v>
      </c>
      <c r="AE472" s="4" t="s">
        <v>48</v>
      </c>
      <c r="AF472" s="4" t="s">
        <v>41</v>
      </c>
      <c r="AG472" s="4" t="s">
        <v>986</v>
      </c>
    </row>
    <row r="473" spans="1:33" ht="16.5" customHeight="1" x14ac:dyDescent="0.2">
      <c r="A473" s="2" t="s">
        <v>31</v>
      </c>
      <c r="B473" s="19" t="s">
        <v>50</v>
      </c>
      <c r="C473" s="19"/>
      <c r="D473" s="19"/>
      <c r="E473" s="20" t="s">
        <v>33</v>
      </c>
      <c r="F473" s="20"/>
      <c r="G473" s="21" t="s">
        <v>983</v>
      </c>
      <c r="H473" s="21"/>
      <c r="I473" s="21"/>
      <c r="J473" s="3" t="s">
        <v>35</v>
      </c>
      <c r="K473" s="4" t="s">
        <v>146</v>
      </c>
      <c r="L473" s="4" t="s">
        <v>37</v>
      </c>
      <c r="N473" s="21" t="s">
        <v>1197</v>
      </c>
      <c r="O473" s="21"/>
      <c r="P473" s="21" t="s">
        <v>1198</v>
      </c>
      <c r="Q473" s="21"/>
      <c r="R473" s="21"/>
      <c r="S473" s="3" t="s">
        <v>40</v>
      </c>
      <c r="T473" s="21" t="s">
        <v>41</v>
      </c>
      <c r="U473" s="21"/>
      <c r="V473" s="4" t="s">
        <v>42</v>
      </c>
      <c r="W473" s="4" t="s">
        <v>310</v>
      </c>
      <c r="X473" s="4" t="s">
        <v>311</v>
      </c>
      <c r="Y473" s="21" t="s">
        <v>138</v>
      </c>
      <c r="Z473" s="21"/>
      <c r="AA473" s="4" t="s">
        <v>46</v>
      </c>
      <c r="AB473" s="4" t="s">
        <v>47</v>
      </c>
      <c r="AC473" s="4" t="s">
        <v>57</v>
      </c>
      <c r="AD473" s="4" t="s">
        <v>58</v>
      </c>
      <c r="AE473" s="4" t="s">
        <v>48</v>
      </c>
      <c r="AF473" s="4" t="s">
        <v>41</v>
      </c>
      <c r="AG473" s="4" t="s">
        <v>986</v>
      </c>
    </row>
    <row r="474" spans="1:33" ht="16.5" customHeight="1" x14ac:dyDescent="0.2">
      <c r="A474" s="2" t="s">
        <v>31</v>
      </c>
      <c r="B474" s="19" t="s">
        <v>50</v>
      </c>
      <c r="C474" s="19"/>
      <c r="D474" s="19"/>
      <c r="E474" s="20" t="s">
        <v>33</v>
      </c>
      <c r="F474" s="20"/>
      <c r="G474" s="21" t="s">
        <v>983</v>
      </c>
      <c r="H474" s="21"/>
      <c r="I474" s="21"/>
      <c r="J474" s="3" t="s">
        <v>35</v>
      </c>
      <c r="K474" s="4" t="s">
        <v>51</v>
      </c>
      <c r="L474" s="4" t="s">
        <v>37</v>
      </c>
      <c r="N474" s="21" t="s">
        <v>1199</v>
      </c>
      <c r="O474" s="21"/>
      <c r="P474" s="21" t="s">
        <v>1200</v>
      </c>
      <c r="Q474" s="21"/>
      <c r="R474" s="21"/>
      <c r="S474" s="3" t="s">
        <v>40</v>
      </c>
      <c r="T474" s="21" t="s">
        <v>41</v>
      </c>
      <c r="U474" s="21"/>
      <c r="V474" s="4" t="s">
        <v>42</v>
      </c>
      <c r="W474" s="4" t="s">
        <v>310</v>
      </c>
      <c r="X474" s="4" t="s">
        <v>311</v>
      </c>
      <c r="Y474" s="21" t="s">
        <v>56</v>
      </c>
      <c r="Z474" s="21"/>
      <c r="AA474" s="4" t="s">
        <v>46</v>
      </c>
      <c r="AB474" s="4" t="s">
        <v>47</v>
      </c>
      <c r="AC474" s="4" t="s">
        <v>57</v>
      </c>
      <c r="AD474" s="4" t="s">
        <v>58</v>
      </c>
      <c r="AE474" s="4" t="s">
        <v>48</v>
      </c>
      <c r="AF474" s="4" t="s">
        <v>41</v>
      </c>
      <c r="AG474" s="4" t="s">
        <v>986</v>
      </c>
    </row>
    <row r="475" spans="1:33" ht="16.5" customHeight="1" x14ac:dyDescent="0.2">
      <c r="A475" s="2" t="s">
        <v>31</v>
      </c>
      <c r="B475" s="19" t="s">
        <v>50</v>
      </c>
      <c r="C475" s="19"/>
      <c r="D475" s="19"/>
      <c r="E475" s="20" t="s">
        <v>33</v>
      </c>
      <c r="F475" s="20"/>
      <c r="G475" s="21" t="s">
        <v>983</v>
      </c>
      <c r="H475" s="21"/>
      <c r="I475" s="21"/>
      <c r="J475" s="3" t="s">
        <v>35</v>
      </c>
      <c r="K475" s="4" t="s">
        <v>74</v>
      </c>
      <c r="L475" s="4" t="s">
        <v>37</v>
      </c>
      <c r="N475" s="21" t="s">
        <v>1201</v>
      </c>
      <c r="O475" s="21"/>
      <c r="P475" s="21" t="s">
        <v>1202</v>
      </c>
      <c r="Q475" s="21"/>
      <c r="R475" s="21"/>
      <c r="S475" s="3" t="s">
        <v>40</v>
      </c>
      <c r="T475" s="21" t="s">
        <v>41</v>
      </c>
      <c r="U475" s="21"/>
      <c r="V475" s="4" t="s">
        <v>42</v>
      </c>
      <c r="W475" s="4" t="s">
        <v>85</v>
      </c>
      <c r="X475" s="4" t="s">
        <v>86</v>
      </c>
      <c r="Y475" s="21" t="s">
        <v>65</v>
      </c>
      <c r="Z475" s="21"/>
      <c r="AA475" s="4" t="s">
        <v>46</v>
      </c>
      <c r="AB475" s="4" t="s">
        <v>47</v>
      </c>
      <c r="AC475" s="4" t="s">
        <v>66</v>
      </c>
      <c r="AD475" s="4" t="s">
        <v>73</v>
      </c>
      <c r="AE475" s="4" t="s">
        <v>48</v>
      </c>
      <c r="AF475" s="4" t="s">
        <v>41</v>
      </c>
      <c r="AG475" s="4" t="s">
        <v>986</v>
      </c>
    </row>
    <row r="476" spans="1:33" ht="16.5" customHeight="1" x14ac:dyDescent="0.2">
      <c r="A476" s="2" t="s">
        <v>31</v>
      </c>
      <c r="B476" s="19" t="s">
        <v>50</v>
      </c>
      <c r="C476" s="19"/>
      <c r="D476" s="19"/>
      <c r="E476" s="20" t="s">
        <v>33</v>
      </c>
      <c r="F476" s="20"/>
      <c r="G476" s="21" t="s">
        <v>983</v>
      </c>
      <c r="H476" s="21"/>
      <c r="I476" s="21"/>
      <c r="J476" s="3" t="s">
        <v>35</v>
      </c>
      <c r="K476" s="4" t="s">
        <v>74</v>
      </c>
      <c r="L476" s="4" t="s">
        <v>231</v>
      </c>
      <c r="N476" s="21" t="s">
        <v>1203</v>
      </c>
      <c r="O476" s="21"/>
      <c r="P476" s="21" t="s">
        <v>1204</v>
      </c>
      <c r="Q476" s="21"/>
      <c r="R476" s="21"/>
      <c r="S476" s="3" t="s">
        <v>40</v>
      </c>
      <c r="T476" s="21" t="s">
        <v>41</v>
      </c>
      <c r="U476" s="21"/>
      <c r="V476" s="4" t="s">
        <v>42</v>
      </c>
      <c r="W476" s="4" t="s">
        <v>85</v>
      </c>
      <c r="X476" s="4" t="s">
        <v>86</v>
      </c>
      <c r="Y476" s="21" t="s">
        <v>65</v>
      </c>
      <c r="Z476" s="21"/>
      <c r="AA476" s="4" t="s">
        <v>46</v>
      </c>
      <c r="AB476" s="4" t="s">
        <v>47</v>
      </c>
      <c r="AC476" s="4" t="s">
        <v>66</v>
      </c>
      <c r="AD476" s="4" t="s">
        <v>1205</v>
      </c>
      <c r="AE476" s="4" t="s">
        <v>48</v>
      </c>
      <c r="AF476" s="4" t="s">
        <v>41</v>
      </c>
      <c r="AG476" s="4" t="s">
        <v>986</v>
      </c>
    </row>
    <row r="477" spans="1:33" ht="16.5" customHeight="1" x14ac:dyDescent="0.2">
      <c r="A477" s="2" t="s">
        <v>31</v>
      </c>
      <c r="B477" s="19" t="s">
        <v>50</v>
      </c>
      <c r="C477" s="19"/>
      <c r="D477" s="19"/>
      <c r="E477" s="20" t="s">
        <v>33</v>
      </c>
      <c r="F477" s="20"/>
      <c r="G477" s="21" t="s">
        <v>983</v>
      </c>
      <c r="H477" s="21"/>
      <c r="I477" s="21"/>
      <c r="J477" s="3" t="s">
        <v>35</v>
      </c>
      <c r="K477" s="4" t="s">
        <v>204</v>
      </c>
      <c r="L477" s="4" t="s">
        <v>37</v>
      </c>
      <c r="N477" s="21" t="s">
        <v>1206</v>
      </c>
      <c r="O477" s="21"/>
      <c r="P477" s="21" t="s">
        <v>1207</v>
      </c>
      <c r="Q477" s="21"/>
      <c r="R477" s="21"/>
      <c r="S477" s="3" t="s">
        <v>40</v>
      </c>
      <c r="T477" s="21" t="s">
        <v>41</v>
      </c>
      <c r="U477" s="21"/>
      <c r="V477" s="4" t="s">
        <v>42</v>
      </c>
      <c r="W477" s="4" t="s">
        <v>94</v>
      </c>
      <c r="X477" s="4" t="s">
        <v>95</v>
      </c>
      <c r="Y477" s="21" t="s">
        <v>198</v>
      </c>
      <c r="Z477" s="21"/>
      <c r="AA477" s="4" t="s">
        <v>46</v>
      </c>
      <c r="AB477" s="4" t="s">
        <v>47</v>
      </c>
      <c r="AC477" s="4" t="s">
        <v>139</v>
      </c>
      <c r="AD477" s="4" t="s">
        <v>140</v>
      </c>
      <c r="AE477" s="4" t="s">
        <v>48</v>
      </c>
      <c r="AF477" s="4" t="s">
        <v>41</v>
      </c>
      <c r="AG477" s="4" t="s">
        <v>986</v>
      </c>
    </row>
    <row r="478" spans="1:33" ht="16.5" customHeight="1" x14ac:dyDescent="0.2">
      <c r="A478" s="2" t="s">
        <v>31</v>
      </c>
      <c r="B478" s="19" t="s">
        <v>50</v>
      </c>
      <c r="C478" s="19"/>
      <c r="D478" s="19"/>
      <c r="E478" s="20" t="s">
        <v>33</v>
      </c>
      <c r="F478" s="20"/>
      <c r="G478" s="21" t="s">
        <v>983</v>
      </c>
      <c r="H478" s="21"/>
      <c r="I478" s="21"/>
      <c r="J478" s="3" t="s">
        <v>35</v>
      </c>
      <c r="K478" s="4" t="s">
        <v>74</v>
      </c>
      <c r="L478" s="4" t="s">
        <v>37</v>
      </c>
      <c r="N478" s="21" t="s">
        <v>1208</v>
      </c>
      <c r="O478" s="21"/>
      <c r="P478" s="21" t="s">
        <v>1209</v>
      </c>
      <c r="Q478" s="21"/>
      <c r="R478" s="21"/>
      <c r="S478" s="3" t="s">
        <v>40</v>
      </c>
      <c r="T478" s="21" t="s">
        <v>41</v>
      </c>
      <c r="U478" s="21"/>
      <c r="V478" s="4" t="s">
        <v>42</v>
      </c>
      <c r="W478" s="4" t="s">
        <v>94</v>
      </c>
      <c r="X478" s="4" t="s">
        <v>95</v>
      </c>
      <c r="Y478" s="21" t="s">
        <v>65</v>
      </c>
      <c r="Z478" s="21"/>
      <c r="AA478" s="4" t="s">
        <v>46</v>
      </c>
      <c r="AB478" s="4" t="s">
        <v>47</v>
      </c>
      <c r="AC478" s="4" t="s">
        <v>66</v>
      </c>
      <c r="AD478" s="4" t="s">
        <v>73</v>
      </c>
      <c r="AE478" s="4" t="s">
        <v>48</v>
      </c>
      <c r="AF478" s="4" t="s">
        <v>41</v>
      </c>
      <c r="AG478" s="4" t="s">
        <v>986</v>
      </c>
    </row>
    <row r="479" spans="1:33" ht="16.5" customHeight="1" x14ac:dyDescent="0.2">
      <c r="A479" s="2" t="s">
        <v>31</v>
      </c>
      <c r="B479" s="19" t="s">
        <v>50</v>
      </c>
      <c r="C479" s="19"/>
      <c r="D479" s="19"/>
      <c r="E479" s="20" t="s">
        <v>33</v>
      </c>
      <c r="F479" s="20"/>
      <c r="G479" s="21" t="s">
        <v>983</v>
      </c>
      <c r="H479" s="21"/>
      <c r="I479" s="21"/>
      <c r="J479" s="3" t="s">
        <v>35</v>
      </c>
      <c r="K479" s="4" t="s">
        <v>51</v>
      </c>
      <c r="L479" s="4" t="s">
        <v>37</v>
      </c>
      <c r="N479" s="21" t="s">
        <v>1210</v>
      </c>
      <c r="O479" s="21"/>
      <c r="P479" s="21" t="s">
        <v>1211</v>
      </c>
      <c r="Q479" s="21"/>
      <c r="R479" s="21"/>
      <c r="S479" s="3" t="s">
        <v>40</v>
      </c>
      <c r="T479" s="21" t="s">
        <v>41</v>
      </c>
      <c r="U479" s="21"/>
      <c r="V479" s="4" t="s">
        <v>42</v>
      </c>
      <c r="W479" s="4" t="s">
        <v>94</v>
      </c>
      <c r="X479" s="4" t="s">
        <v>95</v>
      </c>
      <c r="Y479" s="21" t="s">
        <v>56</v>
      </c>
      <c r="Z479" s="21"/>
      <c r="AA479" s="4" t="s">
        <v>46</v>
      </c>
      <c r="AB479" s="4" t="s">
        <v>47</v>
      </c>
      <c r="AC479" s="4" t="s">
        <v>57</v>
      </c>
      <c r="AD479" s="4" t="s">
        <v>58</v>
      </c>
      <c r="AE479" s="4" t="s">
        <v>48</v>
      </c>
      <c r="AF479" s="4" t="s">
        <v>41</v>
      </c>
      <c r="AG479" s="4" t="s">
        <v>986</v>
      </c>
    </row>
    <row r="480" spans="1:33" ht="16.5" customHeight="1" x14ac:dyDescent="0.2">
      <c r="A480" s="2" t="s">
        <v>31</v>
      </c>
      <c r="B480" s="19" t="s">
        <v>50</v>
      </c>
      <c r="C480" s="19"/>
      <c r="D480" s="19"/>
      <c r="E480" s="20" t="s">
        <v>33</v>
      </c>
      <c r="F480" s="20"/>
      <c r="G480" s="21" t="s">
        <v>983</v>
      </c>
      <c r="H480" s="21"/>
      <c r="I480" s="21"/>
      <c r="J480" s="3" t="s">
        <v>35</v>
      </c>
      <c r="K480" s="4" t="s">
        <v>51</v>
      </c>
      <c r="L480" s="4" t="s">
        <v>37</v>
      </c>
      <c r="N480" s="21" t="s">
        <v>1212</v>
      </c>
      <c r="O480" s="21"/>
      <c r="P480" s="21" t="s">
        <v>1213</v>
      </c>
      <c r="Q480" s="21"/>
      <c r="R480" s="21"/>
      <c r="S480" s="3" t="s">
        <v>40</v>
      </c>
      <c r="T480" s="21" t="s">
        <v>41</v>
      </c>
      <c r="U480" s="21"/>
      <c r="V480" s="4" t="s">
        <v>42</v>
      </c>
      <c r="W480" s="4" t="s">
        <v>104</v>
      </c>
      <c r="X480" s="4" t="s">
        <v>105</v>
      </c>
      <c r="Y480" s="21" t="s">
        <v>56</v>
      </c>
      <c r="Z480" s="21"/>
      <c r="AA480" s="4" t="s">
        <v>46</v>
      </c>
      <c r="AB480" s="4" t="s">
        <v>47</v>
      </c>
      <c r="AC480" s="4" t="s">
        <v>57</v>
      </c>
      <c r="AD480" s="4" t="s">
        <v>58</v>
      </c>
      <c r="AE480" s="4" t="s">
        <v>48</v>
      </c>
      <c r="AF480" s="4" t="s">
        <v>41</v>
      </c>
      <c r="AG480" s="4" t="s">
        <v>986</v>
      </c>
    </row>
    <row r="481" spans="1:33" ht="16.5" customHeight="1" x14ac:dyDescent="0.2">
      <c r="A481" s="2" t="s">
        <v>31</v>
      </c>
      <c r="B481" s="19" t="s">
        <v>50</v>
      </c>
      <c r="C481" s="19"/>
      <c r="D481" s="19"/>
      <c r="E481" s="20" t="s">
        <v>33</v>
      </c>
      <c r="F481" s="20"/>
      <c r="G481" s="21" t="s">
        <v>983</v>
      </c>
      <c r="H481" s="21"/>
      <c r="I481" s="21"/>
      <c r="J481" s="3" t="s">
        <v>35</v>
      </c>
      <c r="K481" s="4" t="s">
        <v>169</v>
      </c>
      <c r="L481" s="4" t="s">
        <v>68</v>
      </c>
      <c r="N481" s="21" t="s">
        <v>1214</v>
      </c>
      <c r="O481" s="21"/>
      <c r="P481" s="21" t="s">
        <v>1215</v>
      </c>
      <c r="Q481" s="21"/>
      <c r="R481" s="21"/>
      <c r="S481" s="3" t="s">
        <v>40</v>
      </c>
      <c r="T481" s="21" t="s">
        <v>41</v>
      </c>
      <c r="U481" s="21"/>
      <c r="V481" s="4" t="s">
        <v>42</v>
      </c>
      <c r="W481" s="4" t="s">
        <v>104</v>
      </c>
      <c r="X481" s="4" t="s">
        <v>105</v>
      </c>
      <c r="Y481" s="21" t="s">
        <v>56</v>
      </c>
      <c r="Z481" s="21"/>
      <c r="AA481" s="4" t="s">
        <v>46</v>
      </c>
      <c r="AB481" s="4" t="s">
        <v>47</v>
      </c>
      <c r="AC481" s="4" t="s">
        <v>57</v>
      </c>
      <c r="AD481" s="4" t="s">
        <v>98</v>
      </c>
      <c r="AE481" s="4" t="s">
        <v>48</v>
      </c>
      <c r="AF481" s="4" t="s">
        <v>41</v>
      </c>
      <c r="AG481" s="4" t="s">
        <v>986</v>
      </c>
    </row>
    <row r="482" spans="1:33" ht="16.5" customHeight="1" x14ac:dyDescent="0.2">
      <c r="A482" s="2" t="s">
        <v>31</v>
      </c>
      <c r="B482" s="19" t="s">
        <v>50</v>
      </c>
      <c r="C482" s="19"/>
      <c r="D482" s="19"/>
      <c r="E482" s="20" t="s">
        <v>33</v>
      </c>
      <c r="F482" s="20"/>
      <c r="G482" s="21" t="s">
        <v>983</v>
      </c>
      <c r="H482" s="21"/>
      <c r="I482" s="21"/>
      <c r="J482" s="3" t="s">
        <v>35</v>
      </c>
      <c r="K482" s="4" t="s">
        <v>74</v>
      </c>
      <c r="L482" s="4" t="s">
        <v>37</v>
      </c>
      <c r="N482" s="21" t="s">
        <v>1216</v>
      </c>
      <c r="O482" s="21"/>
      <c r="P482" s="21" t="s">
        <v>1217</v>
      </c>
      <c r="Q482" s="21"/>
      <c r="R482" s="21"/>
      <c r="S482" s="3" t="s">
        <v>40</v>
      </c>
      <c r="T482" s="21" t="s">
        <v>41</v>
      </c>
      <c r="U482" s="21"/>
      <c r="V482" s="4" t="s">
        <v>42</v>
      </c>
      <c r="W482" s="4" t="s">
        <v>104</v>
      </c>
      <c r="X482" s="4" t="s">
        <v>105</v>
      </c>
      <c r="Y482" s="21" t="s">
        <v>65</v>
      </c>
      <c r="Z482" s="21"/>
      <c r="AA482" s="4" t="s">
        <v>46</v>
      </c>
      <c r="AB482" s="4" t="s">
        <v>47</v>
      </c>
      <c r="AC482" s="4" t="s">
        <v>66</v>
      </c>
      <c r="AD482" s="4" t="s">
        <v>73</v>
      </c>
      <c r="AE482" s="4" t="s">
        <v>48</v>
      </c>
      <c r="AF482" s="4" t="s">
        <v>41</v>
      </c>
      <c r="AG482" s="4" t="s">
        <v>986</v>
      </c>
    </row>
    <row r="483" spans="1:33" ht="16.5" customHeight="1" x14ac:dyDescent="0.2">
      <c r="A483" s="2" t="s">
        <v>31</v>
      </c>
      <c r="B483" s="19" t="s">
        <v>50</v>
      </c>
      <c r="C483" s="19"/>
      <c r="D483" s="19"/>
      <c r="E483" s="20" t="s">
        <v>33</v>
      </c>
      <c r="F483" s="20"/>
      <c r="G483" s="21" t="s">
        <v>983</v>
      </c>
      <c r="H483" s="21"/>
      <c r="I483" s="21"/>
      <c r="J483" s="3" t="s">
        <v>35</v>
      </c>
      <c r="K483" s="4" t="s">
        <v>146</v>
      </c>
      <c r="L483" s="4" t="s">
        <v>68</v>
      </c>
      <c r="N483" s="21" t="s">
        <v>1218</v>
      </c>
      <c r="O483" s="21"/>
      <c r="P483" s="21" t="s">
        <v>1219</v>
      </c>
      <c r="Q483" s="21"/>
      <c r="R483" s="21"/>
      <c r="S483" s="3" t="s">
        <v>40</v>
      </c>
      <c r="T483" s="21" t="s">
        <v>41</v>
      </c>
      <c r="U483" s="21"/>
      <c r="V483" s="4" t="s">
        <v>42</v>
      </c>
      <c r="W483" s="4" t="s">
        <v>104</v>
      </c>
      <c r="X483" s="4" t="s">
        <v>105</v>
      </c>
      <c r="Y483" s="21" t="s">
        <v>138</v>
      </c>
      <c r="Z483" s="21"/>
      <c r="AA483" s="4" t="s">
        <v>46</v>
      </c>
      <c r="AB483" s="4" t="s">
        <v>47</v>
      </c>
      <c r="AC483" s="4" t="s">
        <v>57</v>
      </c>
      <c r="AD483" s="4" t="s">
        <v>98</v>
      </c>
      <c r="AE483" s="4" t="s">
        <v>48</v>
      </c>
      <c r="AF483" s="4" t="s">
        <v>41</v>
      </c>
      <c r="AG483" s="4" t="s">
        <v>986</v>
      </c>
    </row>
    <row r="484" spans="1:33" ht="16.5" customHeight="1" x14ac:dyDescent="0.2">
      <c r="A484" s="2" t="s">
        <v>31</v>
      </c>
      <c r="B484" s="19" t="s">
        <v>50</v>
      </c>
      <c r="C484" s="19"/>
      <c r="D484" s="19"/>
      <c r="E484" s="20" t="s">
        <v>33</v>
      </c>
      <c r="F484" s="20"/>
      <c r="G484" s="21" t="s">
        <v>983</v>
      </c>
      <c r="H484" s="21"/>
      <c r="I484" s="21"/>
      <c r="J484" s="3" t="s">
        <v>35</v>
      </c>
      <c r="K484" s="4" t="s">
        <v>152</v>
      </c>
      <c r="L484" s="4" t="s">
        <v>37</v>
      </c>
      <c r="N484" s="21" t="s">
        <v>1220</v>
      </c>
      <c r="O484" s="21"/>
      <c r="P484" s="21" t="s">
        <v>1221</v>
      </c>
      <c r="Q484" s="21"/>
      <c r="R484" s="21"/>
      <c r="S484" s="3" t="s">
        <v>40</v>
      </c>
      <c r="T484" s="21" t="s">
        <v>41</v>
      </c>
      <c r="U484" s="21"/>
      <c r="V484" s="4" t="s">
        <v>42</v>
      </c>
      <c r="W484" s="4" t="s">
        <v>104</v>
      </c>
      <c r="X484" s="4" t="s">
        <v>105</v>
      </c>
      <c r="Y484" s="21" t="s">
        <v>56</v>
      </c>
      <c r="Z484" s="21"/>
      <c r="AA484" s="4" t="s">
        <v>46</v>
      </c>
      <c r="AB484" s="4" t="s">
        <v>47</v>
      </c>
      <c r="AC484" s="4" t="s">
        <v>57</v>
      </c>
      <c r="AD484" s="4" t="s">
        <v>58</v>
      </c>
      <c r="AE484" s="4" t="s">
        <v>48</v>
      </c>
      <c r="AF484" s="4" t="s">
        <v>41</v>
      </c>
      <c r="AG484" s="4" t="s">
        <v>986</v>
      </c>
    </row>
    <row r="485" spans="1:33" ht="16.5" customHeight="1" x14ac:dyDescent="0.2">
      <c r="A485" s="2" t="s">
        <v>31</v>
      </c>
      <c r="B485" s="19" t="s">
        <v>50</v>
      </c>
      <c r="C485" s="19"/>
      <c r="D485" s="19"/>
      <c r="E485" s="20" t="s">
        <v>33</v>
      </c>
      <c r="F485" s="20"/>
      <c r="G485" s="21" t="s">
        <v>983</v>
      </c>
      <c r="H485" s="21"/>
      <c r="I485" s="21"/>
      <c r="J485" s="3" t="s">
        <v>35</v>
      </c>
      <c r="K485" s="4" t="s">
        <v>152</v>
      </c>
      <c r="L485" s="4" t="s">
        <v>37</v>
      </c>
      <c r="N485" s="21" t="s">
        <v>1220</v>
      </c>
      <c r="O485" s="21"/>
      <c r="P485" s="21" t="s">
        <v>1221</v>
      </c>
      <c r="Q485" s="21"/>
      <c r="R485" s="21"/>
      <c r="S485" s="3" t="s">
        <v>40</v>
      </c>
      <c r="T485" s="21" t="s">
        <v>41</v>
      </c>
      <c r="U485" s="21"/>
      <c r="V485" s="4" t="s">
        <v>59</v>
      </c>
      <c r="W485" s="4" t="s">
        <v>104</v>
      </c>
      <c r="X485" s="4" t="s">
        <v>109</v>
      </c>
      <c r="Y485" s="21" t="s">
        <v>56</v>
      </c>
      <c r="Z485" s="21"/>
      <c r="AA485" s="4" t="s">
        <v>46</v>
      </c>
      <c r="AB485" s="4" t="s">
        <v>47</v>
      </c>
      <c r="AC485" s="4" t="s">
        <v>57</v>
      </c>
      <c r="AD485" s="4" t="s">
        <v>58</v>
      </c>
      <c r="AE485" s="4" t="s">
        <v>48</v>
      </c>
      <c r="AF485" s="4" t="s">
        <v>41</v>
      </c>
      <c r="AG485" s="4" t="s">
        <v>986</v>
      </c>
    </row>
    <row r="486" spans="1:33" ht="16.5" customHeight="1" x14ac:dyDescent="0.2">
      <c r="A486" s="2" t="s">
        <v>31</v>
      </c>
      <c r="B486" s="19" t="s">
        <v>50</v>
      </c>
      <c r="C486" s="19"/>
      <c r="D486" s="19"/>
      <c r="E486" s="20" t="s">
        <v>33</v>
      </c>
      <c r="F486" s="20"/>
      <c r="G486" s="21" t="s">
        <v>983</v>
      </c>
      <c r="H486" s="21"/>
      <c r="I486" s="21"/>
      <c r="J486" s="3" t="s">
        <v>35</v>
      </c>
      <c r="K486" s="4" t="s">
        <v>82</v>
      </c>
      <c r="L486" s="4" t="s">
        <v>68</v>
      </c>
      <c r="N486" s="21" t="s">
        <v>1222</v>
      </c>
      <c r="O486" s="21"/>
      <c r="P486" s="21" t="s">
        <v>1223</v>
      </c>
      <c r="Q486" s="21"/>
      <c r="R486" s="21"/>
      <c r="S486" s="3" t="s">
        <v>40</v>
      </c>
      <c r="T486" s="21" t="s">
        <v>41</v>
      </c>
      <c r="U486" s="21"/>
      <c r="V486" s="4" t="s">
        <v>42</v>
      </c>
      <c r="W486" s="4" t="s">
        <v>108</v>
      </c>
      <c r="X486" s="4" t="s">
        <v>109</v>
      </c>
      <c r="Y486" s="21" t="s">
        <v>56</v>
      </c>
      <c r="Z486" s="21"/>
      <c r="AA486" s="4" t="s">
        <v>46</v>
      </c>
      <c r="AB486" s="4" t="s">
        <v>47</v>
      </c>
      <c r="AC486" s="4" t="s">
        <v>57</v>
      </c>
      <c r="AD486" s="4" t="s">
        <v>98</v>
      </c>
      <c r="AE486" s="4" t="s">
        <v>48</v>
      </c>
      <c r="AF486" s="4" t="s">
        <v>41</v>
      </c>
      <c r="AG486" s="4" t="s">
        <v>986</v>
      </c>
    </row>
    <row r="487" spans="1:33" ht="16.5" customHeight="1" x14ac:dyDescent="0.2">
      <c r="A487" s="2" t="s">
        <v>31</v>
      </c>
      <c r="B487" s="19" t="s">
        <v>50</v>
      </c>
      <c r="C487" s="19"/>
      <c r="D487" s="19"/>
      <c r="E487" s="20" t="s">
        <v>33</v>
      </c>
      <c r="F487" s="20"/>
      <c r="G487" s="21" t="s">
        <v>983</v>
      </c>
      <c r="H487" s="21"/>
      <c r="I487" s="21"/>
      <c r="J487" s="3" t="s">
        <v>35</v>
      </c>
      <c r="K487" s="4" t="s">
        <v>146</v>
      </c>
      <c r="L487" s="4" t="s">
        <v>37</v>
      </c>
      <c r="N487" s="21" t="s">
        <v>1224</v>
      </c>
      <c r="O487" s="21"/>
      <c r="P487" s="21" t="s">
        <v>1225</v>
      </c>
      <c r="Q487" s="21"/>
      <c r="R487" s="21"/>
      <c r="S487" s="3" t="s">
        <v>40</v>
      </c>
      <c r="T487" s="21" t="s">
        <v>41</v>
      </c>
      <c r="U487" s="21"/>
      <c r="V487" s="4" t="s">
        <v>42</v>
      </c>
      <c r="W487" s="4" t="s">
        <v>108</v>
      </c>
      <c r="X487" s="4" t="s">
        <v>109</v>
      </c>
      <c r="Y487" s="21" t="s">
        <v>138</v>
      </c>
      <c r="Z487" s="21"/>
      <c r="AA487" s="4" t="s">
        <v>46</v>
      </c>
      <c r="AB487" s="4" t="s">
        <v>47</v>
      </c>
      <c r="AC487" s="4" t="s">
        <v>57</v>
      </c>
      <c r="AD487" s="4" t="s">
        <v>58</v>
      </c>
      <c r="AE487" s="4" t="s">
        <v>48</v>
      </c>
      <c r="AF487" s="4" t="s">
        <v>41</v>
      </c>
      <c r="AG487" s="4" t="s">
        <v>986</v>
      </c>
    </row>
    <row r="488" spans="1:33" ht="16.5" customHeight="1" x14ac:dyDescent="0.2">
      <c r="A488" s="2" t="s">
        <v>31</v>
      </c>
      <c r="B488" s="19" t="s">
        <v>50</v>
      </c>
      <c r="C488" s="19"/>
      <c r="D488" s="19"/>
      <c r="E488" s="20" t="s">
        <v>33</v>
      </c>
      <c r="F488" s="20"/>
      <c r="G488" s="21" t="s">
        <v>983</v>
      </c>
      <c r="H488" s="21"/>
      <c r="I488" s="21"/>
      <c r="J488" s="3" t="s">
        <v>35</v>
      </c>
      <c r="K488" s="4" t="s">
        <v>146</v>
      </c>
      <c r="L488" s="4" t="s">
        <v>37</v>
      </c>
      <c r="N488" s="21" t="s">
        <v>1224</v>
      </c>
      <c r="O488" s="21"/>
      <c r="P488" s="21" t="s">
        <v>1225</v>
      </c>
      <c r="Q488" s="21"/>
      <c r="R488" s="21"/>
      <c r="S488" s="3" t="s">
        <v>40</v>
      </c>
      <c r="T488" s="21" t="s">
        <v>41</v>
      </c>
      <c r="U488" s="21"/>
      <c r="V488" s="4" t="s">
        <v>59</v>
      </c>
      <c r="W488" s="4" t="s">
        <v>108</v>
      </c>
      <c r="X488" s="4" t="s">
        <v>382</v>
      </c>
      <c r="Y488" s="21" t="s">
        <v>138</v>
      </c>
      <c r="Z488" s="21"/>
      <c r="AA488" s="4" t="s">
        <v>46</v>
      </c>
      <c r="AB488" s="4" t="s">
        <v>47</v>
      </c>
      <c r="AC488" s="4" t="s">
        <v>57</v>
      </c>
      <c r="AD488" s="4" t="s">
        <v>58</v>
      </c>
      <c r="AE488" s="4" t="s">
        <v>48</v>
      </c>
      <c r="AF488" s="4" t="s">
        <v>41</v>
      </c>
      <c r="AG488" s="4" t="s">
        <v>986</v>
      </c>
    </row>
    <row r="489" spans="1:33" ht="16.5" customHeight="1" x14ac:dyDescent="0.2">
      <c r="A489" s="2" t="s">
        <v>31</v>
      </c>
      <c r="B489" s="19" t="s">
        <v>50</v>
      </c>
      <c r="C489" s="19"/>
      <c r="D489" s="19"/>
      <c r="E489" s="20" t="s">
        <v>33</v>
      </c>
      <c r="F489" s="20"/>
      <c r="G489" s="21" t="s">
        <v>983</v>
      </c>
      <c r="H489" s="21"/>
      <c r="I489" s="21"/>
      <c r="J489" s="3" t="s">
        <v>35</v>
      </c>
      <c r="K489" s="4" t="s">
        <v>51</v>
      </c>
      <c r="L489" s="4" t="s">
        <v>37</v>
      </c>
      <c r="N489" s="21" t="s">
        <v>1226</v>
      </c>
      <c r="O489" s="21"/>
      <c r="P489" s="21" t="s">
        <v>1227</v>
      </c>
      <c r="Q489" s="21"/>
      <c r="R489" s="21"/>
      <c r="S489" s="3" t="s">
        <v>40</v>
      </c>
      <c r="T489" s="21" t="s">
        <v>41</v>
      </c>
      <c r="U489" s="21"/>
      <c r="V489" s="4" t="s">
        <v>42</v>
      </c>
      <c r="W489" s="4" t="s">
        <v>54</v>
      </c>
      <c r="X489" s="4" t="s">
        <v>55</v>
      </c>
      <c r="Y489" s="21" t="s">
        <v>56</v>
      </c>
      <c r="Z489" s="21"/>
      <c r="AA489" s="4" t="s">
        <v>46</v>
      </c>
      <c r="AB489" s="4" t="s">
        <v>47</v>
      </c>
      <c r="AC489" s="4" t="s">
        <v>57</v>
      </c>
      <c r="AD489" s="4" t="s">
        <v>58</v>
      </c>
      <c r="AE489" s="4" t="s">
        <v>48</v>
      </c>
      <c r="AF489" s="4" t="s">
        <v>41</v>
      </c>
      <c r="AG489" s="4" t="s">
        <v>986</v>
      </c>
    </row>
    <row r="490" spans="1:33" ht="16.5" customHeight="1" x14ac:dyDescent="0.2">
      <c r="A490" s="2" t="s">
        <v>31</v>
      </c>
      <c r="B490" s="19" t="s">
        <v>50</v>
      </c>
      <c r="C490" s="19"/>
      <c r="D490" s="19"/>
      <c r="E490" s="20" t="s">
        <v>33</v>
      </c>
      <c r="F490" s="20"/>
      <c r="G490" s="21" t="s">
        <v>983</v>
      </c>
      <c r="H490" s="21"/>
      <c r="I490" s="21"/>
      <c r="J490" s="3" t="s">
        <v>35</v>
      </c>
      <c r="K490" s="4" t="s">
        <v>247</v>
      </c>
      <c r="L490" s="4" t="s">
        <v>37</v>
      </c>
      <c r="N490" s="21" t="s">
        <v>1228</v>
      </c>
      <c r="O490" s="21"/>
      <c r="P490" s="21" t="s">
        <v>1229</v>
      </c>
      <c r="Q490" s="21"/>
      <c r="R490" s="21"/>
      <c r="S490" s="3" t="s">
        <v>40</v>
      </c>
      <c r="T490" s="21" t="s">
        <v>41</v>
      </c>
      <c r="U490" s="21"/>
      <c r="V490" s="4" t="s">
        <v>42</v>
      </c>
      <c r="W490" s="4" t="s">
        <v>54</v>
      </c>
      <c r="X490" s="4" t="s">
        <v>55</v>
      </c>
      <c r="Y490" s="21" t="s">
        <v>65</v>
      </c>
      <c r="Z490" s="21"/>
      <c r="AA490" s="4" t="s">
        <v>46</v>
      </c>
      <c r="AB490" s="4" t="s">
        <v>47</v>
      </c>
      <c r="AC490" s="4" t="s">
        <v>66</v>
      </c>
      <c r="AD490" s="4" t="s">
        <v>73</v>
      </c>
      <c r="AE490" s="4" t="s">
        <v>48</v>
      </c>
      <c r="AF490" s="4" t="s">
        <v>41</v>
      </c>
      <c r="AG490" s="4" t="s">
        <v>986</v>
      </c>
    </row>
    <row r="491" spans="1:33" ht="0.75" customHeight="1" x14ac:dyDescent="0.2"/>
    <row r="492" spans="1:33" ht="12" customHeight="1" x14ac:dyDescent="0.2"/>
    <row r="493" spans="1:33" ht="16.5" customHeight="1" x14ac:dyDescent="0.2">
      <c r="A493" s="2" t="s">
        <v>31</v>
      </c>
      <c r="B493" s="19" t="s">
        <v>50</v>
      </c>
      <c r="C493" s="19"/>
      <c r="D493" s="19"/>
      <c r="E493" s="20" t="s">
        <v>33</v>
      </c>
      <c r="F493" s="20"/>
      <c r="G493" s="21" t="s">
        <v>983</v>
      </c>
      <c r="H493" s="21"/>
      <c r="I493" s="21"/>
      <c r="J493" s="3" t="s">
        <v>35</v>
      </c>
      <c r="K493" s="4" t="s">
        <v>82</v>
      </c>
      <c r="L493" s="4" t="s">
        <v>37</v>
      </c>
      <c r="N493" s="21" t="s">
        <v>1230</v>
      </c>
      <c r="O493" s="21"/>
      <c r="P493" s="21" t="s">
        <v>1231</v>
      </c>
      <c r="Q493" s="21"/>
      <c r="R493" s="21"/>
      <c r="S493" s="3" t="s">
        <v>40</v>
      </c>
      <c r="T493" s="21" t="s">
        <v>41</v>
      </c>
      <c r="U493" s="21"/>
      <c r="V493" s="4" t="s">
        <v>42</v>
      </c>
      <c r="W493" s="4" t="s">
        <v>54</v>
      </c>
      <c r="X493" s="4" t="s">
        <v>55</v>
      </c>
      <c r="Y493" s="21" t="s">
        <v>56</v>
      </c>
      <c r="Z493" s="21"/>
      <c r="AA493" s="4" t="s">
        <v>46</v>
      </c>
      <c r="AB493" s="4" t="s">
        <v>47</v>
      </c>
      <c r="AC493" s="4" t="s">
        <v>57</v>
      </c>
      <c r="AD493" s="4" t="s">
        <v>58</v>
      </c>
      <c r="AE493" s="4" t="s">
        <v>48</v>
      </c>
      <c r="AF493" s="4" t="s">
        <v>41</v>
      </c>
      <c r="AG493" s="4" t="s">
        <v>986</v>
      </c>
    </row>
    <row r="494" spans="1:33" ht="16.5" customHeight="1" x14ac:dyDescent="0.2">
      <c r="A494" s="2" t="s">
        <v>31</v>
      </c>
      <c r="B494" s="19" t="s">
        <v>50</v>
      </c>
      <c r="C494" s="19"/>
      <c r="D494" s="19"/>
      <c r="E494" s="20" t="s">
        <v>33</v>
      </c>
      <c r="F494" s="20"/>
      <c r="G494" s="21" t="s">
        <v>983</v>
      </c>
      <c r="H494" s="21"/>
      <c r="I494" s="21"/>
      <c r="J494" s="3" t="s">
        <v>35</v>
      </c>
      <c r="K494" s="4" t="s">
        <v>247</v>
      </c>
      <c r="L494" s="4" t="s">
        <v>445</v>
      </c>
      <c r="N494" s="21" t="s">
        <v>1232</v>
      </c>
      <c r="O494" s="21"/>
      <c r="P494" s="21" t="s">
        <v>1233</v>
      </c>
      <c r="Q494" s="21"/>
      <c r="R494" s="21"/>
      <c r="S494" s="3" t="s">
        <v>40</v>
      </c>
      <c r="T494" s="21" t="s">
        <v>41</v>
      </c>
      <c r="U494" s="21"/>
      <c r="V494" s="4" t="s">
        <v>42</v>
      </c>
      <c r="W494" s="4" t="s">
        <v>54</v>
      </c>
      <c r="X494" s="4" t="s">
        <v>55</v>
      </c>
      <c r="Y494" s="21" t="s">
        <v>65</v>
      </c>
      <c r="Z494" s="21"/>
      <c r="AA494" s="4" t="s">
        <v>46</v>
      </c>
      <c r="AB494" s="4" t="s">
        <v>47</v>
      </c>
      <c r="AC494" s="4" t="s">
        <v>66</v>
      </c>
      <c r="AD494" s="4" t="s">
        <v>1234</v>
      </c>
      <c r="AE494" s="4" t="s">
        <v>48</v>
      </c>
      <c r="AF494" s="4" t="s">
        <v>41</v>
      </c>
      <c r="AG494" s="4" t="s">
        <v>986</v>
      </c>
    </row>
    <row r="495" spans="1:33" ht="16.5" customHeight="1" x14ac:dyDescent="0.2">
      <c r="A495" s="2" t="s">
        <v>31</v>
      </c>
      <c r="B495" s="19" t="s">
        <v>50</v>
      </c>
      <c r="C495" s="19"/>
      <c r="D495" s="19"/>
      <c r="E495" s="20" t="s">
        <v>33</v>
      </c>
      <c r="F495" s="20"/>
      <c r="G495" s="21" t="s">
        <v>983</v>
      </c>
      <c r="H495" s="21"/>
      <c r="I495" s="21"/>
      <c r="J495" s="3" t="s">
        <v>35</v>
      </c>
      <c r="K495" s="4" t="s">
        <v>661</v>
      </c>
      <c r="L495" s="4" t="s">
        <v>37</v>
      </c>
      <c r="N495" s="21" t="s">
        <v>1235</v>
      </c>
      <c r="O495" s="21"/>
      <c r="P495" s="21" t="s">
        <v>1236</v>
      </c>
      <c r="Q495" s="21"/>
      <c r="R495" s="21"/>
      <c r="S495" s="3" t="s">
        <v>40</v>
      </c>
      <c r="T495" s="21" t="s">
        <v>41</v>
      </c>
      <c r="U495" s="21"/>
      <c r="V495" s="4" t="s">
        <v>42</v>
      </c>
      <c r="W495" s="4" t="s">
        <v>54</v>
      </c>
      <c r="X495" s="4" t="s">
        <v>55</v>
      </c>
      <c r="Y495" s="21" t="s">
        <v>198</v>
      </c>
      <c r="Z495" s="21"/>
      <c r="AA495" s="4" t="s">
        <v>46</v>
      </c>
      <c r="AB495" s="4" t="s">
        <v>47</v>
      </c>
      <c r="AC495" s="4" t="s">
        <v>139</v>
      </c>
      <c r="AD495" s="4" t="s">
        <v>140</v>
      </c>
      <c r="AE495" s="4" t="s">
        <v>48</v>
      </c>
      <c r="AF495" s="4" t="s">
        <v>41</v>
      </c>
      <c r="AG495" s="4" t="s">
        <v>986</v>
      </c>
    </row>
    <row r="496" spans="1:33" ht="16.5" customHeight="1" x14ac:dyDescent="0.2">
      <c r="A496" s="2" t="s">
        <v>31</v>
      </c>
      <c r="B496" s="19" t="s">
        <v>50</v>
      </c>
      <c r="C496" s="19"/>
      <c r="D496" s="19"/>
      <c r="E496" s="20" t="s">
        <v>33</v>
      </c>
      <c r="F496" s="20"/>
      <c r="G496" s="21" t="s">
        <v>983</v>
      </c>
      <c r="H496" s="21"/>
      <c r="I496" s="21"/>
      <c r="J496" s="3" t="s">
        <v>35</v>
      </c>
      <c r="K496" s="4" t="s">
        <v>661</v>
      </c>
      <c r="L496" s="4" t="s">
        <v>37</v>
      </c>
      <c r="N496" s="21" t="s">
        <v>1237</v>
      </c>
      <c r="O496" s="21"/>
      <c r="P496" s="21" t="s">
        <v>1238</v>
      </c>
      <c r="Q496" s="21"/>
      <c r="R496" s="21"/>
      <c r="S496" s="3" t="s">
        <v>40</v>
      </c>
      <c r="T496" s="21" t="s">
        <v>41</v>
      </c>
      <c r="U496" s="21"/>
      <c r="V496" s="4" t="s">
        <v>42</v>
      </c>
      <c r="W496" s="4" t="s">
        <v>54</v>
      </c>
      <c r="X496" s="4" t="s">
        <v>55</v>
      </c>
      <c r="Y496" s="21" t="s">
        <v>198</v>
      </c>
      <c r="Z496" s="21"/>
      <c r="AA496" s="4" t="s">
        <v>46</v>
      </c>
      <c r="AB496" s="4" t="s">
        <v>47</v>
      </c>
      <c r="AC496" s="4" t="s">
        <v>139</v>
      </c>
      <c r="AD496" s="4" t="s">
        <v>140</v>
      </c>
      <c r="AE496" s="4" t="s">
        <v>48</v>
      </c>
      <c r="AF496" s="4" t="s">
        <v>41</v>
      </c>
      <c r="AG496" s="4" t="s">
        <v>986</v>
      </c>
    </row>
    <row r="497" spans="1:33" ht="16.5" customHeight="1" x14ac:dyDescent="0.2">
      <c r="A497" s="2" t="s">
        <v>31</v>
      </c>
      <c r="B497" s="19" t="s">
        <v>50</v>
      </c>
      <c r="C497" s="19"/>
      <c r="D497" s="19"/>
      <c r="E497" s="20" t="s">
        <v>33</v>
      </c>
      <c r="F497" s="20"/>
      <c r="G497" s="21" t="s">
        <v>983</v>
      </c>
      <c r="H497" s="21"/>
      <c r="I497" s="21"/>
      <c r="J497" s="3" t="s">
        <v>35</v>
      </c>
      <c r="K497" s="4" t="s">
        <v>247</v>
      </c>
      <c r="L497" s="4" t="s">
        <v>37</v>
      </c>
      <c r="N497" s="21" t="s">
        <v>1239</v>
      </c>
      <c r="O497" s="21"/>
      <c r="P497" s="21" t="s">
        <v>1240</v>
      </c>
      <c r="Q497" s="21"/>
      <c r="R497" s="21"/>
      <c r="S497" s="3" t="s">
        <v>40</v>
      </c>
      <c r="T497" s="21" t="s">
        <v>41</v>
      </c>
      <c r="U497" s="21"/>
      <c r="V497" s="4" t="s">
        <v>42</v>
      </c>
      <c r="W497" s="4" t="s">
        <v>54</v>
      </c>
      <c r="X497" s="4" t="s">
        <v>55</v>
      </c>
      <c r="Y497" s="21" t="s">
        <v>65</v>
      </c>
      <c r="Z497" s="21"/>
      <c r="AA497" s="4" t="s">
        <v>46</v>
      </c>
      <c r="AB497" s="4" t="s">
        <v>47</v>
      </c>
      <c r="AC497" s="4" t="s">
        <v>66</v>
      </c>
      <c r="AD497" s="4" t="s">
        <v>73</v>
      </c>
      <c r="AE497" s="4" t="s">
        <v>48</v>
      </c>
      <c r="AF497" s="4" t="s">
        <v>41</v>
      </c>
      <c r="AG497" s="4" t="s">
        <v>986</v>
      </c>
    </row>
    <row r="498" spans="1:33" ht="16.5" customHeight="1" x14ac:dyDescent="0.2">
      <c r="A498" s="2" t="s">
        <v>31</v>
      </c>
      <c r="B498" s="19" t="s">
        <v>50</v>
      </c>
      <c r="C498" s="19"/>
      <c r="D498" s="19"/>
      <c r="E498" s="20" t="s">
        <v>33</v>
      </c>
      <c r="F498" s="20"/>
      <c r="G498" s="21" t="s">
        <v>983</v>
      </c>
      <c r="H498" s="21"/>
      <c r="I498" s="21"/>
      <c r="J498" s="3" t="s">
        <v>35</v>
      </c>
      <c r="K498" s="4" t="s">
        <v>661</v>
      </c>
      <c r="L498" s="4" t="s">
        <v>37</v>
      </c>
      <c r="N498" s="21" t="s">
        <v>1241</v>
      </c>
      <c r="O498" s="21"/>
      <c r="P498" s="21" t="s">
        <v>1242</v>
      </c>
      <c r="Q498" s="21"/>
      <c r="R498" s="21"/>
      <c r="S498" s="3" t="s">
        <v>40</v>
      </c>
      <c r="T498" s="21" t="s">
        <v>41</v>
      </c>
      <c r="U498" s="21"/>
      <c r="V498" s="4" t="s">
        <v>42</v>
      </c>
      <c r="W498" s="4" t="s">
        <v>54</v>
      </c>
      <c r="X498" s="4" t="s">
        <v>55</v>
      </c>
      <c r="Y498" s="21" t="s">
        <v>198</v>
      </c>
      <c r="Z498" s="21"/>
      <c r="AA498" s="4" t="s">
        <v>46</v>
      </c>
      <c r="AB498" s="4" t="s">
        <v>47</v>
      </c>
      <c r="AC498" s="4" t="s">
        <v>139</v>
      </c>
      <c r="AD498" s="4" t="s">
        <v>140</v>
      </c>
      <c r="AE498" s="4" t="s">
        <v>48</v>
      </c>
      <c r="AF498" s="4" t="s">
        <v>41</v>
      </c>
      <c r="AG498" s="4" t="s">
        <v>986</v>
      </c>
    </row>
    <row r="499" spans="1:33" ht="16.5" customHeight="1" x14ac:dyDescent="0.2">
      <c r="A499" s="2" t="s">
        <v>31</v>
      </c>
      <c r="B499" s="19" t="s">
        <v>50</v>
      </c>
      <c r="C499" s="19"/>
      <c r="D499" s="19"/>
      <c r="E499" s="20" t="s">
        <v>33</v>
      </c>
      <c r="F499" s="20"/>
      <c r="G499" s="21" t="s">
        <v>983</v>
      </c>
      <c r="H499" s="21"/>
      <c r="I499" s="21"/>
      <c r="J499" s="3" t="s">
        <v>35</v>
      </c>
      <c r="K499" s="4" t="s">
        <v>51</v>
      </c>
      <c r="L499" s="4" t="s">
        <v>68</v>
      </c>
      <c r="N499" s="21" t="s">
        <v>1243</v>
      </c>
      <c r="O499" s="21"/>
      <c r="P499" s="21" t="s">
        <v>1244</v>
      </c>
      <c r="Q499" s="21"/>
      <c r="R499" s="21"/>
      <c r="S499" s="3" t="s">
        <v>40</v>
      </c>
      <c r="T499" s="21" t="s">
        <v>41</v>
      </c>
      <c r="U499" s="21"/>
      <c r="V499" s="4" t="s">
        <v>42</v>
      </c>
      <c r="W499" s="4" t="s">
        <v>54</v>
      </c>
      <c r="X499" s="4" t="s">
        <v>55</v>
      </c>
      <c r="Y499" s="21" t="s">
        <v>56</v>
      </c>
      <c r="Z499" s="21"/>
      <c r="AA499" s="4" t="s">
        <v>46</v>
      </c>
      <c r="AB499" s="4" t="s">
        <v>47</v>
      </c>
      <c r="AC499" s="4" t="s">
        <v>57</v>
      </c>
      <c r="AD499" s="4" t="s">
        <v>98</v>
      </c>
      <c r="AE499" s="4" t="s">
        <v>48</v>
      </c>
      <c r="AF499" s="4" t="s">
        <v>41</v>
      </c>
      <c r="AG499" s="4" t="s">
        <v>986</v>
      </c>
    </row>
    <row r="500" spans="1:33" ht="16.5" customHeight="1" x14ac:dyDescent="0.2">
      <c r="A500" s="2" t="s">
        <v>31</v>
      </c>
      <c r="B500" s="19" t="s">
        <v>50</v>
      </c>
      <c r="C500" s="19"/>
      <c r="D500" s="19"/>
      <c r="E500" s="20" t="s">
        <v>33</v>
      </c>
      <c r="F500" s="20"/>
      <c r="G500" s="21" t="s">
        <v>983</v>
      </c>
      <c r="H500" s="21"/>
      <c r="I500" s="21"/>
      <c r="J500" s="3" t="s">
        <v>35</v>
      </c>
      <c r="K500" s="4" t="s">
        <v>82</v>
      </c>
      <c r="L500" s="4" t="s">
        <v>37</v>
      </c>
      <c r="N500" s="21" t="s">
        <v>1245</v>
      </c>
      <c r="O500" s="21"/>
      <c r="P500" s="21" t="s">
        <v>1246</v>
      </c>
      <c r="Q500" s="21"/>
      <c r="R500" s="21"/>
      <c r="S500" s="3" t="s">
        <v>40</v>
      </c>
      <c r="T500" s="21" t="s">
        <v>41</v>
      </c>
      <c r="U500" s="21"/>
      <c r="V500" s="4" t="s">
        <v>42</v>
      </c>
      <c r="W500" s="4" t="s">
        <v>54</v>
      </c>
      <c r="X500" s="4" t="s">
        <v>55</v>
      </c>
      <c r="Y500" s="21" t="s">
        <v>56</v>
      </c>
      <c r="Z500" s="21"/>
      <c r="AA500" s="4" t="s">
        <v>46</v>
      </c>
      <c r="AB500" s="4" t="s">
        <v>47</v>
      </c>
      <c r="AC500" s="4" t="s">
        <v>57</v>
      </c>
      <c r="AD500" s="4" t="s">
        <v>58</v>
      </c>
      <c r="AE500" s="4" t="s">
        <v>48</v>
      </c>
      <c r="AF500" s="4" t="s">
        <v>41</v>
      </c>
      <c r="AG500" s="4" t="s">
        <v>986</v>
      </c>
    </row>
    <row r="501" spans="1:33" ht="16.5" customHeight="1" x14ac:dyDescent="0.2">
      <c r="A501" s="2" t="s">
        <v>31</v>
      </c>
      <c r="B501" s="19" t="s">
        <v>50</v>
      </c>
      <c r="C501" s="19"/>
      <c r="D501" s="19"/>
      <c r="E501" s="20" t="s">
        <v>33</v>
      </c>
      <c r="F501" s="20"/>
      <c r="G501" s="21" t="s">
        <v>983</v>
      </c>
      <c r="H501" s="21"/>
      <c r="I501" s="21"/>
      <c r="J501" s="3" t="s">
        <v>35</v>
      </c>
      <c r="K501" s="4" t="s">
        <v>51</v>
      </c>
      <c r="L501" s="4" t="s">
        <v>68</v>
      </c>
      <c r="N501" s="21" t="s">
        <v>1247</v>
      </c>
      <c r="O501" s="21"/>
      <c r="P501" s="21" t="s">
        <v>1248</v>
      </c>
      <c r="Q501" s="21"/>
      <c r="R501" s="21"/>
      <c r="S501" s="3" t="s">
        <v>40</v>
      </c>
      <c r="T501" s="21" t="s">
        <v>41</v>
      </c>
      <c r="U501" s="21"/>
      <c r="V501" s="4" t="s">
        <v>42</v>
      </c>
      <c r="W501" s="4" t="s">
        <v>54</v>
      </c>
      <c r="X501" s="4" t="s">
        <v>55</v>
      </c>
      <c r="Y501" s="21" t="s">
        <v>56</v>
      </c>
      <c r="Z501" s="21"/>
      <c r="AA501" s="4" t="s">
        <v>46</v>
      </c>
      <c r="AB501" s="4" t="s">
        <v>47</v>
      </c>
      <c r="AC501" s="4" t="s">
        <v>57</v>
      </c>
      <c r="AD501" s="4" t="s">
        <v>98</v>
      </c>
      <c r="AE501" s="4" t="s">
        <v>48</v>
      </c>
      <c r="AF501" s="4" t="s">
        <v>41</v>
      </c>
      <c r="AG501" s="4" t="s">
        <v>986</v>
      </c>
    </row>
    <row r="502" spans="1:33" ht="16.5" customHeight="1" x14ac:dyDescent="0.2">
      <c r="A502" s="2" t="s">
        <v>31</v>
      </c>
      <c r="B502" s="19" t="s">
        <v>50</v>
      </c>
      <c r="C502" s="19"/>
      <c r="D502" s="19"/>
      <c r="E502" s="20" t="s">
        <v>33</v>
      </c>
      <c r="F502" s="20"/>
      <c r="G502" s="21" t="s">
        <v>983</v>
      </c>
      <c r="H502" s="21"/>
      <c r="I502" s="21"/>
      <c r="J502" s="3" t="s">
        <v>35</v>
      </c>
      <c r="K502" s="4" t="s">
        <v>51</v>
      </c>
      <c r="L502" s="4" t="s">
        <v>68</v>
      </c>
      <c r="N502" s="21" t="s">
        <v>1249</v>
      </c>
      <c r="O502" s="21"/>
      <c r="P502" s="21" t="s">
        <v>1250</v>
      </c>
      <c r="Q502" s="21"/>
      <c r="R502" s="21"/>
      <c r="S502" s="3" t="s">
        <v>40</v>
      </c>
      <c r="T502" s="21" t="s">
        <v>41</v>
      </c>
      <c r="U502" s="21"/>
      <c r="V502" s="4" t="s">
        <v>42</v>
      </c>
      <c r="W502" s="4" t="s">
        <v>54</v>
      </c>
      <c r="X502" s="4" t="s">
        <v>55</v>
      </c>
      <c r="Y502" s="21" t="s">
        <v>56</v>
      </c>
      <c r="Z502" s="21"/>
      <c r="AA502" s="4" t="s">
        <v>46</v>
      </c>
      <c r="AB502" s="4" t="s">
        <v>47</v>
      </c>
      <c r="AC502" s="4" t="s">
        <v>57</v>
      </c>
      <c r="AD502" s="4" t="s">
        <v>98</v>
      </c>
      <c r="AE502" s="4" t="s">
        <v>48</v>
      </c>
      <c r="AF502" s="4" t="s">
        <v>41</v>
      </c>
      <c r="AG502" s="4" t="s">
        <v>986</v>
      </c>
    </row>
    <row r="503" spans="1:33" ht="16.5" customHeight="1" x14ac:dyDescent="0.2">
      <c r="A503" s="2" t="s">
        <v>31</v>
      </c>
      <c r="B503" s="19" t="s">
        <v>50</v>
      </c>
      <c r="C503" s="19"/>
      <c r="D503" s="19"/>
      <c r="E503" s="20" t="s">
        <v>33</v>
      </c>
      <c r="F503" s="20"/>
      <c r="G503" s="21" t="s">
        <v>983</v>
      </c>
      <c r="H503" s="21"/>
      <c r="I503" s="21"/>
      <c r="J503" s="3" t="s">
        <v>35</v>
      </c>
      <c r="K503" s="4" t="s">
        <v>661</v>
      </c>
      <c r="L503" s="4" t="s">
        <v>68</v>
      </c>
      <c r="N503" s="21" t="s">
        <v>1251</v>
      </c>
      <c r="O503" s="21"/>
      <c r="P503" s="21" t="s">
        <v>1252</v>
      </c>
      <c r="Q503" s="21"/>
      <c r="R503" s="21"/>
      <c r="S503" s="3" t="s">
        <v>40</v>
      </c>
      <c r="T503" s="21" t="s">
        <v>41</v>
      </c>
      <c r="U503" s="21"/>
      <c r="V503" s="4" t="s">
        <v>42</v>
      </c>
      <c r="W503" s="4" t="s">
        <v>54</v>
      </c>
      <c r="X503" s="4" t="s">
        <v>55</v>
      </c>
      <c r="Y503" s="21" t="s">
        <v>198</v>
      </c>
      <c r="Z503" s="21"/>
      <c r="AA503" s="4" t="s">
        <v>46</v>
      </c>
      <c r="AB503" s="4" t="s">
        <v>47</v>
      </c>
      <c r="AC503" s="4" t="s">
        <v>139</v>
      </c>
      <c r="AD503" s="4" t="s">
        <v>151</v>
      </c>
      <c r="AE503" s="4" t="s">
        <v>48</v>
      </c>
      <c r="AF503" s="4" t="s">
        <v>41</v>
      </c>
      <c r="AG503" s="4" t="s">
        <v>986</v>
      </c>
    </row>
    <row r="504" spans="1:33" ht="16.5" customHeight="1" x14ac:dyDescent="0.2">
      <c r="A504" s="2" t="s">
        <v>31</v>
      </c>
      <c r="B504" s="19" t="s">
        <v>50</v>
      </c>
      <c r="C504" s="19"/>
      <c r="D504" s="19"/>
      <c r="E504" s="20" t="s">
        <v>33</v>
      </c>
      <c r="F504" s="20"/>
      <c r="G504" s="21" t="s">
        <v>983</v>
      </c>
      <c r="H504" s="21"/>
      <c r="I504" s="21"/>
      <c r="J504" s="3" t="s">
        <v>35</v>
      </c>
      <c r="K504" s="4" t="s">
        <v>204</v>
      </c>
      <c r="L504" s="4" t="s">
        <v>278</v>
      </c>
      <c r="N504" s="21" t="s">
        <v>1253</v>
      </c>
      <c r="O504" s="21"/>
      <c r="P504" s="21" t="s">
        <v>1254</v>
      </c>
      <c r="Q504" s="21"/>
      <c r="R504" s="21"/>
      <c r="S504" s="3" t="s">
        <v>40</v>
      </c>
      <c r="T504" s="21" t="s">
        <v>41</v>
      </c>
      <c r="U504" s="21"/>
      <c r="V504" s="4" t="s">
        <v>42</v>
      </c>
      <c r="W504" s="4" t="s">
        <v>54</v>
      </c>
      <c r="X504" s="4" t="s">
        <v>55</v>
      </c>
      <c r="Y504" s="21" t="s">
        <v>198</v>
      </c>
      <c r="Z504" s="21"/>
      <c r="AA504" s="4" t="s">
        <v>46</v>
      </c>
      <c r="AB504" s="4" t="s">
        <v>47</v>
      </c>
      <c r="AC504" s="4" t="s">
        <v>139</v>
      </c>
      <c r="AD504" s="4" t="s">
        <v>69</v>
      </c>
      <c r="AE504" s="4" t="s">
        <v>48</v>
      </c>
      <c r="AF504" s="4" t="s">
        <v>41</v>
      </c>
      <c r="AG504" s="4" t="s">
        <v>986</v>
      </c>
    </row>
    <row r="505" spans="1:33" ht="16.5" customHeight="1" x14ac:dyDescent="0.2">
      <c r="A505" s="2" t="s">
        <v>31</v>
      </c>
      <c r="B505" s="19" t="s">
        <v>50</v>
      </c>
      <c r="C505" s="19"/>
      <c r="D505" s="19"/>
      <c r="E505" s="20" t="s">
        <v>33</v>
      </c>
      <c r="F505" s="20"/>
      <c r="G505" s="21" t="s">
        <v>983</v>
      </c>
      <c r="H505" s="21"/>
      <c r="I505" s="21"/>
      <c r="J505" s="3" t="s">
        <v>35</v>
      </c>
      <c r="K505" s="4" t="s">
        <v>247</v>
      </c>
      <c r="L505" s="4" t="s">
        <v>445</v>
      </c>
      <c r="N505" s="21" t="s">
        <v>1255</v>
      </c>
      <c r="O505" s="21"/>
      <c r="P505" s="21" t="s">
        <v>1256</v>
      </c>
      <c r="Q505" s="21"/>
      <c r="R505" s="21"/>
      <c r="S505" s="3" t="s">
        <v>40</v>
      </c>
      <c r="T505" s="21" t="s">
        <v>41</v>
      </c>
      <c r="U505" s="21"/>
      <c r="V505" s="4" t="s">
        <v>42</v>
      </c>
      <c r="W505" s="4" t="s">
        <v>54</v>
      </c>
      <c r="X505" s="4" t="s">
        <v>55</v>
      </c>
      <c r="Y505" s="21" t="s">
        <v>65</v>
      </c>
      <c r="Z505" s="21"/>
      <c r="AA505" s="4" t="s">
        <v>46</v>
      </c>
      <c r="AB505" s="4" t="s">
        <v>47</v>
      </c>
      <c r="AC505" s="4" t="s">
        <v>66</v>
      </c>
      <c r="AD505" s="4" t="s">
        <v>1234</v>
      </c>
      <c r="AE505" s="4" t="s">
        <v>48</v>
      </c>
      <c r="AF505" s="4" t="s">
        <v>41</v>
      </c>
      <c r="AG505" s="4" t="s">
        <v>986</v>
      </c>
    </row>
    <row r="506" spans="1:33" ht="16.5" customHeight="1" x14ac:dyDescent="0.2">
      <c r="A506" s="2" t="s">
        <v>31</v>
      </c>
      <c r="B506" s="19" t="s">
        <v>50</v>
      </c>
      <c r="C506" s="19"/>
      <c r="D506" s="19"/>
      <c r="E506" s="20" t="s">
        <v>33</v>
      </c>
      <c r="F506" s="20"/>
      <c r="G506" s="21" t="s">
        <v>983</v>
      </c>
      <c r="H506" s="21"/>
      <c r="I506" s="21"/>
      <c r="J506" s="3" t="s">
        <v>35</v>
      </c>
      <c r="K506" s="4" t="s">
        <v>661</v>
      </c>
      <c r="L506" s="4" t="s">
        <v>37</v>
      </c>
      <c r="N506" s="21" t="s">
        <v>1257</v>
      </c>
      <c r="O506" s="21"/>
      <c r="P506" s="21" t="s">
        <v>1258</v>
      </c>
      <c r="Q506" s="21"/>
      <c r="R506" s="21"/>
      <c r="S506" s="3" t="s">
        <v>40</v>
      </c>
      <c r="T506" s="21" t="s">
        <v>41</v>
      </c>
      <c r="U506" s="21"/>
      <c r="V506" s="4" t="s">
        <v>42</v>
      </c>
      <c r="W506" s="4" t="s">
        <v>54</v>
      </c>
      <c r="X506" s="4" t="s">
        <v>55</v>
      </c>
      <c r="Y506" s="21" t="s">
        <v>198</v>
      </c>
      <c r="Z506" s="21"/>
      <c r="AA506" s="4" t="s">
        <v>46</v>
      </c>
      <c r="AB506" s="4" t="s">
        <v>47</v>
      </c>
      <c r="AC506" s="4" t="s">
        <v>139</v>
      </c>
      <c r="AD506" s="4" t="s">
        <v>140</v>
      </c>
      <c r="AE506" s="4" t="s">
        <v>48</v>
      </c>
      <c r="AF506" s="4" t="s">
        <v>41</v>
      </c>
      <c r="AG506" s="4" t="s">
        <v>986</v>
      </c>
    </row>
    <row r="507" spans="1:33" ht="16.5" customHeight="1" x14ac:dyDescent="0.2">
      <c r="A507" s="2" t="s">
        <v>31</v>
      </c>
      <c r="B507" s="19" t="s">
        <v>50</v>
      </c>
      <c r="C507" s="19"/>
      <c r="D507" s="19"/>
      <c r="E507" s="20" t="s">
        <v>33</v>
      </c>
      <c r="F507" s="20"/>
      <c r="G507" s="21" t="s">
        <v>983</v>
      </c>
      <c r="H507" s="21"/>
      <c r="I507" s="21"/>
      <c r="J507" s="3" t="s">
        <v>35</v>
      </c>
      <c r="K507" s="4" t="s">
        <v>661</v>
      </c>
      <c r="L507" s="4" t="s">
        <v>37</v>
      </c>
      <c r="N507" s="21" t="s">
        <v>1259</v>
      </c>
      <c r="O507" s="21"/>
      <c r="P507" s="21" t="s">
        <v>1260</v>
      </c>
      <c r="Q507" s="21"/>
      <c r="R507" s="21"/>
      <c r="S507" s="3" t="s">
        <v>40</v>
      </c>
      <c r="T507" s="21" t="s">
        <v>41</v>
      </c>
      <c r="U507" s="21"/>
      <c r="V507" s="4" t="s">
        <v>42</v>
      </c>
      <c r="W507" s="4" t="s">
        <v>54</v>
      </c>
      <c r="X507" s="4" t="s">
        <v>55</v>
      </c>
      <c r="Y507" s="21" t="s">
        <v>198</v>
      </c>
      <c r="Z507" s="21"/>
      <c r="AA507" s="4" t="s">
        <v>46</v>
      </c>
      <c r="AB507" s="4" t="s">
        <v>47</v>
      </c>
      <c r="AC507" s="4" t="s">
        <v>139</v>
      </c>
      <c r="AD507" s="4" t="s">
        <v>140</v>
      </c>
      <c r="AE507" s="4" t="s">
        <v>48</v>
      </c>
      <c r="AF507" s="4" t="s">
        <v>41</v>
      </c>
      <c r="AG507" s="4" t="s">
        <v>986</v>
      </c>
    </row>
    <row r="508" spans="1:33" ht="16.5" customHeight="1" x14ac:dyDescent="0.2">
      <c r="A508" s="2" t="s">
        <v>31</v>
      </c>
      <c r="B508" s="19" t="s">
        <v>50</v>
      </c>
      <c r="C508" s="19"/>
      <c r="D508" s="19"/>
      <c r="E508" s="20" t="s">
        <v>33</v>
      </c>
      <c r="F508" s="20"/>
      <c r="G508" s="21" t="s">
        <v>983</v>
      </c>
      <c r="H508" s="21"/>
      <c r="I508" s="21"/>
      <c r="J508" s="3" t="s">
        <v>35</v>
      </c>
      <c r="K508" s="4" t="s">
        <v>169</v>
      </c>
      <c r="L508" s="4" t="s">
        <v>37</v>
      </c>
      <c r="N508" s="21" t="s">
        <v>1261</v>
      </c>
      <c r="O508" s="21"/>
      <c r="P508" s="21" t="s">
        <v>1262</v>
      </c>
      <c r="Q508" s="21"/>
      <c r="R508" s="21"/>
      <c r="S508" s="3" t="s">
        <v>40</v>
      </c>
      <c r="T508" s="21" t="s">
        <v>41</v>
      </c>
      <c r="U508" s="21"/>
      <c r="V508" s="4" t="s">
        <v>42</v>
      </c>
      <c r="W508" s="4" t="s">
        <v>54</v>
      </c>
      <c r="X508" s="4" t="s">
        <v>55</v>
      </c>
      <c r="Y508" s="21" t="s">
        <v>56</v>
      </c>
      <c r="Z508" s="21"/>
      <c r="AA508" s="4" t="s">
        <v>46</v>
      </c>
      <c r="AB508" s="4" t="s">
        <v>47</v>
      </c>
      <c r="AC508" s="4" t="s">
        <v>57</v>
      </c>
      <c r="AD508" s="4" t="s">
        <v>58</v>
      </c>
      <c r="AE508" s="4" t="s">
        <v>48</v>
      </c>
      <c r="AF508" s="4" t="s">
        <v>41</v>
      </c>
      <c r="AG508" s="4" t="s">
        <v>986</v>
      </c>
    </row>
    <row r="509" spans="1:33" ht="16.5" customHeight="1" x14ac:dyDescent="0.2">
      <c r="A509" s="2" t="s">
        <v>31</v>
      </c>
      <c r="B509" s="19" t="s">
        <v>50</v>
      </c>
      <c r="C509" s="19"/>
      <c r="D509" s="19"/>
      <c r="E509" s="20" t="s">
        <v>33</v>
      </c>
      <c r="F509" s="20"/>
      <c r="G509" s="21" t="s">
        <v>983</v>
      </c>
      <c r="H509" s="21"/>
      <c r="I509" s="21"/>
      <c r="J509" s="3" t="s">
        <v>35</v>
      </c>
      <c r="K509" s="4" t="s">
        <v>74</v>
      </c>
      <c r="L509" s="4" t="s">
        <v>68</v>
      </c>
      <c r="N509" s="21" t="s">
        <v>1263</v>
      </c>
      <c r="O509" s="21"/>
      <c r="P509" s="21" t="s">
        <v>1264</v>
      </c>
      <c r="Q509" s="21"/>
      <c r="R509" s="21"/>
      <c r="S509" s="3" t="s">
        <v>40</v>
      </c>
      <c r="T509" s="21" t="s">
        <v>41</v>
      </c>
      <c r="U509" s="21"/>
      <c r="V509" s="4" t="s">
        <v>42</v>
      </c>
      <c r="W509" s="4" t="s">
        <v>130</v>
      </c>
      <c r="X509" s="4" t="s">
        <v>60</v>
      </c>
      <c r="Y509" s="21" t="s">
        <v>65</v>
      </c>
      <c r="Z509" s="21"/>
      <c r="AA509" s="4" t="s">
        <v>46</v>
      </c>
      <c r="AB509" s="4" t="s">
        <v>47</v>
      </c>
      <c r="AC509" s="4" t="s">
        <v>66</v>
      </c>
      <c r="AD509" s="4" t="s">
        <v>69</v>
      </c>
      <c r="AE509" s="4" t="s">
        <v>48</v>
      </c>
      <c r="AF509" s="4" t="s">
        <v>41</v>
      </c>
      <c r="AG509" s="4" t="s">
        <v>986</v>
      </c>
    </row>
    <row r="510" spans="1:33" ht="16.5" customHeight="1" x14ac:dyDescent="0.2">
      <c r="A510" s="2" t="s">
        <v>31</v>
      </c>
      <c r="B510" s="19" t="s">
        <v>50</v>
      </c>
      <c r="C510" s="19"/>
      <c r="D510" s="19"/>
      <c r="E510" s="20" t="s">
        <v>33</v>
      </c>
      <c r="F510" s="20"/>
      <c r="G510" s="21" t="s">
        <v>983</v>
      </c>
      <c r="H510" s="21"/>
      <c r="I510" s="21"/>
      <c r="J510" s="3" t="s">
        <v>35</v>
      </c>
      <c r="K510" s="4" t="s">
        <v>146</v>
      </c>
      <c r="L510" s="4" t="s">
        <v>37</v>
      </c>
      <c r="N510" s="21" t="s">
        <v>1265</v>
      </c>
      <c r="O510" s="21"/>
      <c r="P510" s="21" t="s">
        <v>1266</v>
      </c>
      <c r="Q510" s="21"/>
      <c r="R510" s="21"/>
      <c r="S510" s="3" t="s">
        <v>40</v>
      </c>
      <c r="T510" s="21" t="s">
        <v>41</v>
      </c>
      <c r="U510" s="21"/>
      <c r="V510" s="4" t="s">
        <v>42</v>
      </c>
      <c r="W510" s="4" t="s">
        <v>130</v>
      </c>
      <c r="X510" s="4" t="s">
        <v>60</v>
      </c>
      <c r="Y510" s="21" t="s">
        <v>138</v>
      </c>
      <c r="Z510" s="21"/>
      <c r="AA510" s="4" t="s">
        <v>46</v>
      </c>
      <c r="AB510" s="4" t="s">
        <v>47</v>
      </c>
      <c r="AC510" s="4" t="s">
        <v>57</v>
      </c>
      <c r="AD510" s="4" t="s">
        <v>58</v>
      </c>
      <c r="AE510" s="4" t="s">
        <v>48</v>
      </c>
      <c r="AF510" s="4" t="s">
        <v>41</v>
      </c>
      <c r="AG510" s="4" t="s">
        <v>986</v>
      </c>
    </row>
    <row r="511" spans="1:33" ht="16.5" customHeight="1" x14ac:dyDescent="0.2">
      <c r="A511" s="2" t="s">
        <v>31</v>
      </c>
      <c r="B511" s="19" t="s">
        <v>50</v>
      </c>
      <c r="C511" s="19"/>
      <c r="D511" s="19"/>
      <c r="E511" s="20" t="s">
        <v>33</v>
      </c>
      <c r="F511" s="20"/>
      <c r="G511" s="21" t="s">
        <v>983</v>
      </c>
      <c r="H511" s="21"/>
      <c r="I511" s="21"/>
      <c r="J511" s="3" t="s">
        <v>35</v>
      </c>
      <c r="K511" s="4" t="s">
        <v>152</v>
      </c>
      <c r="L511" s="4" t="s">
        <v>37</v>
      </c>
      <c r="N511" s="21" t="s">
        <v>1267</v>
      </c>
      <c r="O511" s="21"/>
      <c r="P511" s="21" t="s">
        <v>1268</v>
      </c>
      <c r="Q511" s="21"/>
      <c r="R511" s="21"/>
      <c r="S511" s="3" t="s">
        <v>40</v>
      </c>
      <c r="T511" s="21" t="s">
        <v>41</v>
      </c>
      <c r="U511" s="21"/>
      <c r="V511" s="4" t="s">
        <v>42</v>
      </c>
      <c r="W511" s="4" t="s">
        <v>130</v>
      </c>
      <c r="X511" s="4" t="s">
        <v>60</v>
      </c>
      <c r="Y511" s="21" t="s">
        <v>56</v>
      </c>
      <c r="Z511" s="21"/>
      <c r="AA511" s="4" t="s">
        <v>46</v>
      </c>
      <c r="AB511" s="4" t="s">
        <v>47</v>
      </c>
      <c r="AC511" s="4" t="s">
        <v>57</v>
      </c>
      <c r="AD511" s="4" t="s">
        <v>58</v>
      </c>
      <c r="AE511" s="4" t="s">
        <v>48</v>
      </c>
      <c r="AF511" s="4" t="s">
        <v>41</v>
      </c>
      <c r="AG511" s="4" t="s">
        <v>986</v>
      </c>
    </row>
    <row r="512" spans="1:33" ht="16.5" customHeight="1" x14ac:dyDescent="0.2">
      <c r="A512" s="2" t="s">
        <v>31</v>
      </c>
      <c r="B512" s="19" t="s">
        <v>50</v>
      </c>
      <c r="C512" s="19"/>
      <c r="D512" s="19"/>
      <c r="E512" s="20" t="s">
        <v>33</v>
      </c>
      <c r="F512" s="20"/>
      <c r="G512" s="21" t="s">
        <v>983</v>
      </c>
      <c r="H512" s="21"/>
      <c r="I512" s="21"/>
      <c r="J512" s="3" t="s">
        <v>35</v>
      </c>
      <c r="K512" s="4" t="s">
        <v>661</v>
      </c>
      <c r="L512" s="4" t="s">
        <v>231</v>
      </c>
      <c r="N512" s="21" t="s">
        <v>1269</v>
      </c>
      <c r="O512" s="21"/>
      <c r="P512" s="21" t="s">
        <v>1270</v>
      </c>
      <c r="Q512" s="21"/>
      <c r="R512" s="21"/>
      <c r="S512" s="3" t="s">
        <v>40</v>
      </c>
      <c r="T512" s="21" t="s">
        <v>41</v>
      </c>
      <c r="U512" s="21"/>
      <c r="V512" s="4" t="s">
        <v>42</v>
      </c>
      <c r="W512" s="4" t="s">
        <v>130</v>
      </c>
      <c r="X512" s="4" t="s">
        <v>60</v>
      </c>
      <c r="Y512" s="21" t="s">
        <v>198</v>
      </c>
      <c r="Z512" s="21"/>
      <c r="AA512" s="4" t="s">
        <v>46</v>
      </c>
      <c r="AB512" s="4" t="s">
        <v>47</v>
      </c>
      <c r="AC512" s="4" t="s">
        <v>139</v>
      </c>
      <c r="AD512" s="4" t="s">
        <v>449</v>
      </c>
      <c r="AE512" s="4" t="s">
        <v>48</v>
      </c>
      <c r="AF512" s="4" t="s">
        <v>41</v>
      </c>
      <c r="AG512" s="4" t="s">
        <v>986</v>
      </c>
    </row>
    <row r="513" spans="1:33" ht="16.5" customHeight="1" x14ac:dyDescent="0.2">
      <c r="A513" s="2" t="s">
        <v>31</v>
      </c>
      <c r="B513" s="19" t="s">
        <v>50</v>
      </c>
      <c r="C513" s="19"/>
      <c r="D513" s="19"/>
      <c r="E513" s="20" t="s">
        <v>33</v>
      </c>
      <c r="F513" s="20"/>
      <c r="G513" s="21" t="s">
        <v>983</v>
      </c>
      <c r="H513" s="21"/>
      <c r="I513" s="21"/>
      <c r="J513" s="3" t="s">
        <v>35</v>
      </c>
      <c r="K513" s="4" t="s">
        <v>51</v>
      </c>
      <c r="L513" s="4" t="s">
        <v>68</v>
      </c>
      <c r="N513" s="21" t="s">
        <v>1271</v>
      </c>
      <c r="O513" s="21"/>
      <c r="P513" s="21" t="s">
        <v>362</v>
      </c>
      <c r="Q513" s="21"/>
      <c r="R513" s="21"/>
      <c r="S513" s="3" t="s">
        <v>40</v>
      </c>
      <c r="T513" s="21" t="s">
        <v>41</v>
      </c>
      <c r="U513" s="21"/>
      <c r="V513" s="4" t="s">
        <v>42</v>
      </c>
      <c r="W513" s="4" t="s">
        <v>59</v>
      </c>
      <c r="X513" s="4" t="s">
        <v>131</v>
      </c>
      <c r="Y513" s="21" t="s">
        <v>56</v>
      </c>
      <c r="Z513" s="21"/>
      <c r="AA513" s="4" t="s">
        <v>46</v>
      </c>
      <c r="AB513" s="4" t="s">
        <v>47</v>
      </c>
      <c r="AC513" s="4" t="s">
        <v>57</v>
      </c>
      <c r="AD513" s="4" t="s">
        <v>98</v>
      </c>
      <c r="AE513" s="4" t="s">
        <v>48</v>
      </c>
      <c r="AF513" s="4" t="s">
        <v>41</v>
      </c>
      <c r="AG513" s="4" t="s">
        <v>986</v>
      </c>
    </row>
    <row r="514" spans="1:33" ht="16.5" customHeight="1" x14ac:dyDescent="0.2">
      <c r="A514" s="2" t="s">
        <v>31</v>
      </c>
      <c r="B514" s="19" t="s">
        <v>50</v>
      </c>
      <c r="C514" s="19"/>
      <c r="D514" s="19"/>
      <c r="E514" s="20" t="s">
        <v>33</v>
      </c>
      <c r="F514" s="20"/>
      <c r="G514" s="21" t="s">
        <v>983</v>
      </c>
      <c r="H514" s="21"/>
      <c r="I514" s="21"/>
      <c r="J514" s="3" t="s">
        <v>35</v>
      </c>
      <c r="K514" s="4" t="s">
        <v>51</v>
      </c>
      <c r="L514" s="4" t="s">
        <v>445</v>
      </c>
      <c r="N514" s="21" t="s">
        <v>1272</v>
      </c>
      <c r="O514" s="21"/>
      <c r="P514" s="21" t="s">
        <v>1273</v>
      </c>
      <c r="Q514" s="21"/>
      <c r="R514" s="21"/>
      <c r="S514" s="3" t="s">
        <v>40</v>
      </c>
      <c r="T514" s="21" t="s">
        <v>41</v>
      </c>
      <c r="U514" s="21"/>
      <c r="V514" s="4" t="s">
        <v>42</v>
      </c>
      <c r="W514" s="4" t="s">
        <v>59</v>
      </c>
      <c r="X514" s="4" t="s">
        <v>131</v>
      </c>
      <c r="Y514" s="21" t="s">
        <v>56</v>
      </c>
      <c r="Z514" s="21"/>
      <c r="AA514" s="4" t="s">
        <v>46</v>
      </c>
      <c r="AB514" s="4" t="s">
        <v>47</v>
      </c>
      <c r="AC514" s="4" t="s">
        <v>57</v>
      </c>
      <c r="AD514" s="4" t="s">
        <v>449</v>
      </c>
      <c r="AE514" s="4" t="s">
        <v>48</v>
      </c>
      <c r="AF514" s="4" t="s">
        <v>41</v>
      </c>
      <c r="AG514" s="4" t="s">
        <v>986</v>
      </c>
    </row>
    <row r="515" spans="1:33" ht="16.5" customHeight="1" x14ac:dyDescent="0.2">
      <c r="A515" s="2" t="s">
        <v>31</v>
      </c>
      <c r="B515" s="19" t="s">
        <v>50</v>
      </c>
      <c r="C515" s="19"/>
      <c r="D515" s="19"/>
      <c r="E515" s="20" t="s">
        <v>33</v>
      </c>
      <c r="F515" s="20"/>
      <c r="G515" s="21" t="s">
        <v>983</v>
      </c>
      <c r="H515" s="21"/>
      <c r="I515" s="21"/>
      <c r="J515" s="3" t="s">
        <v>35</v>
      </c>
      <c r="K515" s="4" t="s">
        <v>82</v>
      </c>
      <c r="L515" s="4" t="s">
        <v>37</v>
      </c>
      <c r="N515" s="21" t="s">
        <v>1274</v>
      </c>
      <c r="O515" s="21"/>
      <c r="P515" s="21" t="s">
        <v>1275</v>
      </c>
      <c r="Q515" s="21"/>
      <c r="R515" s="21"/>
      <c r="S515" s="3" t="s">
        <v>40</v>
      </c>
      <c r="T515" s="21" t="s">
        <v>41</v>
      </c>
      <c r="U515" s="21"/>
      <c r="V515" s="4" t="s">
        <v>42</v>
      </c>
      <c r="W515" s="4" t="s">
        <v>59</v>
      </c>
      <c r="X515" s="4" t="s">
        <v>131</v>
      </c>
      <c r="Y515" s="21" t="s">
        <v>56</v>
      </c>
      <c r="Z515" s="21"/>
      <c r="AA515" s="4" t="s">
        <v>46</v>
      </c>
      <c r="AB515" s="4" t="s">
        <v>47</v>
      </c>
      <c r="AC515" s="4" t="s">
        <v>57</v>
      </c>
      <c r="AD515" s="4" t="s">
        <v>58</v>
      </c>
      <c r="AE515" s="4" t="s">
        <v>48</v>
      </c>
      <c r="AF515" s="4" t="s">
        <v>41</v>
      </c>
      <c r="AG515" s="4" t="s">
        <v>986</v>
      </c>
    </row>
    <row r="516" spans="1:33" ht="16.5" customHeight="1" x14ac:dyDescent="0.2">
      <c r="A516" s="2" t="s">
        <v>31</v>
      </c>
      <c r="B516" s="19" t="s">
        <v>50</v>
      </c>
      <c r="C516" s="19"/>
      <c r="D516" s="19"/>
      <c r="E516" s="20" t="s">
        <v>33</v>
      </c>
      <c r="F516" s="20"/>
      <c r="G516" s="21" t="s">
        <v>983</v>
      </c>
      <c r="H516" s="21"/>
      <c r="I516" s="21"/>
      <c r="J516" s="3" t="s">
        <v>35</v>
      </c>
      <c r="K516" s="4" t="s">
        <v>661</v>
      </c>
      <c r="L516" s="4" t="s">
        <v>68</v>
      </c>
      <c r="N516" s="21" t="s">
        <v>1276</v>
      </c>
      <c r="O516" s="21"/>
      <c r="P516" s="21" t="s">
        <v>1277</v>
      </c>
      <c r="Q516" s="21"/>
      <c r="R516" s="21"/>
      <c r="S516" s="3" t="s">
        <v>40</v>
      </c>
      <c r="T516" s="21" t="s">
        <v>41</v>
      </c>
      <c r="U516" s="21"/>
      <c r="V516" s="4" t="s">
        <v>42</v>
      </c>
      <c r="W516" s="4" t="s">
        <v>59</v>
      </c>
      <c r="X516" s="4" t="s">
        <v>131</v>
      </c>
      <c r="Y516" s="21" t="s">
        <v>198</v>
      </c>
      <c r="Z516" s="21"/>
      <c r="AA516" s="4" t="s">
        <v>46</v>
      </c>
      <c r="AB516" s="4" t="s">
        <v>47</v>
      </c>
      <c r="AC516" s="4" t="s">
        <v>139</v>
      </c>
      <c r="AD516" s="4" t="s">
        <v>151</v>
      </c>
      <c r="AE516" s="4" t="s">
        <v>48</v>
      </c>
      <c r="AF516" s="4" t="s">
        <v>41</v>
      </c>
      <c r="AG516" s="4" t="s">
        <v>986</v>
      </c>
    </row>
    <row r="517" spans="1:33" ht="16.5" customHeight="1" x14ac:dyDescent="0.2">
      <c r="A517" s="2" t="s">
        <v>31</v>
      </c>
      <c r="B517" s="19" t="s">
        <v>50</v>
      </c>
      <c r="C517" s="19"/>
      <c r="D517" s="19"/>
      <c r="E517" s="20" t="s">
        <v>33</v>
      </c>
      <c r="F517" s="20"/>
      <c r="G517" s="21" t="s">
        <v>983</v>
      </c>
      <c r="H517" s="21"/>
      <c r="I517" s="21"/>
      <c r="J517" s="3" t="s">
        <v>35</v>
      </c>
      <c r="K517" s="4" t="s">
        <v>99</v>
      </c>
      <c r="L517" s="4" t="s">
        <v>37</v>
      </c>
      <c r="N517" s="21" t="s">
        <v>1278</v>
      </c>
      <c r="O517" s="21"/>
      <c r="P517" s="21" t="s">
        <v>1279</v>
      </c>
      <c r="Q517" s="21"/>
      <c r="R517" s="21"/>
      <c r="S517" s="3" t="s">
        <v>40</v>
      </c>
      <c r="T517" s="21" t="s">
        <v>41</v>
      </c>
      <c r="U517" s="21"/>
      <c r="V517" s="4" t="s">
        <v>42</v>
      </c>
      <c r="W517" s="4" t="s">
        <v>286</v>
      </c>
      <c r="X517" s="4" t="s">
        <v>287</v>
      </c>
      <c r="Y517" s="21" t="s">
        <v>56</v>
      </c>
      <c r="Z517" s="21"/>
      <c r="AA517" s="4" t="s">
        <v>46</v>
      </c>
      <c r="AB517" s="4" t="s">
        <v>47</v>
      </c>
      <c r="AC517" s="4" t="s">
        <v>139</v>
      </c>
      <c r="AD517" s="4" t="s">
        <v>140</v>
      </c>
      <c r="AE517" s="4" t="s">
        <v>48</v>
      </c>
      <c r="AF517" s="4" t="s">
        <v>41</v>
      </c>
      <c r="AG517" s="4" t="s">
        <v>986</v>
      </c>
    </row>
    <row r="518" spans="1:33" ht="16.5" customHeight="1" x14ac:dyDescent="0.2">
      <c r="A518" s="2" t="s">
        <v>31</v>
      </c>
      <c r="B518" s="19" t="s">
        <v>110</v>
      </c>
      <c r="C518" s="19"/>
      <c r="D518" s="19"/>
      <c r="E518" s="20" t="s">
        <v>33</v>
      </c>
      <c r="F518" s="20"/>
      <c r="G518" s="21" t="s">
        <v>983</v>
      </c>
      <c r="H518" s="21"/>
      <c r="I518" s="21"/>
      <c r="J518" s="3" t="s">
        <v>35</v>
      </c>
      <c r="K518" s="4" t="s">
        <v>394</v>
      </c>
      <c r="N518" s="21" t="s">
        <v>1280</v>
      </c>
      <c r="O518" s="21"/>
      <c r="P518" s="21" t="s">
        <v>985</v>
      </c>
      <c r="Q518" s="21"/>
      <c r="R518" s="21"/>
      <c r="S518" s="3" t="s">
        <v>40</v>
      </c>
      <c r="T518" s="21" t="s">
        <v>1281</v>
      </c>
      <c r="U518" s="21"/>
      <c r="V518" s="4" t="s">
        <v>59</v>
      </c>
      <c r="W518" s="4" t="s">
        <v>108</v>
      </c>
      <c r="X518" s="4" t="s">
        <v>382</v>
      </c>
      <c r="Y518" s="21" t="s">
        <v>398</v>
      </c>
      <c r="Z518" s="21"/>
      <c r="AA518" s="4" t="s">
        <v>46</v>
      </c>
      <c r="AB518" s="4" t="s">
        <v>117</v>
      </c>
      <c r="AC518" s="4" t="s">
        <v>399</v>
      </c>
      <c r="AD518" s="4" t="s">
        <v>1282</v>
      </c>
      <c r="AE518" s="4" t="s">
        <v>48</v>
      </c>
      <c r="AF518" s="4" t="s">
        <v>41</v>
      </c>
      <c r="AG518" s="4" t="s">
        <v>986</v>
      </c>
    </row>
    <row r="519" spans="1:33" ht="16.5" customHeight="1" x14ac:dyDescent="0.2">
      <c r="A519" s="2" t="s">
        <v>31</v>
      </c>
      <c r="B519" s="19" t="s">
        <v>32</v>
      </c>
      <c r="C519" s="19"/>
      <c r="D519" s="19"/>
      <c r="E519" s="20" t="s">
        <v>33</v>
      </c>
      <c r="F519" s="20"/>
      <c r="G519" s="21" t="s">
        <v>1283</v>
      </c>
      <c r="H519" s="21"/>
      <c r="I519" s="21"/>
      <c r="J519" s="3" t="s">
        <v>35</v>
      </c>
      <c r="K519" s="4" t="s">
        <v>646</v>
      </c>
      <c r="L519" s="4" t="s">
        <v>37</v>
      </c>
      <c r="N519" s="21" t="s">
        <v>1284</v>
      </c>
      <c r="O519" s="21"/>
      <c r="P519" s="21" t="s">
        <v>1285</v>
      </c>
      <c r="Q519" s="21"/>
      <c r="R519" s="21"/>
      <c r="S519" s="3" t="s">
        <v>40</v>
      </c>
      <c r="T519" s="21" t="s">
        <v>41</v>
      </c>
      <c r="U519" s="21"/>
      <c r="V519" s="4" t="s">
        <v>42</v>
      </c>
      <c r="W519" s="4" t="s">
        <v>108</v>
      </c>
      <c r="X519" s="4" t="s">
        <v>109</v>
      </c>
      <c r="Y519" s="21" t="s">
        <v>45</v>
      </c>
      <c r="Z519" s="21"/>
      <c r="AA519" s="4" t="s">
        <v>46</v>
      </c>
      <c r="AB519" s="4" t="s">
        <v>47</v>
      </c>
      <c r="AD519" s="4" t="s">
        <v>41</v>
      </c>
      <c r="AE519" s="4" t="s">
        <v>48</v>
      </c>
      <c r="AF519" s="4" t="s">
        <v>41</v>
      </c>
      <c r="AG519" s="4" t="s">
        <v>1286</v>
      </c>
    </row>
    <row r="520" spans="1:33" ht="16.5" customHeight="1" x14ac:dyDescent="0.2">
      <c r="A520" s="2" t="s">
        <v>31</v>
      </c>
      <c r="B520" s="19" t="s">
        <v>32</v>
      </c>
      <c r="C520" s="19"/>
      <c r="D520" s="19"/>
      <c r="E520" s="20" t="s">
        <v>33</v>
      </c>
      <c r="F520" s="20"/>
      <c r="G520" s="21" t="s">
        <v>1283</v>
      </c>
      <c r="H520" s="21"/>
      <c r="I520" s="21"/>
      <c r="J520" s="3" t="s">
        <v>35</v>
      </c>
      <c r="K520" s="4" t="s">
        <v>646</v>
      </c>
      <c r="L520" s="4" t="s">
        <v>37</v>
      </c>
      <c r="N520" s="21" t="s">
        <v>1287</v>
      </c>
      <c r="O520" s="21"/>
      <c r="P520" s="21" t="s">
        <v>1288</v>
      </c>
      <c r="Q520" s="21"/>
      <c r="R520" s="21"/>
      <c r="S520" s="3" t="s">
        <v>40</v>
      </c>
      <c r="T520" s="21" t="s">
        <v>41</v>
      </c>
      <c r="U520" s="21"/>
      <c r="V520" s="4" t="s">
        <v>42</v>
      </c>
      <c r="W520" s="4" t="s">
        <v>130</v>
      </c>
      <c r="X520" s="4" t="s">
        <v>60</v>
      </c>
      <c r="Y520" s="21" t="s">
        <v>1289</v>
      </c>
      <c r="Z520" s="21"/>
      <c r="AA520" s="4" t="s">
        <v>46</v>
      </c>
      <c r="AB520" s="4" t="s">
        <v>47</v>
      </c>
      <c r="AD520" s="4" t="s">
        <v>41</v>
      </c>
      <c r="AE520" s="4" t="s">
        <v>48</v>
      </c>
      <c r="AF520" s="4" t="s">
        <v>41</v>
      </c>
      <c r="AG520" s="4" t="s">
        <v>1286</v>
      </c>
    </row>
    <row r="521" spans="1:33" ht="16.5" customHeight="1" x14ac:dyDescent="0.2">
      <c r="A521" s="2" t="s">
        <v>31</v>
      </c>
      <c r="B521" s="19" t="s">
        <v>1290</v>
      </c>
      <c r="C521" s="19"/>
      <c r="D521" s="19"/>
      <c r="E521" s="20" t="s">
        <v>33</v>
      </c>
      <c r="F521" s="20"/>
      <c r="G521" s="21" t="s">
        <v>1283</v>
      </c>
      <c r="H521" s="21"/>
      <c r="I521" s="21"/>
      <c r="J521" s="3" t="s">
        <v>35</v>
      </c>
      <c r="K521" s="4" t="s">
        <v>646</v>
      </c>
      <c r="L521" s="4" t="s">
        <v>37</v>
      </c>
      <c r="N521" s="21" t="s">
        <v>1287</v>
      </c>
      <c r="O521" s="21"/>
      <c r="P521" s="21" t="s">
        <v>1288</v>
      </c>
      <c r="Q521" s="21"/>
      <c r="R521" s="21"/>
      <c r="S521" s="3" t="s">
        <v>40</v>
      </c>
      <c r="T521" s="21" t="s">
        <v>41</v>
      </c>
      <c r="U521" s="21"/>
      <c r="V521" s="4" t="s">
        <v>59</v>
      </c>
      <c r="W521" s="4" t="s">
        <v>130</v>
      </c>
      <c r="X521" s="4" t="s">
        <v>131</v>
      </c>
      <c r="Y521" s="21" t="s">
        <v>1289</v>
      </c>
      <c r="Z521" s="21"/>
      <c r="AA521" s="4" t="s">
        <v>46</v>
      </c>
      <c r="AB521" s="4" t="s">
        <v>47</v>
      </c>
      <c r="AD521" s="4" t="s">
        <v>1291</v>
      </c>
      <c r="AE521" s="4" t="s">
        <v>48</v>
      </c>
      <c r="AF521" s="4" t="s">
        <v>41</v>
      </c>
      <c r="AG521" s="4" t="s">
        <v>1286</v>
      </c>
    </row>
    <row r="522" spans="1:33" ht="16.5" customHeight="1" x14ac:dyDescent="0.2">
      <c r="A522" s="2" t="s">
        <v>31</v>
      </c>
      <c r="B522" s="19" t="s">
        <v>32</v>
      </c>
      <c r="C522" s="19"/>
      <c r="D522" s="19"/>
      <c r="E522" s="20" t="s">
        <v>33</v>
      </c>
      <c r="F522" s="20"/>
      <c r="G522" s="21" t="s">
        <v>1283</v>
      </c>
      <c r="H522" s="21"/>
      <c r="I522" s="21"/>
      <c r="J522" s="3" t="s">
        <v>35</v>
      </c>
      <c r="K522" s="4" t="s">
        <v>665</v>
      </c>
      <c r="L522" s="4" t="s">
        <v>37</v>
      </c>
      <c r="N522" s="21" t="s">
        <v>1292</v>
      </c>
      <c r="O522" s="21"/>
      <c r="P522" s="21" t="s">
        <v>1293</v>
      </c>
      <c r="Q522" s="21"/>
      <c r="R522" s="21"/>
      <c r="S522" s="3" t="s">
        <v>40</v>
      </c>
      <c r="T522" s="21" t="s">
        <v>668</v>
      </c>
      <c r="U522" s="21"/>
      <c r="V522" s="4" t="s">
        <v>59</v>
      </c>
      <c r="W522" s="4" t="s">
        <v>108</v>
      </c>
      <c r="X522" s="4" t="s">
        <v>382</v>
      </c>
      <c r="Y522" s="21" t="s">
        <v>669</v>
      </c>
      <c r="Z522" s="21"/>
      <c r="AA522" s="4" t="s">
        <v>46</v>
      </c>
      <c r="AB522" s="4" t="s">
        <v>47</v>
      </c>
      <c r="AD522" s="4" t="s">
        <v>41</v>
      </c>
      <c r="AE522" s="4" t="s">
        <v>48</v>
      </c>
      <c r="AF522" s="4" t="s">
        <v>41</v>
      </c>
      <c r="AG522" s="4" t="s">
        <v>1286</v>
      </c>
    </row>
    <row r="523" spans="1:33" ht="16.5" customHeight="1" x14ac:dyDescent="0.2">
      <c r="A523" s="2" t="s">
        <v>31</v>
      </c>
      <c r="B523" s="19" t="s">
        <v>50</v>
      </c>
      <c r="C523" s="19"/>
      <c r="D523" s="19"/>
      <c r="E523" s="20" t="s">
        <v>33</v>
      </c>
      <c r="F523" s="20"/>
      <c r="G523" s="21" t="s">
        <v>1283</v>
      </c>
      <c r="H523" s="21"/>
      <c r="I523" s="21"/>
      <c r="J523" s="3" t="s">
        <v>35</v>
      </c>
      <c r="K523" s="4" t="s">
        <v>74</v>
      </c>
      <c r="L523" s="4" t="s">
        <v>37</v>
      </c>
      <c r="N523" s="21" t="s">
        <v>1294</v>
      </c>
      <c r="O523" s="21"/>
      <c r="P523" s="21" t="s">
        <v>1295</v>
      </c>
      <c r="Q523" s="21"/>
      <c r="R523" s="21"/>
      <c r="S523" s="3" t="s">
        <v>40</v>
      </c>
      <c r="T523" s="21" t="s">
        <v>41</v>
      </c>
      <c r="U523" s="21"/>
      <c r="V523" s="4" t="s">
        <v>59</v>
      </c>
      <c r="W523" s="4" t="s">
        <v>573</v>
      </c>
      <c r="X523" s="4" t="s">
        <v>766</v>
      </c>
      <c r="Y523" s="21" t="s">
        <v>65</v>
      </c>
      <c r="Z523" s="21"/>
      <c r="AA523" s="4" t="s">
        <v>46</v>
      </c>
      <c r="AB523" s="4" t="s">
        <v>47</v>
      </c>
      <c r="AC523" s="4" t="s">
        <v>81</v>
      </c>
      <c r="AD523" s="4" t="s">
        <v>41</v>
      </c>
      <c r="AE523" s="4" t="s">
        <v>48</v>
      </c>
      <c r="AF523" s="4" t="s">
        <v>41</v>
      </c>
      <c r="AG523" s="4" t="s">
        <v>1286</v>
      </c>
    </row>
    <row r="524" spans="1:33" ht="16.5" customHeight="1" x14ac:dyDescent="0.2">
      <c r="A524" s="2" t="s">
        <v>31</v>
      </c>
      <c r="B524" s="19" t="s">
        <v>50</v>
      </c>
      <c r="C524" s="19"/>
      <c r="D524" s="19"/>
      <c r="E524" s="20" t="s">
        <v>33</v>
      </c>
      <c r="F524" s="20"/>
      <c r="G524" s="21" t="s">
        <v>1283</v>
      </c>
      <c r="H524" s="21"/>
      <c r="I524" s="21"/>
      <c r="J524" s="3" t="s">
        <v>35</v>
      </c>
      <c r="K524" s="4" t="s">
        <v>661</v>
      </c>
      <c r="L524" s="4" t="s">
        <v>37</v>
      </c>
      <c r="N524" s="21" t="s">
        <v>1296</v>
      </c>
      <c r="O524" s="21"/>
      <c r="P524" s="21" t="s">
        <v>1297</v>
      </c>
      <c r="Q524" s="21"/>
      <c r="R524" s="21"/>
      <c r="S524" s="3" t="s">
        <v>40</v>
      </c>
      <c r="T524" s="21" t="s">
        <v>41</v>
      </c>
      <c r="U524" s="21"/>
      <c r="V524" s="4" t="s">
        <v>42</v>
      </c>
      <c r="W524" s="4" t="s">
        <v>54</v>
      </c>
      <c r="X524" s="4" t="s">
        <v>55</v>
      </c>
      <c r="Y524" s="21" t="s">
        <v>198</v>
      </c>
      <c r="Z524" s="21"/>
      <c r="AA524" s="4" t="s">
        <v>46</v>
      </c>
      <c r="AB524" s="4" t="s">
        <v>47</v>
      </c>
      <c r="AC524" s="4" t="s">
        <v>139</v>
      </c>
      <c r="AD524" s="4" t="s">
        <v>140</v>
      </c>
      <c r="AE524" s="4" t="s">
        <v>48</v>
      </c>
      <c r="AF524" s="4" t="s">
        <v>41</v>
      </c>
      <c r="AG524" s="4" t="s">
        <v>1286</v>
      </c>
    </row>
    <row r="525" spans="1:33" ht="16.5" customHeight="1" x14ac:dyDescent="0.2">
      <c r="A525" s="2" t="s">
        <v>31</v>
      </c>
      <c r="B525" s="19" t="s">
        <v>110</v>
      </c>
      <c r="C525" s="19"/>
      <c r="D525" s="19"/>
      <c r="E525" s="20" t="s">
        <v>33</v>
      </c>
      <c r="F525" s="20"/>
      <c r="G525" s="21" t="s">
        <v>1283</v>
      </c>
      <c r="H525" s="21"/>
      <c r="I525" s="21"/>
      <c r="J525" s="3" t="s">
        <v>35</v>
      </c>
      <c r="K525" s="4" t="s">
        <v>937</v>
      </c>
      <c r="N525" s="21" t="s">
        <v>1298</v>
      </c>
      <c r="O525" s="21"/>
      <c r="P525" s="21" t="s">
        <v>1293</v>
      </c>
      <c r="Q525" s="21"/>
      <c r="R525" s="21"/>
      <c r="S525" s="3" t="s">
        <v>40</v>
      </c>
      <c r="T525" s="21" t="s">
        <v>1299</v>
      </c>
      <c r="U525" s="21"/>
      <c r="V525" s="4" t="s">
        <v>42</v>
      </c>
      <c r="W525" s="4" t="s">
        <v>108</v>
      </c>
      <c r="X525" s="4" t="s">
        <v>109</v>
      </c>
      <c r="Y525" s="21" t="s">
        <v>398</v>
      </c>
      <c r="Z525" s="21"/>
      <c r="AA525" s="4" t="s">
        <v>46</v>
      </c>
      <c r="AB525" s="4" t="s">
        <v>117</v>
      </c>
      <c r="AC525" s="4" t="s">
        <v>399</v>
      </c>
      <c r="AD525" s="4" t="s">
        <v>1300</v>
      </c>
      <c r="AE525" s="4" t="s">
        <v>48</v>
      </c>
      <c r="AF525" s="4" t="s">
        <v>41</v>
      </c>
      <c r="AG525" s="4" t="s">
        <v>1286</v>
      </c>
    </row>
    <row r="526" spans="1:33" ht="16.5" customHeight="1" x14ac:dyDescent="0.2">
      <c r="A526" s="2" t="s">
        <v>31</v>
      </c>
      <c r="B526" s="19" t="s">
        <v>110</v>
      </c>
      <c r="C526" s="19"/>
      <c r="D526" s="19"/>
      <c r="E526" s="20" t="s">
        <v>33</v>
      </c>
      <c r="F526" s="20"/>
      <c r="G526" s="21" t="s">
        <v>1283</v>
      </c>
      <c r="H526" s="21"/>
      <c r="I526" s="21"/>
      <c r="J526" s="3" t="s">
        <v>35</v>
      </c>
      <c r="K526" s="4" t="s">
        <v>1301</v>
      </c>
      <c r="N526" s="21" t="s">
        <v>1302</v>
      </c>
      <c r="O526" s="21"/>
      <c r="P526" s="21" t="s">
        <v>1303</v>
      </c>
      <c r="Q526" s="21"/>
      <c r="R526" s="21"/>
      <c r="S526" s="3" t="s">
        <v>40</v>
      </c>
      <c r="T526" s="21" t="s">
        <v>1304</v>
      </c>
      <c r="U526" s="21"/>
      <c r="V526" s="4" t="s">
        <v>59</v>
      </c>
      <c r="W526" s="4" t="s">
        <v>54</v>
      </c>
      <c r="X526" s="4" t="s">
        <v>60</v>
      </c>
      <c r="Y526" s="21" t="s">
        <v>980</v>
      </c>
      <c r="Z526" s="21"/>
      <c r="AA526" s="4" t="s">
        <v>46</v>
      </c>
      <c r="AB526" s="4" t="s">
        <v>117</v>
      </c>
      <c r="AC526" s="4" t="s">
        <v>1305</v>
      </c>
      <c r="AD526" s="4" t="s">
        <v>1306</v>
      </c>
      <c r="AE526" s="4" t="s">
        <v>48</v>
      </c>
      <c r="AF526" s="4" t="s">
        <v>41</v>
      </c>
      <c r="AG526" s="4" t="s">
        <v>1286</v>
      </c>
    </row>
    <row r="527" spans="1:33" ht="16.5" customHeight="1" x14ac:dyDescent="0.2">
      <c r="A527" s="2" t="s">
        <v>31</v>
      </c>
      <c r="B527" s="19" t="s">
        <v>110</v>
      </c>
      <c r="C527" s="19"/>
      <c r="D527" s="19"/>
      <c r="E527" s="20" t="s">
        <v>33</v>
      </c>
      <c r="F527" s="20"/>
      <c r="G527" s="21" t="s">
        <v>1283</v>
      </c>
      <c r="H527" s="21"/>
      <c r="I527" s="21"/>
      <c r="J527" s="3" t="s">
        <v>35</v>
      </c>
      <c r="K527" s="4" t="s">
        <v>976</v>
      </c>
      <c r="N527" s="21" t="s">
        <v>1307</v>
      </c>
      <c r="O527" s="21"/>
      <c r="P527" s="21" t="s">
        <v>1308</v>
      </c>
      <c r="Q527" s="21"/>
      <c r="R527" s="21"/>
      <c r="S527" s="3" t="s">
        <v>40</v>
      </c>
      <c r="T527" s="21" t="s">
        <v>1309</v>
      </c>
      <c r="U527" s="21"/>
      <c r="V527" s="4" t="s">
        <v>42</v>
      </c>
      <c r="W527" s="4" t="s">
        <v>54</v>
      </c>
      <c r="X527" s="4" t="s">
        <v>55</v>
      </c>
      <c r="Y527" s="21" t="s">
        <v>980</v>
      </c>
      <c r="Z527" s="21"/>
      <c r="AA527" s="4" t="s">
        <v>46</v>
      </c>
      <c r="AB527" s="4" t="s">
        <v>117</v>
      </c>
      <c r="AC527" s="4" t="s">
        <v>1305</v>
      </c>
      <c r="AD527" s="4" t="s">
        <v>1310</v>
      </c>
      <c r="AE527" s="4" t="s">
        <v>48</v>
      </c>
      <c r="AF527" s="4" t="s">
        <v>41</v>
      </c>
      <c r="AG527" s="4" t="s">
        <v>1286</v>
      </c>
    </row>
    <row r="528" spans="1:33" ht="16.5" customHeight="1" x14ac:dyDescent="0.2">
      <c r="A528" s="2" t="s">
        <v>31</v>
      </c>
      <c r="B528" s="19" t="s">
        <v>110</v>
      </c>
      <c r="C528" s="19"/>
      <c r="D528" s="19"/>
      <c r="E528" s="20" t="s">
        <v>33</v>
      </c>
      <c r="F528" s="20"/>
      <c r="G528" s="21" t="s">
        <v>1283</v>
      </c>
      <c r="H528" s="21"/>
      <c r="I528" s="21"/>
      <c r="J528" s="3" t="s">
        <v>35</v>
      </c>
      <c r="K528" s="4" t="s">
        <v>976</v>
      </c>
      <c r="N528" s="21" t="s">
        <v>1307</v>
      </c>
      <c r="O528" s="21"/>
      <c r="P528" s="21" t="s">
        <v>1308</v>
      </c>
      <c r="Q528" s="21"/>
      <c r="R528" s="21"/>
      <c r="S528" s="3" t="s">
        <v>40</v>
      </c>
      <c r="T528" s="21" t="s">
        <v>1309</v>
      </c>
      <c r="U528" s="21"/>
      <c r="V528" s="4" t="s">
        <v>59</v>
      </c>
      <c r="W528" s="4" t="s">
        <v>54</v>
      </c>
      <c r="X528" s="4" t="s">
        <v>60</v>
      </c>
      <c r="Y528" s="21" t="s">
        <v>980</v>
      </c>
      <c r="Z528" s="21"/>
      <c r="AA528" s="4" t="s">
        <v>46</v>
      </c>
      <c r="AB528" s="4" t="s">
        <v>117</v>
      </c>
      <c r="AC528" s="4" t="s">
        <v>1305</v>
      </c>
      <c r="AD528" s="4" t="s">
        <v>1310</v>
      </c>
      <c r="AE528" s="4" t="s">
        <v>48</v>
      </c>
      <c r="AF528" s="4" t="s">
        <v>41</v>
      </c>
      <c r="AG528" s="4" t="s">
        <v>1286</v>
      </c>
    </row>
    <row r="529" spans="1:33" ht="16.5" customHeight="1" x14ac:dyDescent="0.2">
      <c r="A529" s="2" t="s">
        <v>31</v>
      </c>
      <c r="B529" s="19" t="s">
        <v>110</v>
      </c>
      <c r="C529" s="19"/>
      <c r="D529" s="19"/>
      <c r="E529" s="20" t="s">
        <v>33</v>
      </c>
      <c r="F529" s="20"/>
      <c r="G529" s="21" t="s">
        <v>1283</v>
      </c>
      <c r="H529" s="21"/>
      <c r="I529" s="21"/>
      <c r="J529" s="3" t="s">
        <v>35</v>
      </c>
      <c r="K529" s="4" t="s">
        <v>976</v>
      </c>
      <c r="N529" s="21" t="s">
        <v>1311</v>
      </c>
      <c r="O529" s="21"/>
      <c r="P529" s="21" t="s">
        <v>1312</v>
      </c>
      <c r="Q529" s="21"/>
      <c r="R529" s="21"/>
      <c r="S529" s="3" t="s">
        <v>40</v>
      </c>
      <c r="T529" s="21" t="s">
        <v>1313</v>
      </c>
      <c r="U529" s="21"/>
      <c r="V529" s="4" t="s">
        <v>42</v>
      </c>
      <c r="W529" s="4" t="s">
        <v>54</v>
      </c>
      <c r="X529" s="4" t="s">
        <v>55</v>
      </c>
      <c r="Y529" s="21" t="s">
        <v>980</v>
      </c>
      <c r="Z529" s="21"/>
      <c r="AA529" s="4" t="s">
        <v>46</v>
      </c>
      <c r="AB529" s="4" t="s">
        <v>117</v>
      </c>
      <c r="AC529" s="4" t="s">
        <v>1305</v>
      </c>
      <c r="AD529" s="4" t="s">
        <v>1314</v>
      </c>
      <c r="AE529" s="4" t="s">
        <v>48</v>
      </c>
      <c r="AF529" s="4" t="s">
        <v>41</v>
      </c>
      <c r="AG529" s="4" t="s">
        <v>1286</v>
      </c>
    </row>
    <row r="530" spans="1:33" ht="16.5" customHeight="1" x14ac:dyDescent="0.2">
      <c r="A530" s="2" t="s">
        <v>31</v>
      </c>
      <c r="B530" s="19" t="s">
        <v>110</v>
      </c>
      <c r="C530" s="19"/>
      <c r="D530" s="19"/>
      <c r="E530" s="20" t="s">
        <v>33</v>
      </c>
      <c r="F530" s="20"/>
      <c r="G530" s="21" t="s">
        <v>1283</v>
      </c>
      <c r="H530" s="21"/>
      <c r="I530" s="21"/>
      <c r="J530" s="3" t="s">
        <v>35</v>
      </c>
      <c r="K530" s="4" t="s">
        <v>976</v>
      </c>
      <c r="N530" s="21" t="s">
        <v>1311</v>
      </c>
      <c r="O530" s="21"/>
      <c r="P530" s="21" t="s">
        <v>1312</v>
      </c>
      <c r="Q530" s="21"/>
      <c r="R530" s="21"/>
      <c r="S530" s="3" t="s">
        <v>40</v>
      </c>
      <c r="T530" s="21" t="s">
        <v>1313</v>
      </c>
      <c r="U530" s="21"/>
      <c r="V530" s="4" t="s">
        <v>59</v>
      </c>
      <c r="W530" s="4" t="s">
        <v>54</v>
      </c>
      <c r="X530" s="4" t="s">
        <v>60</v>
      </c>
      <c r="Y530" s="21" t="s">
        <v>980</v>
      </c>
      <c r="Z530" s="21"/>
      <c r="AA530" s="4" t="s">
        <v>46</v>
      </c>
      <c r="AB530" s="4" t="s">
        <v>117</v>
      </c>
      <c r="AC530" s="4" t="s">
        <v>1305</v>
      </c>
      <c r="AD530" s="4" t="s">
        <v>1314</v>
      </c>
      <c r="AE530" s="4" t="s">
        <v>48</v>
      </c>
      <c r="AF530" s="4" t="s">
        <v>41</v>
      </c>
      <c r="AG530" s="4" t="s">
        <v>1286</v>
      </c>
    </row>
    <row r="531" spans="1:33" ht="16.5" customHeight="1" x14ac:dyDescent="0.2">
      <c r="A531" s="2" t="s">
        <v>31</v>
      </c>
      <c r="B531" s="19" t="s">
        <v>110</v>
      </c>
      <c r="C531" s="19"/>
      <c r="D531" s="19"/>
      <c r="E531" s="20" t="s">
        <v>33</v>
      </c>
      <c r="F531" s="20"/>
      <c r="G531" s="21" t="s">
        <v>1283</v>
      </c>
      <c r="H531" s="21"/>
      <c r="I531" s="21"/>
      <c r="J531" s="3" t="s">
        <v>35</v>
      </c>
      <c r="K531" s="4" t="s">
        <v>1301</v>
      </c>
      <c r="N531" s="21" t="s">
        <v>1315</v>
      </c>
      <c r="O531" s="21"/>
      <c r="P531" s="21" t="s">
        <v>1316</v>
      </c>
      <c r="Q531" s="21"/>
      <c r="R531" s="21"/>
      <c r="S531" s="3" t="s">
        <v>40</v>
      </c>
      <c r="T531" s="21" t="s">
        <v>1317</v>
      </c>
      <c r="U531" s="21"/>
      <c r="V531" s="4" t="s">
        <v>59</v>
      </c>
      <c r="W531" s="4" t="s">
        <v>54</v>
      </c>
      <c r="X531" s="4" t="s">
        <v>60</v>
      </c>
      <c r="Y531" s="21" t="s">
        <v>980</v>
      </c>
      <c r="Z531" s="21"/>
      <c r="AA531" s="4" t="s">
        <v>46</v>
      </c>
      <c r="AB531" s="4" t="s">
        <v>117</v>
      </c>
      <c r="AC531" s="4" t="s">
        <v>1305</v>
      </c>
      <c r="AD531" s="4" t="s">
        <v>1318</v>
      </c>
      <c r="AE531" s="4" t="s">
        <v>48</v>
      </c>
      <c r="AF531" s="4" t="s">
        <v>41</v>
      </c>
      <c r="AG531" s="4" t="s">
        <v>1286</v>
      </c>
    </row>
    <row r="532" spans="1:33" ht="16.5" customHeight="1" x14ac:dyDescent="0.2">
      <c r="A532" s="2" t="s">
        <v>31</v>
      </c>
      <c r="B532" s="19" t="s">
        <v>110</v>
      </c>
      <c r="C532" s="19"/>
      <c r="D532" s="19"/>
      <c r="E532" s="20" t="s">
        <v>33</v>
      </c>
      <c r="F532" s="20"/>
      <c r="G532" s="21" t="s">
        <v>1283</v>
      </c>
      <c r="H532" s="21"/>
      <c r="I532" s="21"/>
      <c r="J532" s="3" t="s">
        <v>35</v>
      </c>
      <c r="K532" s="4" t="s">
        <v>394</v>
      </c>
      <c r="N532" s="21" t="s">
        <v>1319</v>
      </c>
      <c r="O532" s="21"/>
      <c r="P532" s="21" t="s">
        <v>1320</v>
      </c>
      <c r="Q532" s="21"/>
      <c r="R532" s="21"/>
      <c r="S532" s="3" t="s">
        <v>40</v>
      </c>
      <c r="T532" s="21" t="s">
        <v>1321</v>
      </c>
      <c r="U532" s="21"/>
      <c r="V532" s="4" t="s">
        <v>59</v>
      </c>
      <c r="W532" s="4" t="s">
        <v>54</v>
      </c>
      <c r="X532" s="4" t="s">
        <v>60</v>
      </c>
      <c r="Y532" s="21" t="s">
        <v>398</v>
      </c>
      <c r="Z532" s="21"/>
      <c r="AA532" s="4" t="s">
        <v>46</v>
      </c>
      <c r="AB532" s="4" t="s">
        <v>117</v>
      </c>
      <c r="AC532" s="4" t="s">
        <v>399</v>
      </c>
      <c r="AD532" s="4" t="s">
        <v>1322</v>
      </c>
      <c r="AE532" s="4" t="s">
        <v>48</v>
      </c>
      <c r="AF532" s="4" t="s">
        <v>41</v>
      </c>
      <c r="AG532" s="4" t="s">
        <v>1286</v>
      </c>
    </row>
    <row r="533" spans="1:33" ht="16.5" customHeight="1" x14ac:dyDescent="0.2">
      <c r="A533" s="2" t="s">
        <v>31</v>
      </c>
      <c r="B533" s="19" t="s">
        <v>110</v>
      </c>
      <c r="C533" s="19"/>
      <c r="D533" s="19"/>
      <c r="E533" s="20" t="s">
        <v>33</v>
      </c>
      <c r="F533" s="20"/>
      <c r="G533" s="21" t="s">
        <v>1283</v>
      </c>
      <c r="H533" s="21"/>
      <c r="I533" s="21"/>
      <c r="J533" s="3" t="s">
        <v>35</v>
      </c>
      <c r="K533" s="4" t="s">
        <v>955</v>
      </c>
      <c r="N533" s="21" t="s">
        <v>1323</v>
      </c>
      <c r="O533" s="21"/>
      <c r="P533" s="21" t="s">
        <v>1324</v>
      </c>
      <c r="Q533" s="21"/>
      <c r="R533" s="21"/>
      <c r="S533" s="3" t="s">
        <v>40</v>
      </c>
      <c r="T533" s="21" t="s">
        <v>1325</v>
      </c>
      <c r="U533" s="21"/>
      <c r="V533" s="4" t="s">
        <v>59</v>
      </c>
      <c r="W533" s="4" t="s">
        <v>54</v>
      </c>
      <c r="X533" s="4" t="s">
        <v>60</v>
      </c>
      <c r="Y533" s="21" t="s">
        <v>980</v>
      </c>
      <c r="Z533" s="21"/>
      <c r="AA533" s="4" t="s">
        <v>46</v>
      </c>
      <c r="AB533" s="4" t="s">
        <v>117</v>
      </c>
      <c r="AC533" s="4" t="s">
        <v>1305</v>
      </c>
      <c r="AD533" s="4" t="s">
        <v>1326</v>
      </c>
      <c r="AE533" s="4" t="s">
        <v>48</v>
      </c>
      <c r="AF533" s="4" t="s">
        <v>41</v>
      </c>
      <c r="AG533" s="4" t="s">
        <v>1286</v>
      </c>
    </row>
    <row r="534" spans="1:33" ht="16.5" customHeight="1" x14ac:dyDescent="0.2">
      <c r="A534" s="2" t="s">
        <v>31</v>
      </c>
      <c r="B534" s="19" t="s">
        <v>50</v>
      </c>
      <c r="C534" s="19"/>
      <c r="D534" s="19"/>
      <c r="E534" s="20" t="s">
        <v>33</v>
      </c>
      <c r="F534" s="20"/>
      <c r="G534" s="21" t="s">
        <v>1327</v>
      </c>
      <c r="H534" s="21"/>
      <c r="I534" s="21"/>
      <c r="J534" s="3" t="s">
        <v>35</v>
      </c>
      <c r="K534" s="4" t="s">
        <v>152</v>
      </c>
      <c r="L534" s="4" t="s">
        <v>68</v>
      </c>
      <c r="N534" s="21" t="s">
        <v>1328</v>
      </c>
      <c r="O534" s="21"/>
      <c r="P534" s="21" t="s">
        <v>1329</v>
      </c>
      <c r="Q534" s="21"/>
      <c r="R534" s="21"/>
      <c r="S534" s="3" t="s">
        <v>40</v>
      </c>
      <c r="T534" s="21" t="s">
        <v>41</v>
      </c>
      <c r="U534" s="21"/>
      <c r="V534" s="4" t="s">
        <v>59</v>
      </c>
      <c r="W534" s="4" t="s">
        <v>213</v>
      </c>
      <c r="X534" s="4" t="s">
        <v>214</v>
      </c>
      <c r="Y534" s="21" t="s">
        <v>56</v>
      </c>
      <c r="Z534" s="21"/>
      <c r="AA534" s="4" t="s">
        <v>46</v>
      </c>
      <c r="AB534" s="4" t="s">
        <v>47</v>
      </c>
      <c r="AC534" s="4" t="s">
        <v>139</v>
      </c>
      <c r="AD534" s="4" t="s">
        <v>151</v>
      </c>
      <c r="AE534" s="4" t="s">
        <v>48</v>
      </c>
      <c r="AF534" s="4" t="s">
        <v>41</v>
      </c>
      <c r="AG534" s="4" t="s">
        <v>1330</v>
      </c>
    </row>
    <row r="535" spans="1:33" ht="16.5" customHeight="1" x14ac:dyDescent="0.2">
      <c r="A535" s="2" t="s">
        <v>31</v>
      </c>
      <c r="B535" s="19" t="s">
        <v>50</v>
      </c>
      <c r="C535" s="19"/>
      <c r="D535" s="19"/>
      <c r="E535" s="20" t="s">
        <v>33</v>
      </c>
      <c r="F535" s="20"/>
      <c r="G535" s="21" t="s">
        <v>1327</v>
      </c>
      <c r="H535" s="21"/>
      <c r="I535" s="21"/>
      <c r="J535" s="3" t="s">
        <v>35</v>
      </c>
      <c r="K535" s="4" t="s">
        <v>99</v>
      </c>
      <c r="L535" s="4" t="s">
        <v>37</v>
      </c>
      <c r="N535" s="21" t="s">
        <v>1331</v>
      </c>
      <c r="O535" s="21"/>
      <c r="P535" s="21" t="s">
        <v>1332</v>
      </c>
      <c r="Q535" s="21"/>
      <c r="R535" s="21"/>
      <c r="S535" s="3" t="s">
        <v>40</v>
      </c>
      <c r="T535" s="21" t="s">
        <v>41</v>
      </c>
      <c r="U535" s="21"/>
      <c r="V535" s="4" t="s">
        <v>42</v>
      </c>
      <c r="W535" s="4" t="s">
        <v>239</v>
      </c>
      <c r="X535" s="4" t="s">
        <v>240</v>
      </c>
      <c r="Y535" s="21" t="s">
        <v>56</v>
      </c>
      <c r="Z535" s="21"/>
      <c r="AA535" s="4" t="s">
        <v>46</v>
      </c>
      <c r="AB535" s="4" t="s">
        <v>47</v>
      </c>
      <c r="AC535" s="4" t="s">
        <v>139</v>
      </c>
      <c r="AD535" s="4" t="s">
        <v>140</v>
      </c>
      <c r="AE535" s="4" t="s">
        <v>48</v>
      </c>
      <c r="AF535" s="4" t="s">
        <v>41</v>
      </c>
      <c r="AG535" s="4" t="s">
        <v>1330</v>
      </c>
    </row>
    <row r="536" spans="1:33" ht="16.5" customHeight="1" x14ac:dyDescent="0.2">
      <c r="A536" s="2" t="s">
        <v>31</v>
      </c>
      <c r="B536" s="19" t="s">
        <v>50</v>
      </c>
      <c r="C536" s="19"/>
      <c r="D536" s="19"/>
      <c r="E536" s="20" t="s">
        <v>33</v>
      </c>
      <c r="F536" s="20"/>
      <c r="G536" s="21" t="s">
        <v>1327</v>
      </c>
      <c r="H536" s="21"/>
      <c r="I536" s="21"/>
      <c r="J536" s="3" t="s">
        <v>35</v>
      </c>
      <c r="K536" s="4" t="s">
        <v>152</v>
      </c>
      <c r="L536" s="4" t="s">
        <v>37</v>
      </c>
      <c r="N536" s="21" t="s">
        <v>1333</v>
      </c>
      <c r="O536" s="21"/>
      <c r="P536" s="21" t="s">
        <v>1334</v>
      </c>
      <c r="Q536" s="21"/>
      <c r="R536" s="21"/>
      <c r="S536" s="3" t="s">
        <v>40</v>
      </c>
      <c r="T536" s="21" t="s">
        <v>41</v>
      </c>
      <c r="U536" s="21"/>
      <c r="V536" s="4" t="s">
        <v>42</v>
      </c>
      <c r="W536" s="4" t="s">
        <v>642</v>
      </c>
      <c r="X536" s="4" t="s">
        <v>643</v>
      </c>
      <c r="Y536" s="21" t="s">
        <v>56</v>
      </c>
      <c r="Z536" s="21"/>
      <c r="AA536" s="4" t="s">
        <v>46</v>
      </c>
      <c r="AB536" s="4" t="s">
        <v>47</v>
      </c>
      <c r="AC536" s="4" t="s">
        <v>139</v>
      </c>
      <c r="AD536" s="4" t="s">
        <v>140</v>
      </c>
      <c r="AE536" s="4" t="s">
        <v>48</v>
      </c>
      <c r="AF536" s="4" t="s">
        <v>41</v>
      </c>
      <c r="AG536" s="4" t="s">
        <v>1330</v>
      </c>
    </row>
    <row r="537" spans="1:33" ht="16.5" customHeight="1" x14ac:dyDescent="0.2">
      <c r="A537" s="2" t="s">
        <v>31</v>
      </c>
      <c r="B537" s="19" t="s">
        <v>50</v>
      </c>
      <c r="C537" s="19"/>
      <c r="D537" s="19"/>
      <c r="E537" s="20" t="s">
        <v>33</v>
      </c>
      <c r="F537" s="20"/>
      <c r="G537" s="21" t="s">
        <v>1327</v>
      </c>
      <c r="H537" s="21"/>
      <c r="I537" s="21"/>
      <c r="J537" s="3" t="s">
        <v>35</v>
      </c>
      <c r="K537" s="4" t="s">
        <v>82</v>
      </c>
      <c r="L537" s="4" t="s">
        <v>37</v>
      </c>
      <c r="N537" s="21" t="s">
        <v>1335</v>
      </c>
      <c r="O537" s="21"/>
      <c r="P537" s="21" t="s">
        <v>1336</v>
      </c>
      <c r="Q537" s="21"/>
      <c r="R537" s="21"/>
      <c r="S537" s="3" t="s">
        <v>40</v>
      </c>
      <c r="T537" s="21" t="s">
        <v>41</v>
      </c>
      <c r="U537" s="21"/>
      <c r="V537" s="4" t="s">
        <v>42</v>
      </c>
      <c r="W537" s="4" t="s">
        <v>182</v>
      </c>
      <c r="X537" s="4" t="s">
        <v>294</v>
      </c>
      <c r="Y537" s="21" t="s">
        <v>56</v>
      </c>
      <c r="Z537" s="21"/>
      <c r="AA537" s="4" t="s">
        <v>46</v>
      </c>
      <c r="AB537" s="4" t="s">
        <v>47</v>
      </c>
      <c r="AC537" s="4" t="s">
        <v>57</v>
      </c>
      <c r="AD537" s="4" t="s">
        <v>58</v>
      </c>
      <c r="AE537" s="4" t="s">
        <v>48</v>
      </c>
      <c r="AF537" s="4" t="s">
        <v>41</v>
      </c>
      <c r="AG537" s="4" t="s">
        <v>1330</v>
      </c>
    </row>
    <row r="538" spans="1:33" ht="16.5" customHeight="1" x14ac:dyDescent="0.2">
      <c r="A538" s="2" t="s">
        <v>31</v>
      </c>
      <c r="B538" s="19" t="s">
        <v>50</v>
      </c>
      <c r="C538" s="19"/>
      <c r="D538" s="19"/>
      <c r="E538" s="20" t="s">
        <v>33</v>
      </c>
      <c r="F538" s="20"/>
      <c r="G538" s="21" t="s">
        <v>1327</v>
      </c>
      <c r="H538" s="21"/>
      <c r="I538" s="21"/>
      <c r="J538" s="3" t="s">
        <v>35</v>
      </c>
      <c r="K538" s="4" t="s">
        <v>99</v>
      </c>
      <c r="L538" s="4" t="s">
        <v>37</v>
      </c>
      <c r="N538" s="21" t="s">
        <v>1337</v>
      </c>
      <c r="O538" s="21"/>
      <c r="P538" s="21" t="s">
        <v>1338</v>
      </c>
      <c r="Q538" s="21"/>
      <c r="R538" s="21"/>
      <c r="S538" s="3" t="s">
        <v>40</v>
      </c>
      <c r="T538" s="21" t="s">
        <v>41</v>
      </c>
      <c r="U538" s="21"/>
      <c r="V538" s="4" t="s">
        <v>42</v>
      </c>
      <c r="W538" s="4" t="s">
        <v>1103</v>
      </c>
      <c r="X538" s="4" t="s">
        <v>1104</v>
      </c>
      <c r="Y538" s="21" t="s">
        <v>56</v>
      </c>
      <c r="Z538" s="21"/>
      <c r="AA538" s="4" t="s">
        <v>46</v>
      </c>
      <c r="AB538" s="4" t="s">
        <v>47</v>
      </c>
      <c r="AC538" s="4" t="s">
        <v>139</v>
      </c>
      <c r="AD538" s="4" t="s">
        <v>140</v>
      </c>
      <c r="AE538" s="4" t="s">
        <v>48</v>
      </c>
      <c r="AF538" s="4" t="s">
        <v>41</v>
      </c>
      <c r="AG538" s="4" t="s">
        <v>1330</v>
      </c>
    </row>
    <row r="539" spans="1:33" ht="16.5" customHeight="1" x14ac:dyDescent="0.2">
      <c r="A539" s="2" t="s">
        <v>31</v>
      </c>
      <c r="B539" s="19" t="s">
        <v>50</v>
      </c>
      <c r="C539" s="19"/>
      <c r="D539" s="19"/>
      <c r="E539" s="20" t="s">
        <v>33</v>
      </c>
      <c r="F539" s="20"/>
      <c r="G539" s="21" t="s">
        <v>1327</v>
      </c>
      <c r="H539" s="21"/>
      <c r="I539" s="21"/>
      <c r="J539" s="3" t="s">
        <v>35</v>
      </c>
      <c r="K539" s="4" t="s">
        <v>82</v>
      </c>
      <c r="L539" s="4" t="s">
        <v>37</v>
      </c>
      <c r="N539" s="21" t="s">
        <v>1339</v>
      </c>
      <c r="O539" s="21"/>
      <c r="P539" s="21" t="s">
        <v>1340</v>
      </c>
      <c r="Q539" s="21"/>
      <c r="R539" s="21"/>
      <c r="S539" s="3" t="s">
        <v>40</v>
      </c>
      <c r="T539" s="21" t="s">
        <v>41</v>
      </c>
      <c r="U539" s="21"/>
      <c r="V539" s="4" t="s">
        <v>42</v>
      </c>
      <c r="W539" s="4" t="s">
        <v>54</v>
      </c>
      <c r="X539" s="4" t="s">
        <v>55</v>
      </c>
      <c r="Y539" s="21" t="s">
        <v>56</v>
      </c>
      <c r="Z539" s="21"/>
      <c r="AA539" s="4" t="s">
        <v>46</v>
      </c>
      <c r="AB539" s="4" t="s">
        <v>47</v>
      </c>
      <c r="AC539" s="4" t="s">
        <v>57</v>
      </c>
      <c r="AD539" s="4" t="s">
        <v>58</v>
      </c>
      <c r="AE539" s="4" t="s">
        <v>48</v>
      </c>
      <c r="AF539" s="4" t="s">
        <v>41</v>
      </c>
      <c r="AG539" s="4" t="s">
        <v>1330</v>
      </c>
    </row>
    <row r="540" spans="1:33" ht="16.5" customHeight="1" x14ac:dyDescent="0.2">
      <c r="A540" s="2" t="s">
        <v>31</v>
      </c>
      <c r="B540" s="19" t="s">
        <v>50</v>
      </c>
      <c r="C540" s="19"/>
      <c r="D540" s="19"/>
      <c r="E540" s="20" t="s">
        <v>33</v>
      </c>
      <c r="F540" s="20"/>
      <c r="G540" s="21" t="s">
        <v>1327</v>
      </c>
      <c r="H540" s="21"/>
      <c r="I540" s="21"/>
      <c r="J540" s="3" t="s">
        <v>35</v>
      </c>
      <c r="K540" s="4" t="s">
        <v>82</v>
      </c>
      <c r="L540" s="4" t="s">
        <v>445</v>
      </c>
      <c r="N540" s="21" t="s">
        <v>1341</v>
      </c>
      <c r="O540" s="21"/>
      <c r="P540" s="21" t="s">
        <v>1342</v>
      </c>
      <c r="Q540" s="21"/>
      <c r="R540" s="21"/>
      <c r="S540" s="3" t="s">
        <v>40</v>
      </c>
      <c r="T540" s="21" t="s">
        <v>41</v>
      </c>
      <c r="U540" s="21"/>
      <c r="V540" s="4" t="s">
        <v>42</v>
      </c>
      <c r="W540" s="4" t="s">
        <v>213</v>
      </c>
      <c r="X540" s="4" t="s">
        <v>531</v>
      </c>
      <c r="Y540" s="21" t="s">
        <v>56</v>
      </c>
      <c r="Z540" s="21"/>
      <c r="AA540" s="4" t="s">
        <v>46</v>
      </c>
      <c r="AB540" s="4" t="s">
        <v>47</v>
      </c>
      <c r="AC540" s="4" t="s">
        <v>139</v>
      </c>
      <c r="AD540" s="4" t="s">
        <v>466</v>
      </c>
      <c r="AE540" s="4" t="s">
        <v>48</v>
      </c>
      <c r="AF540" s="4" t="s">
        <v>41</v>
      </c>
      <c r="AG540" s="4" t="s">
        <v>1330</v>
      </c>
    </row>
    <row r="541" spans="1:33" ht="16.5" customHeight="1" x14ac:dyDescent="0.2">
      <c r="A541" s="2" t="s">
        <v>31</v>
      </c>
      <c r="B541" s="19" t="s">
        <v>50</v>
      </c>
      <c r="C541" s="19"/>
      <c r="D541" s="19"/>
      <c r="E541" s="20" t="s">
        <v>33</v>
      </c>
      <c r="F541" s="20"/>
      <c r="G541" s="21" t="s">
        <v>1327</v>
      </c>
      <c r="H541" s="21"/>
      <c r="I541" s="21"/>
      <c r="J541" s="3" t="s">
        <v>35</v>
      </c>
      <c r="K541" s="4" t="s">
        <v>99</v>
      </c>
      <c r="L541" s="4" t="s">
        <v>37</v>
      </c>
      <c r="N541" s="21" t="s">
        <v>1343</v>
      </c>
      <c r="O541" s="21"/>
      <c r="P541" s="21" t="s">
        <v>1344</v>
      </c>
      <c r="Q541" s="21"/>
      <c r="R541" s="21"/>
      <c r="S541" s="3" t="s">
        <v>40</v>
      </c>
      <c r="T541" s="21" t="s">
        <v>41</v>
      </c>
      <c r="U541" s="21"/>
      <c r="V541" s="4" t="s">
        <v>42</v>
      </c>
      <c r="W541" s="4" t="s">
        <v>157</v>
      </c>
      <c r="X541" s="4" t="s">
        <v>158</v>
      </c>
      <c r="Y541" s="21" t="s">
        <v>56</v>
      </c>
      <c r="Z541" s="21"/>
      <c r="AA541" s="4" t="s">
        <v>46</v>
      </c>
      <c r="AB541" s="4" t="s">
        <v>47</v>
      </c>
      <c r="AC541" s="4" t="s">
        <v>139</v>
      </c>
      <c r="AD541" s="4" t="s">
        <v>140</v>
      </c>
      <c r="AE541" s="4" t="s">
        <v>48</v>
      </c>
      <c r="AF541" s="4" t="s">
        <v>41</v>
      </c>
      <c r="AG541" s="4" t="s">
        <v>1330</v>
      </c>
    </row>
    <row r="542" spans="1:33" ht="16.5" customHeight="1" x14ac:dyDescent="0.2">
      <c r="A542" s="2" t="s">
        <v>31</v>
      </c>
      <c r="B542" s="19" t="s">
        <v>50</v>
      </c>
      <c r="C542" s="19"/>
      <c r="D542" s="19"/>
      <c r="E542" s="20" t="s">
        <v>33</v>
      </c>
      <c r="F542" s="20"/>
      <c r="G542" s="21" t="s">
        <v>1327</v>
      </c>
      <c r="H542" s="21"/>
      <c r="I542" s="21"/>
      <c r="J542" s="3" t="s">
        <v>35</v>
      </c>
      <c r="K542" s="4" t="s">
        <v>82</v>
      </c>
      <c r="L542" s="4" t="s">
        <v>445</v>
      </c>
      <c r="N542" s="21" t="s">
        <v>1345</v>
      </c>
      <c r="O542" s="21"/>
      <c r="P542" s="21" t="s">
        <v>1346</v>
      </c>
      <c r="Q542" s="21"/>
      <c r="R542" s="21"/>
      <c r="S542" s="3" t="s">
        <v>40</v>
      </c>
      <c r="T542" s="21" t="s">
        <v>41</v>
      </c>
      <c r="U542" s="21"/>
      <c r="V542" s="4" t="s">
        <v>42</v>
      </c>
      <c r="W542" s="4" t="s">
        <v>54</v>
      </c>
      <c r="X542" s="4" t="s">
        <v>55</v>
      </c>
      <c r="Y542" s="21" t="s">
        <v>56</v>
      </c>
      <c r="Z542" s="21"/>
      <c r="AA542" s="4" t="s">
        <v>46</v>
      </c>
      <c r="AB542" s="4" t="s">
        <v>47</v>
      </c>
      <c r="AC542" s="4" t="s">
        <v>57</v>
      </c>
      <c r="AD542" s="4" t="s">
        <v>449</v>
      </c>
      <c r="AE542" s="4" t="s">
        <v>48</v>
      </c>
      <c r="AF542" s="4" t="s">
        <v>41</v>
      </c>
      <c r="AG542" s="4" t="s">
        <v>1330</v>
      </c>
    </row>
    <row r="543" spans="1:33" ht="16.5" customHeight="1" x14ac:dyDescent="0.2">
      <c r="A543" s="2" t="s">
        <v>31</v>
      </c>
      <c r="B543" s="19" t="s">
        <v>50</v>
      </c>
      <c r="C543" s="19"/>
      <c r="D543" s="19"/>
      <c r="E543" s="20" t="s">
        <v>33</v>
      </c>
      <c r="F543" s="20"/>
      <c r="G543" s="21" t="s">
        <v>1327</v>
      </c>
      <c r="H543" s="21"/>
      <c r="I543" s="21"/>
      <c r="J543" s="3" t="s">
        <v>35</v>
      </c>
      <c r="K543" s="4" t="s">
        <v>82</v>
      </c>
      <c r="L543" s="4" t="s">
        <v>37</v>
      </c>
      <c r="N543" s="21" t="s">
        <v>1347</v>
      </c>
      <c r="O543" s="21"/>
      <c r="P543" s="21" t="s">
        <v>1348</v>
      </c>
      <c r="Q543" s="21"/>
      <c r="R543" s="21"/>
      <c r="S543" s="3" t="s">
        <v>40</v>
      </c>
      <c r="T543" s="21" t="s">
        <v>41</v>
      </c>
      <c r="U543" s="21"/>
      <c r="V543" s="4" t="s">
        <v>59</v>
      </c>
      <c r="W543" s="4" t="s">
        <v>54</v>
      </c>
      <c r="X543" s="4" t="s">
        <v>60</v>
      </c>
      <c r="Y543" s="21" t="s">
        <v>56</v>
      </c>
      <c r="Z543" s="21"/>
      <c r="AA543" s="4" t="s">
        <v>46</v>
      </c>
      <c r="AB543" s="4" t="s">
        <v>47</v>
      </c>
      <c r="AC543" s="4" t="s">
        <v>57</v>
      </c>
      <c r="AD543" s="4" t="s">
        <v>58</v>
      </c>
      <c r="AE543" s="4" t="s">
        <v>48</v>
      </c>
      <c r="AF543" s="4" t="s">
        <v>41</v>
      </c>
      <c r="AG543" s="4" t="s">
        <v>1330</v>
      </c>
    </row>
    <row r="544" spans="1:33" ht="16.5" customHeight="1" x14ac:dyDescent="0.2">
      <c r="A544" s="2" t="s">
        <v>31</v>
      </c>
      <c r="B544" s="19" t="s">
        <v>50</v>
      </c>
      <c r="C544" s="19"/>
      <c r="D544" s="19"/>
      <c r="E544" s="20" t="s">
        <v>33</v>
      </c>
      <c r="F544" s="20"/>
      <c r="G544" s="21" t="s">
        <v>1327</v>
      </c>
      <c r="H544" s="21"/>
      <c r="I544" s="21"/>
      <c r="J544" s="3" t="s">
        <v>35</v>
      </c>
      <c r="K544" s="4" t="s">
        <v>99</v>
      </c>
      <c r="L544" s="4" t="s">
        <v>37</v>
      </c>
      <c r="N544" s="21" t="s">
        <v>1349</v>
      </c>
      <c r="O544" s="21"/>
      <c r="P544" s="21" t="s">
        <v>1350</v>
      </c>
      <c r="Q544" s="21"/>
      <c r="R544" s="21"/>
      <c r="S544" s="3" t="s">
        <v>40</v>
      </c>
      <c r="T544" s="21" t="s">
        <v>41</v>
      </c>
      <c r="U544" s="21"/>
      <c r="V544" s="4" t="s">
        <v>42</v>
      </c>
      <c r="W544" s="4" t="s">
        <v>476</v>
      </c>
      <c r="X544" s="4" t="s">
        <v>477</v>
      </c>
      <c r="Y544" s="21" t="s">
        <v>56</v>
      </c>
      <c r="Z544" s="21"/>
      <c r="AA544" s="4" t="s">
        <v>46</v>
      </c>
      <c r="AB544" s="4" t="s">
        <v>47</v>
      </c>
      <c r="AC544" s="4" t="s">
        <v>139</v>
      </c>
      <c r="AD544" s="4" t="s">
        <v>140</v>
      </c>
      <c r="AE544" s="4" t="s">
        <v>48</v>
      </c>
      <c r="AF544" s="4" t="s">
        <v>41</v>
      </c>
      <c r="AG544" s="4" t="s">
        <v>1330</v>
      </c>
    </row>
    <row r="545" spans="1:33" ht="16.5" customHeight="1" x14ac:dyDescent="0.2">
      <c r="A545" s="2" t="s">
        <v>31</v>
      </c>
      <c r="B545" s="19" t="s">
        <v>50</v>
      </c>
      <c r="C545" s="19"/>
      <c r="D545" s="19"/>
      <c r="E545" s="20" t="s">
        <v>33</v>
      </c>
      <c r="F545" s="20"/>
      <c r="G545" s="21" t="s">
        <v>1327</v>
      </c>
      <c r="H545" s="21"/>
      <c r="I545" s="21"/>
      <c r="J545" s="3" t="s">
        <v>35</v>
      </c>
      <c r="K545" s="4" t="s">
        <v>152</v>
      </c>
      <c r="L545" s="4" t="s">
        <v>62</v>
      </c>
      <c r="N545" s="21" t="s">
        <v>1351</v>
      </c>
      <c r="O545" s="21"/>
      <c r="P545" s="21" t="s">
        <v>1352</v>
      </c>
      <c r="Q545" s="21"/>
      <c r="R545" s="21"/>
      <c r="S545" s="3" t="s">
        <v>40</v>
      </c>
      <c r="T545" s="21" t="s">
        <v>41</v>
      </c>
      <c r="U545" s="21"/>
      <c r="V545" s="4" t="s">
        <v>130</v>
      </c>
      <c r="W545" s="4" t="s">
        <v>636</v>
      </c>
      <c r="X545" s="4" t="s">
        <v>829</v>
      </c>
      <c r="Y545" s="21" t="s">
        <v>56</v>
      </c>
      <c r="Z545" s="21"/>
      <c r="AA545" s="4" t="s">
        <v>46</v>
      </c>
      <c r="AB545" s="4" t="s">
        <v>47</v>
      </c>
      <c r="AC545" s="4" t="s">
        <v>139</v>
      </c>
      <c r="AD545" s="4" t="s">
        <v>1353</v>
      </c>
      <c r="AE545" s="4" t="s">
        <v>48</v>
      </c>
      <c r="AF545" s="4" t="s">
        <v>41</v>
      </c>
      <c r="AG545" s="4" t="s">
        <v>1330</v>
      </c>
    </row>
    <row r="546" spans="1:33" ht="16.5" customHeight="1" x14ac:dyDescent="0.2">
      <c r="A546" s="2" t="s">
        <v>31</v>
      </c>
      <c r="B546" s="19" t="s">
        <v>50</v>
      </c>
      <c r="C546" s="19"/>
      <c r="D546" s="19"/>
      <c r="E546" s="20" t="s">
        <v>33</v>
      </c>
      <c r="F546" s="20"/>
      <c r="G546" s="21" t="s">
        <v>1327</v>
      </c>
      <c r="H546" s="21"/>
      <c r="I546" s="21"/>
      <c r="J546" s="3" t="s">
        <v>35</v>
      </c>
      <c r="K546" s="4" t="s">
        <v>152</v>
      </c>
      <c r="L546" s="4" t="s">
        <v>68</v>
      </c>
      <c r="N546" s="21" t="s">
        <v>1354</v>
      </c>
      <c r="O546" s="21"/>
      <c r="P546" s="21" t="s">
        <v>1355</v>
      </c>
      <c r="Q546" s="21"/>
      <c r="R546" s="21"/>
      <c r="S546" s="3" t="s">
        <v>40</v>
      </c>
      <c r="T546" s="21" t="s">
        <v>41</v>
      </c>
      <c r="U546" s="21"/>
      <c r="V546" s="4" t="s">
        <v>42</v>
      </c>
      <c r="W546" s="4" t="s">
        <v>234</v>
      </c>
      <c r="X546" s="4" t="s">
        <v>235</v>
      </c>
      <c r="Y546" s="21" t="s">
        <v>56</v>
      </c>
      <c r="Z546" s="21"/>
      <c r="AA546" s="4" t="s">
        <v>46</v>
      </c>
      <c r="AB546" s="4" t="s">
        <v>47</v>
      </c>
      <c r="AC546" s="4" t="s">
        <v>139</v>
      </c>
      <c r="AD546" s="4" t="s">
        <v>151</v>
      </c>
      <c r="AE546" s="4" t="s">
        <v>48</v>
      </c>
      <c r="AF546" s="4" t="s">
        <v>41</v>
      </c>
      <c r="AG546" s="4" t="s">
        <v>1330</v>
      </c>
    </row>
    <row r="547" spans="1:33" ht="16.5" customHeight="1" x14ac:dyDescent="0.2">
      <c r="A547" s="2" t="s">
        <v>31</v>
      </c>
      <c r="B547" s="19" t="s">
        <v>50</v>
      </c>
      <c r="C547" s="19"/>
      <c r="D547" s="19"/>
      <c r="E547" s="20" t="s">
        <v>33</v>
      </c>
      <c r="F547" s="20"/>
      <c r="G547" s="21" t="s">
        <v>1327</v>
      </c>
      <c r="H547" s="21"/>
      <c r="I547" s="21"/>
      <c r="J547" s="3" t="s">
        <v>35</v>
      </c>
      <c r="K547" s="4" t="s">
        <v>82</v>
      </c>
      <c r="L547" s="4" t="s">
        <v>37</v>
      </c>
      <c r="N547" s="21" t="s">
        <v>1356</v>
      </c>
      <c r="O547" s="21"/>
      <c r="P547" s="21" t="s">
        <v>1357</v>
      </c>
      <c r="Q547" s="21"/>
      <c r="R547" s="21"/>
      <c r="S547" s="3" t="s">
        <v>40</v>
      </c>
      <c r="T547" s="21" t="s">
        <v>41</v>
      </c>
      <c r="U547" s="21"/>
      <c r="V547" s="4" t="s">
        <v>42</v>
      </c>
      <c r="W547" s="4" t="s">
        <v>350</v>
      </c>
      <c r="X547" s="4" t="s">
        <v>339</v>
      </c>
      <c r="Y547" s="21" t="s">
        <v>56</v>
      </c>
      <c r="Z547" s="21"/>
      <c r="AA547" s="4" t="s">
        <v>46</v>
      </c>
      <c r="AB547" s="4" t="s">
        <v>47</v>
      </c>
      <c r="AC547" s="4" t="s">
        <v>139</v>
      </c>
      <c r="AD547" s="4" t="s">
        <v>140</v>
      </c>
      <c r="AE547" s="4" t="s">
        <v>48</v>
      </c>
      <c r="AF547" s="4" t="s">
        <v>41</v>
      </c>
      <c r="AG547" s="4" t="s">
        <v>1330</v>
      </c>
    </row>
    <row r="548" spans="1:33" ht="16.5" customHeight="1" x14ac:dyDescent="0.2">
      <c r="A548" s="2" t="s">
        <v>31</v>
      </c>
      <c r="B548" s="19" t="s">
        <v>50</v>
      </c>
      <c r="C548" s="19"/>
      <c r="D548" s="19"/>
      <c r="E548" s="20" t="s">
        <v>33</v>
      </c>
      <c r="F548" s="20"/>
      <c r="G548" s="21" t="s">
        <v>1327</v>
      </c>
      <c r="H548" s="21"/>
      <c r="I548" s="21"/>
      <c r="J548" s="3" t="s">
        <v>35</v>
      </c>
      <c r="K548" s="4" t="s">
        <v>82</v>
      </c>
      <c r="L548" s="4" t="s">
        <v>37</v>
      </c>
      <c r="N548" s="21" t="s">
        <v>1358</v>
      </c>
      <c r="O548" s="21"/>
      <c r="P548" s="21" t="s">
        <v>1359</v>
      </c>
      <c r="Q548" s="21"/>
      <c r="R548" s="21"/>
      <c r="S548" s="3" t="s">
        <v>40</v>
      </c>
      <c r="T548" s="21" t="s">
        <v>41</v>
      </c>
      <c r="U548" s="21"/>
      <c r="V548" s="4" t="s">
        <v>42</v>
      </c>
      <c r="W548" s="4" t="s">
        <v>130</v>
      </c>
      <c r="X548" s="4" t="s">
        <v>60</v>
      </c>
      <c r="Y548" s="21" t="s">
        <v>56</v>
      </c>
      <c r="Z548" s="21"/>
      <c r="AA548" s="4" t="s">
        <v>46</v>
      </c>
      <c r="AB548" s="4" t="s">
        <v>47</v>
      </c>
      <c r="AC548" s="4" t="s">
        <v>57</v>
      </c>
      <c r="AD548" s="4" t="s">
        <v>58</v>
      </c>
      <c r="AE548" s="4" t="s">
        <v>48</v>
      </c>
      <c r="AF548" s="4" t="s">
        <v>41</v>
      </c>
      <c r="AG548" s="4" t="s">
        <v>1330</v>
      </c>
    </row>
    <row r="549" spans="1:33" ht="16.5" customHeight="1" x14ac:dyDescent="0.2">
      <c r="A549" s="2" t="s">
        <v>31</v>
      </c>
      <c r="B549" s="19" t="s">
        <v>50</v>
      </c>
      <c r="C549" s="19"/>
      <c r="D549" s="19"/>
      <c r="E549" s="20" t="s">
        <v>33</v>
      </c>
      <c r="F549" s="20"/>
      <c r="G549" s="21" t="s">
        <v>1327</v>
      </c>
      <c r="H549" s="21"/>
      <c r="I549" s="21"/>
      <c r="J549" s="3" t="s">
        <v>35</v>
      </c>
      <c r="K549" s="4" t="s">
        <v>152</v>
      </c>
      <c r="L549" s="4" t="s">
        <v>37</v>
      </c>
      <c r="N549" s="21" t="s">
        <v>1360</v>
      </c>
      <c r="O549" s="21"/>
      <c r="P549" s="21" t="s">
        <v>1361</v>
      </c>
      <c r="Q549" s="21"/>
      <c r="R549" s="21"/>
      <c r="S549" s="3" t="s">
        <v>40</v>
      </c>
      <c r="T549" s="21" t="s">
        <v>41</v>
      </c>
      <c r="U549" s="21"/>
      <c r="V549" s="4" t="s">
        <v>42</v>
      </c>
      <c r="W549" s="4" t="s">
        <v>1362</v>
      </c>
      <c r="X549" s="4" t="s">
        <v>1363</v>
      </c>
      <c r="Y549" s="21" t="s">
        <v>56</v>
      </c>
      <c r="Z549" s="21"/>
      <c r="AA549" s="4" t="s">
        <v>46</v>
      </c>
      <c r="AB549" s="4" t="s">
        <v>47</v>
      </c>
      <c r="AC549" s="4" t="s">
        <v>139</v>
      </c>
      <c r="AD549" s="4" t="s">
        <v>140</v>
      </c>
      <c r="AE549" s="4" t="s">
        <v>48</v>
      </c>
      <c r="AF549" s="4" t="s">
        <v>41</v>
      </c>
      <c r="AG549" s="4" t="s">
        <v>1330</v>
      </c>
    </row>
    <row r="550" spans="1:33" ht="16.5" customHeight="1" x14ac:dyDescent="0.2">
      <c r="A550" s="2" t="s">
        <v>31</v>
      </c>
      <c r="B550" s="19" t="s">
        <v>50</v>
      </c>
      <c r="C550" s="19"/>
      <c r="D550" s="19"/>
      <c r="E550" s="20" t="s">
        <v>33</v>
      </c>
      <c r="F550" s="20"/>
      <c r="G550" s="21" t="s">
        <v>1327</v>
      </c>
      <c r="H550" s="21"/>
      <c r="I550" s="21"/>
      <c r="J550" s="3" t="s">
        <v>35</v>
      </c>
      <c r="K550" s="4" t="s">
        <v>82</v>
      </c>
      <c r="L550" s="4" t="s">
        <v>37</v>
      </c>
      <c r="N550" s="21" t="s">
        <v>1364</v>
      </c>
      <c r="O550" s="21"/>
      <c r="P550" s="21" t="s">
        <v>1365</v>
      </c>
      <c r="Q550" s="21"/>
      <c r="R550" s="21"/>
      <c r="S550" s="3" t="s">
        <v>40</v>
      </c>
      <c r="T550" s="21" t="s">
        <v>41</v>
      </c>
      <c r="U550" s="21"/>
      <c r="V550" s="4" t="s">
        <v>42</v>
      </c>
      <c r="W550" s="4" t="s">
        <v>161</v>
      </c>
      <c r="X550" s="4" t="s">
        <v>162</v>
      </c>
      <c r="Y550" s="21" t="s">
        <v>56</v>
      </c>
      <c r="Z550" s="21"/>
      <c r="AA550" s="4" t="s">
        <v>46</v>
      </c>
      <c r="AB550" s="4" t="s">
        <v>47</v>
      </c>
      <c r="AC550" s="4" t="s">
        <v>139</v>
      </c>
      <c r="AD550" s="4" t="s">
        <v>140</v>
      </c>
      <c r="AE550" s="4" t="s">
        <v>48</v>
      </c>
      <c r="AF550" s="4" t="s">
        <v>41</v>
      </c>
      <c r="AG550" s="4" t="s">
        <v>1330</v>
      </c>
    </row>
    <row r="551" spans="1:33" ht="16.5" customHeight="1" x14ac:dyDescent="0.2">
      <c r="A551" s="2" t="s">
        <v>31</v>
      </c>
      <c r="B551" s="19" t="s">
        <v>50</v>
      </c>
      <c r="C551" s="19"/>
      <c r="D551" s="19"/>
      <c r="E551" s="20" t="s">
        <v>33</v>
      </c>
      <c r="F551" s="20"/>
      <c r="G551" s="21" t="s">
        <v>1327</v>
      </c>
      <c r="H551" s="21"/>
      <c r="I551" s="21"/>
      <c r="J551" s="3" t="s">
        <v>35</v>
      </c>
      <c r="K551" s="4" t="s">
        <v>265</v>
      </c>
      <c r="L551" s="4" t="s">
        <v>278</v>
      </c>
      <c r="N551" s="21" t="s">
        <v>1366</v>
      </c>
      <c r="O551" s="21"/>
      <c r="P551" s="21" t="s">
        <v>1367</v>
      </c>
      <c r="Q551" s="21"/>
      <c r="R551" s="21"/>
      <c r="S551" s="3" t="s">
        <v>40</v>
      </c>
      <c r="T551" s="21" t="s">
        <v>41</v>
      </c>
      <c r="U551" s="21"/>
      <c r="V551" s="4" t="s">
        <v>42</v>
      </c>
      <c r="W551" s="4" t="s">
        <v>350</v>
      </c>
      <c r="X551" s="4" t="s">
        <v>339</v>
      </c>
      <c r="Y551" s="21" t="s">
        <v>56</v>
      </c>
      <c r="Z551" s="21"/>
      <c r="AA551" s="4" t="s">
        <v>46</v>
      </c>
      <c r="AB551" s="4" t="s">
        <v>47</v>
      </c>
      <c r="AC551" s="4" t="s">
        <v>139</v>
      </c>
      <c r="AD551" s="4" t="s">
        <v>69</v>
      </c>
      <c r="AE551" s="4" t="s">
        <v>48</v>
      </c>
      <c r="AF551" s="4" t="s">
        <v>41</v>
      </c>
      <c r="AG551" s="4" t="s">
        <v>1330</v>
      </c>
    </row>
    <row r="552" spans="1:33" ht="16.5" customHeight="1" x14ac:dyDescent="0.2">
      <c r="A552" s="2" t="s">
        <v>31</v>
      </c>
      <c r="B552" s="19" t="s">
        <v>50</v>
      </c>
      <c r="C552" s="19"/>
      <c r="D552" s="19"/>
      <c r="E552" s="20" t="s">
        <v>33</v>
      </c>
      <c r="F552" s="20"/>
      <c r="G552" s="21" t="s">
        <v>1327</v>
      </c>
      <c r="H552" s="21"/>
      <c r="I552" s="21"/>
      <c r="J552" s="3" t="s">
        <v>35</v>
      </c>
      <c r="K552" s="4" t="s">
        <v>82</v>
      </c>
      <c r="L552" s="4" t="s">
        <v>278</v>
      </c>
      <c r="N552" s="21" t="s">
        <v>1368</v>
      </c>
      <c r="O552" s="21"/>
      <c r="P552" s="21" t="s">
        <v>1369</v>
      </c>
      <c r="Q552" s="21"/>
      <c r="R552" s="21"/>
      <c r="S552" s="3" t="s">
        <v>40</v>
      </c>
      <c r="T552" s="21" t="s">
        <v>41</v>
      </c>
      <c r="U552" s="21"/>
      <c r="V552" s="4" t="s">
        <v>42</v>
      </c>
      <c r="W552" s="4" t="s">
        <v>130</v>
      </c>
      <c r="X552" s="4" t="s">
        <v>60</v>
      </c>
      <c r="Y552" s="21" t="s">
        <v>56</v>
      </c>
      <c r="Z552" s="21"/>
      <c r="AA552" s="4" t="s">
        <v>46</v>
      </c>
      <c r="AB552" s="4" t="s">
        <v>47</v>
      </c>
      <c r="AC552" s="4" t="s">
        <v>57</v>
      </c>
      <c r="AD552" s="4" t="s">
        <v>283</v>
      </c>
      <c r="AE552" s="4" t="s">
        <v>48</v>
      </c>
      <c r="AF552" s="4" t="s">
        <v>41</v>
      </c>
      <c r="AG552" s="4" t="s">
        <v>1330</v>
      </c>
    </row>
    <row r="553" spans="1:33" ht="16.5" customHeight="1" x14ac:dyDescent="0.2">
      <c r="A553" s="2" t="s">
        <v>31</v>
      </c>
      <c r="B553" s="19" t="s">
        <v>50</v>
      </c>
      <c r="C553" s="19"/>
      <c r="D553" s="19"/>
      <c r="E553" s="20" t="s">
        <v>33</v>
      </c>
      <c r="F553" s="20"/>
      <c r="G553" s="21" t="s">
        <v>1327</v>
      </c>
      <c r="H553" s="21"/>
      <c r="I553" s="21"/>
      <c r="J553" s="3" t="s">
        <v>35</v>
      </c>
      <c r="K553" s="4" t="s">
        <v>82</v>
      </c>
      <c r="L553" s="4" t="s">
        <v>278</v>
      </c>
      <c r="N553" s="21" t="s">
        <v>1368</v>
      </c>
      <c r="O553" s="21"/>
      <c r="P553" s="21" t="s">
        <v>1369</v>
      </c>
      <c r="Q553" s="21"/>
      <c r="R553" s="21"/>
      <c r="S553" s="3" t="s">
        <v>40</v>
      </c>
      <c r="T553" s="21" t="s">
        <v>41</v>
      </c>
      <c r="U553" s="21"/>
      <c r="V553" s="4" t="s">
        <v>59</v>
      </c>
      <c r="W553" s="4" t="s">
        <v>130</v>
      </c>
      <c r="X553" s="4" t="s">
        <v>131</v>
      </c>
      <c r="Y553" s="21" t="s">
        <v>56</v>
      </c>
      <c r="Z553" s="21"/>
      <c r="AA553" s="4" t="s">
        <v>46</v>
      </c>
      <c r="AB553" s="4" t="s">
        <v>47</v>
      </c>
      <c r="AC553" s="4" t="s">
        <v>57</v>
      </c>
      <c r="AD553" s="4" t="s">
        <v>283</v>
      </c>
      <c r="AE553" s="4" t="s">
        <v>48</v>
      </c>
      <c r="AF553" s="4" t="s">
        <v>41</v>
      </c>
      <c r="AG553" s="4" t="s">
        <v>1330</v>
      </c>
    </row>
    <row r="554" spans="1:33" ht="16.5" customHeight="1" x14ac:dyDescent="0.2">
      <c r="A554" s="2" t="s">
        <v>31</v>
      </c>
      <c r="B554" s="19" t="s">
        <v>50</v>
      </c>
      <c r="C554" s="19"/>
      <c r="D554" s="19"/>
      <c r="E554" s="20" t="s">
        <v>33</v>
      </c>
      <c r="F554" s="20"/>
      <c r="G554" s="21" t="s">
        <v>1327</v>
      </c>
      <c r="H554" s="21"/>
      <c r="I554" s="21"/>
      <c r="J554" s="3" t="s">
        <v>35</v>
      </c>
      <c r="K554" s="4" t="s">
        <v>265</v>
      </c>
      <c r="L554" s="4" t="s">
        <v>68</v>
      </c>
      <c r="N554" s="21" t="s">
        <v>1370</v>
      </c>
      <c r="O554" s="21"/>
      <c r="P554" s="21" t="s">
        <v>1371</v>
      </c>
      <c r="Q554" s="21"/>
      <c r="R554" s="21"/>
      <c r="S554" s="3" t="s">
        <v>40</v>
      </c>
      <c r="T554" s="21" t="s">
        <v>41</v>
      </c>
      <c r="U554" s="21"/>
      <c r="V554" s="4" t="s">
        <v>42</v>
      </c>
      <c r="W554" s="4" t="s">
        <v>54</v>
      </c>
      <c r="X554" s="4" t="s">
        <v>55</v>
      </c>
      <c r="Y554" s="21" t="s">
        <v>56</v>
      </c>
      <c r="Z554" s="21"/>
      <c r="AA554" s="4" t="s">
        <v>46</v>
      </c>
      <c r="AB554" s="4" t="s">
        <v>47</v>
      </c>
      <c r="AC554" s="4" t="s">
        <v>57</v>
      </c>
      <c r="AD554" s="4" t="s">
        <v>98</v>
      </c>
      <c r="AE554" s="4" t="s">
        <v>48</v>
      </c>
      <c r="AF554" s="4" t="s">
        <v>41</v>
      </c>
      <c r="AG554" s="4" t="s">
        <v>1330</v>
      </c>
    </row>
    <row r="555" spans="1:33" ht="16.5" customHeight="1" x14ac:dyDescent="0.2">
      <c r="A555" s="2" t="s">
        <v>31</v>
      </c>
      <c r="B555" s="19" t="s">
        <v>50</v>
      </c>
      <c r="C555" s="19"/>
      <c r="D555" s="19"/>
      <c r="E555" s="20" t="s">
        <v>33</v>
      </c>
      <c r="F555" s="20"/>
      <c r="G555" s="21" t="s">
        <v>1327</v>
      </c>
      <c r="H555" s="21"/>
      <c r="I555" s="21"/>
      <c r="J555" s="3" t="s">
        <v>35</v>
      </c>
      <c r="K555" s="4" t="s">
        <v>99</v>
      </c>
      <c r="L555" s="4" t="s">
        <v>445</v>
      </c>
      <c r="N555" s="21" t="s">
        <v>1372</v>
      </c>
      <c r="O555" s="21"/>
      <c r="P555" s="21" t="s">
        <v>1373</v>
      </c>
      <c r="Q555" s="21"/>
      <c r="R555" s="21"/>
      <c r="S555" s="3" t="s">
        <v>40</v>
      </c>
      <c r="T555" s="21" t="s">
        <v>41</v>
      </c>
      <c r="U555" s="21"/>
      <c r="V555" s="4" t="s">
        <v>42</v>
      </c>
      <c r="W555" s="4" t="s">
        <v>410</v>
      </c>
      <c r="X555" s="4" t="s">
        <v>411</v>
      </c>
      <c r="Y555" s="21" t="s">
        <v>56</v>
      </c>
      <c r="Z555" s="21"/>
      <c r="AA555" s="4" t="s">
        <v>46</v>
      </c>
      <c r="AB555" s="4" t="s">
        <v>47</v>
      </c>
      <c r="AC555" s="4" t="s">
        <v>139</v>
      </c>
      <c r="AD555" s="4" t="s">
        <v>466</v>
      </c>
      <c r="AE555" s="4" t="s">
        <v>48</v>
      </c>
      <c r="AF555" s="4" t="s">
        <v>41</v>
      </c>
      <c r="AG555" s="4" t="s">
        <v>1330</v>
      </c>
    </row>
    <row r="556" spans="1:33" ht="16.5" customHeight="1" x14ac:dyDescent="0.2">
      <c r="A556" s="2" t="s">
        <v>31</v>
      </c>
      <c r="B556" s="19" t="s">
        <v>50</v>
      </c>
      <c r="C556" s="19"/>
      <c r="D556" s="19"/>
      <c r="E556" s="20" t="s">
        <v>33</v>
      </c>
      <c r="F556" s="20"/>
      <c r="G556" s="21" t="s">
        <v>1327</v>
      </c>
      <c r="H556" s="21"/>
      <c r="I556" s="21"/>
      <c r="J556" s="3" t="s">
        <v>35</v>
      </c>
      <c r="K556" s="4" t="s">
        <v>82</v>
      </c>
      <c r="L556" s="4" t="s">
        <v>37</v>
      </c>
      <c r="N556" s="21" t="s">
        <v>1374</v>
      </c>
      <c r="O556" s="21"/>
      <c r="P556" s="21" t="s">
        <v>1375</v>
      </c>
      <c r="Q556" s="21"/>
      <c r="R556" s="21"/>
      <c r="S556" s="3" t="s">
        <v>40</v>
      </c>
      <c r="T556" s="21" t="s">
        <v>41</v>
      </c>
      <c r="U556" s="21"/>
      <c r="V556" s="4" t="s">
        <v>42</v>
      </c>
      <c r="W556" s="4" t="s">
        <v>410</v>
      </c>
      <c r="X556" s="4" t="s">
        <v>411</v>
      </c>
      <c r="Y556" s="21" t="s">
        <v>56</v>
      </c>
      <c r="Z556" s="21"/>
      <c r="AA556" s="4" t="s">
        <v>46</v>
      </c>
      <c r="AB556" s="4" t="s">
        <v>47</v>
      </c>
      <c r="AC556" s="4" t="s">
        <v>81</v>
      </c>
      <c r="AD556" s="4" t="s">
        <v>41</v>
      </c>
      <c r="AE556" s="4" t="s">
        <v>48</v>
      </c>
      <c r="AF556" s="4" t="s">
        <v>41</v>
      </c>
      <c r="AG556" s="4" t="s">
        <v>1330</v>
      </c>
    </row>
    <row r="557" spans="1:33" ht="16.5" customHeight="1" x14ac:dyDescent="0.2">
      <c r="A557" s="2" t="s">
        <v>31</v>
      </c>
      <c r="B557" s="19" t="s">
        <v>50</v>
      </c>
      <c r="C557" s="19"/>
      <c r="D557" s="19"/>
      <c r="E557" s="20" t="s">
        <v>33</v>
      </c>
      <c r="F557" s="20"/>
      <c r="G557" s="21" t="s">
        <v>1327</v>
      </c>
      <c r="H557" s="21"/>
      <c r="I557" s="21"/>
      <c r="J557" s="3" t="s">
        <v>35</v>
      </c>
      <c r="K557" s="4" t="s">
        <v>82</v>
      </c>
      <c r="L557" s="4" t="s">
        <v>37</v>
      </c>
      <c r="N557" s="21" t="s">
        <v>1376</v>
      </c>
      <c r="O557" s="21"/>
      <c r="P557" s="21" t="s">
        <v>1377</v>
      </c>
      <c r="Q557" s="21"/>
      <c r="R557" s="21"/>
      <c r="S557" s="3" t="s">
        <v>40</v>
      </c>
      <c r="T557" s="21" t="s">
        <v>41</v>
      </c>
      <c r="U557" s="21"/>
      <c r="V557" s="4" t="s">
        <v>59</v>
      </c>
      <c r="W557" s="4" t="s">
        <v>310</v>
      </c>
      <c r="X557" s="4" t="s">
        <v>86</v>
      </c>
      <c r="Y557" s="21" t="s">
        <v>56</v>
      </c>
      <c r="Z557" s="21"/>
      <c r="AA557" s="4" t="s">
        <v>46</v>
      </c>
      <c r="AB557" s="4" t="s">
        <v>47</v>
      </c>
      <c r="AC557" s="4" t="s">
        <v>57</v>
      </c>
      <c r="AD557" s="4" t="s">
        <v>58</v>
      </c>
      <c r="AE557" s="4" t="s">
        <v>48</v>
      </c>
      <c r="AF557" s="4" t="s">
        <v>41</v>
      </c>
      <c r="AG557" s="4" t="s">
        <v>1330</v>
      </c>
    </row>
    <row r="558" spans="1:33" ht="16.5" customHeight="1" x14ac:dyDescent="0.2">
      <c r="A558" s="2" t="s">
        <v>31</v>
      </c>
      <c r="B558" s="19" t="s">
        <v>50</v>
      </c>
      <c r="C558" s="19"/>
      <c r="D558" s="19"/>
      <c r="E558" s="20" t="s">
        <v>33</v>
      </c>
      <c r="F558" s="20"/>
      <c r="G558" s="21" t="s">
        <v>1327</v>
      </c>
      <c r="H558" s="21"/>
      <c r="I558" s="21"/>
      <c r="J558" s="3" t="s">
        <v>35</v>
      </c>
      <c r="K558" s="4" t="s">
        <v>82</v>
      </c>
      <c r="L558" s="4" t="s">
        <v>68</v>
      </c>
      <c r="N558" s="21" t="s">
        <v>1378</v>
      </c>
      <c r="O558" s="21"/>
      <c r="P558" s="21" t="s">
        <v>1379</v>
      </c>
      <c r="Q558" s="21"/>
      <c r="R558" s="21"/>
      <c r="S558" s="3" t="s">
        <v>40</v>
      </c>
      <c r="T558" s="21" t="s">
        <v>41</v>
      </c>
      <c r="U558" s="21"/>
      <c r="V558" s="4" t="s">
        <v>42</v>
      </c>
      <c r="W558" s="4" t="s">
        <v>734</v>
      </c>
      <c r="X558" s="4" t="s">
        <v>735</v>
      </c>
      <c r="Y558" s="21" t="s">
        <v>56</v>
      </c>
      <c r="Z558" s="21"/>
      <c r="AA558" s="4" t="s">
        <v>46</v>
      </c>
      <c r="AB558" s="4" t="s">
        <v>47</v>
      </c>
      <c r="AC558" s="4" t="s">
        <v>139</v>
      </c>
      <c r="AD558" s="4" t="s">
        <v>151</v>
      </c>
      <c r="AE558" s="4" t="s">
        <v>48</v>
      </c>
      <c r="AF558" s="4" t="s">
        <v>41</v>
      </c>
      <c r="AG558" s="4" t="s">
        <v>1330</v>
      </c>
    </row>
    <row r="559" spans="1:33" ht="16.5" customHeight="1" x14ac:dyDescent="0.2">
      <c r="A559" s="2" t="s">
        <v>31</v>
      </c>
      <c r="B559" s="19" t="s">
        <v>50</v>
      </c>
      <c r="C559" s="19"/>
      <c r="D559" s="19"/>
      <c r="E559" s="20" t="s">
        <v>33</v>
      </c>
      <c r="F559" s="20"/>
      <c r="G559" s="21" t="s">
        <v>1327</v>
      </c>
      <c r="H559" s="21"/>
      <c r="I559" s="21"/>
      <c r="J559" s="3" t="s">
        <v>35</v>
      </c>
      <c r="K559" s="4" t="s">
        <v>82</v>
      </c>
      <c r="L559" s="4" t="s">
        <v>68</v>
      </c>
      <c r="N559" s="21" t="s">
        <v>1378</v>
      </c>
      <c r="O559" s="21"/>
      <c r="P559" s="21" t="s">
        <v>1379</v>
      </c>
      <c r="Q559" s="21"/>
      <c r="R559" s="21"/>
      <c r="S559" s="3" t="s">
        <v>40</v>
      </c>
      <c r="T559" s="21" t="s">
        <v>41</v>
      </c>
      <c r="U559" s="21"/>
      <c r="V559" s="4" t="s">
        <v>59</v>
      </c>
      <c r="W559" s="4" t="s">
        <v>734</v>
      </c>
      <c r="X559" s="4" t="s">
        <v>743</v>
      </c>
      <c r="Y559" s="21" t="s">
        <v>56</v>
      </c>
      <c r="Z559" s="21"/>
      <c r="AA559" s="4" t="s">
        <v>46</v>
      </c>
      <c r="AB559" s="4" t="s">
        <v>47</v>
      </c>
      <c r="AC559" s="4" t="s">
        <v>139</v>
      </c>
      <c r="AD559" s="4" t="s">
        <v>151</v>
      </c>
      <c r="AE559" s="4" t="s">
        <v>48</v>
      </c>
      <c r="AF559" s="4" t="s">
        <v>41</v>
      </c>
      <c r="AG559" s="4" t="s">
        <v>1330</v>
      </c>
    </row>
    <row r="560" spans="1:33" ht="16.5" customHeight="1" x14ac:dyDescent="0.2">
      <c r="A560" s="2" t="s">
        <v>31</v>
      </c>
      <c r="B560" s="19" t="s">
        <v>50</v>
      </c>
      <c r="C560" s="19"/>
      <c r="D560" s="19"/>
      <c r="E560" s="20" t="s">
        <v>33</v>
      </c>
      <c r="F560" s="20"/>
      <c r="G560" s="21" t="s">
        <v>1327</v>
      </c>
      <c r="H560" s="21"/>
      <c r="I560" s="21"/>
      <c r="J560" s="3" t="s">
        <v>35</v>
      </c>
      <c r="K560" s="4" t="s">
        <v>82</v>
      </c>
      <c r="L560" s="4" t="s">
        <v>68</v>
      </c>
      <c r="N560" s="21" t="s">
        <v>1378</v>
      </c>
      <c r="O560" s="21"/>
      <c r="P560" s="21" t="s">
        <v>1379</v>
      </c>
      <c r="Q560" s="21"/>
      <c r="R560" s="21"/>
      <c r="S560" s="3" t="s">
        <v>40</v>
      </c>
      <c r="T560" s="21" t="s">
        <v>41</v>
      </c>
      <c r="U560" s="21"/>
      <c r="V560" s="4" t="s">
        <v>130</v>
      </c>
      <c r="W560" s="4" t="s">
        <v>734</v>
      </c>
      <c r="X560" s="4" t="s">
        <v>1380</v>
      </c>
      <c r="Y560" s="21" t="s">
        <v>56</v>
      </c>
      <c r="Z560" s="21"/>
      <c r="AA560" s="4" t="s">
        <v>46</v>
      </c>
      <c r="AB560" s="4" t="s">
        <v>47</v>
      </c>
      <c r="AC560" s="4" t="s">
        <v>139</v>
      </c>
      <c r="AD560" s="4" t="s">
        <v>151</v>
      </c>
      <c r="AE560" s="4" t="s">
        <v>48</v>
      </c>
      <c r="AF560" s="4" t="s">
        <v>41</v>
      </c>
      <c r="AG560" s="4" t="s">
        <v>1330</v>
      </c>
    </row>
    <row r="561" spans="1:33" ht="16.5" customHeight="1" x14ac:dyDescent="0.2">
      <c r="A561" s="2" t="s">
        <v>31</v>
      </c>
      <c r="B561" s="19" t="s">
        <v>50</v>
      </c>
      <c r="C561" s="19"/>
      <c r="D561" s="19"/>
      <c r="E561" s="20" t="s">
        <v>33</v>
      </c>
      <c r="F561" s="20"/>
      <c r="G561" s="21" t="s">
        <v>1327</v>
      </c>
      <c r="H561" s="21"/>
      <c r="I561" s="21"/>
      <c r="J561" s="3" t="s">
        <v>35</v>
      </c>
      <c r="K561" s="4" t="s">
        <v>152</v>
      </c>
      <c r="L561" s="4" t="s">
        <v>445</v>
      </c>
      <c r="N561" s="21" t="s">
        <v>1381</v>
      </c>
      <c r="O561" s="21"/>
      <c r="P561" s="21" t="s">
        <v>1382</v>
      </c>
      <c r="Q561" s="21"/>
      <c r="R561" s="21"/>
      <c r="S561" s="3" t="s">
        <v>40</v>
      </c>
      <c r="T561" s="21" t="s">
        <v>41</v>
      </c>
      <c r="U561" s="21"/>
      <c r="V561" s="4" t="s">
        <v>42</v>
      </c>
      <c r="W561" s="4" t="s">
        <v>217</v>
      </c>
      <c r="X561" s="4" t="s">
        <v>218</v>
      </c>
      <c r="Y561" s="21" t="s">
        <v>56</v>
      </c>
      <c r="Z561" s="21"/>
      <c r="AA561" s="4" t="s">
        <v>46</v>
      </c>
      <c r="AB561" s="4" t="s">
        <v>47</v>
      </c>
      <c r="AC561" s="4" t="s">
        <v>139</v>
      </c>
      <c r="AD561" s="4" t="s">
        <v>466</v>
      </c>
      <c r="AE561" s="4" t="s">
        <v>48</v>
      </c>
      <c r="AF561" s="4" t="s">
        <v>41</v>
      </c>
      <c r="AG561" s="4" t="s">
        <v>1330</v>
      </c>
    </row>
    <row r="562" spans="1:33" ht="16.5" customHeight="1" x14ac:dyDescent="0.2">
      <c r="A562" s="2" t="s">
        <v>31</v>
      </c>
      <c r="B562" s="19" t="s">
        <v>50</v>
      </c>
      <c r="C562" s="19"/>
      <c r="D562" s="19"/>
      <c r="E562" s="20" t="s">
        <v>33</v>
      </c>
      <c r="F562" s="20"/>
      <c r="G562" s="21" t="s">
        <v>1327</v>
      </c>
      <c r="H562" s="21"/>
      <c r="I562" s="21"/>
      <c r="J562" s="3" t="s">
        <v>35</v>
      </c>
      <c r="K562" s="4" t="s">
        <v>82</v>
      </c>
      <c r="L562" s="4" t="s">
        <v>37</v>
      </c>
      <c r="N562" s="21" t="s">
        <v>1383</v>
      </c>
      <c r="O562" s="21"/>
      <c r="P562" s="21" t="s">
        <v>1384</v>
      </c>
      <c r="Q562" s="21"/>
      <c r="R562" s="21"/>
      <c r="S562" s="3" t="s">
        <v>40</v>
      </c>
      <c r="T562" s="21" t="s">
        <v>41</v>
      </c>
      <c r="U562" s="21"/>
      <c r="V562" s="4" t="s">
        <v>42</v>
      </c>
      <c r="W562" s="4" t="s">
        <v>177</v>
      </c>
      <c r="X562" s="4" t="s">
        <v>178</v>
      </c>
      <c r="Y562" s="21" t="s">
        <v>56</v>
      </c>
      <c r="Z562" s="21"/>
      <c r="AA562" s="4" t="s">
        <v>46</v>
      </c>
      <c r="AB562" s="4" t="s">
        <v>47</v>
      </c>
      <c r="AC562" s="4" t="s">
        <v>139</v>
      </c>
      <c r="AD562" s="4" t="s">
        <v>140</v>
      </c>
      <c r="AE562" s="4" t="s">
        <v>48</v>
      </c>
      <c r="AF562" s="4" t="s">
        <v>41</v>
      </c>
      <c r="AG562" s="4" t="s">
        <v>1330</v>
      </c>
    </row>
    <row r="563" spans="1:33" ht="16.5" customHeight="1" x14ac:dyDescent="0.2">
      <c r="A563" s="2" t="s">
        <v>31</v>
      </c>
      <c r="B563" s="19" t="s">
        <v>50</v>
      </c>
      <c r="C563" s="19"/>
      <c r="D563" s="19"/>
      <c r="E563" s="20" t="s">
        <v>33</v>
      </c>
      <c r="F563" s="20"/>
      <c r="G563" s="21" t="s">
        <v>1327</v>
      </c>
      <c r="H563" s="21"/>
      <c r="I563" s="21"/>
      <c r="J563" s="3" t="s">
        <v>35</v>
      </c>
      <c r="K563" s="4" t="s">
        <v>152</v>
      </c>
      <c r="L563" s="4" t="s">
        <v>68</v>
      </c>
      <c r="N563" s="21" t="s">
        <v>1385</v>
      </c>
      <c r="O563" s="21"/>
      <c r="P563" s="21" t="s">
        <v>1386</v>
      </c>
      <c r="Q563" s="21"/>
      <c r="R563" s="21"/>
      <c r="S563" s="3" t="s">
        <v>40</v>
      </c>
      <c r="T563" s="21" t="s">
        <v>41</v>
      </c>
      <c r="U563" s="21"/>
      <c r="V563" s="4" t="s">
        <v>42</v>
      </c>
      <c r="W563" s="4" t="s">
        <v>213</v>
      </c>
      <c r="X563" s="4" t="s">
        <v>531</v>
      </c>
      <c r="Y563" s="21" t="s">
        <v>56</v>
      </c>
      <c r="Z563" s="21"/>
      <c r="AA563" s="4" t="s">
        <v>46</v>
      </c>
      <c r="AB563" s="4" t="s">
        <v>47</v>
      </c>
      <c r="AC563" s="4" t="s">
        <v>139</v>
      </c>
      <c r="AD563" s="4" t="s">
        <v>151</v>
      </c>
      <c r="AE563" s="4" t="s">
        <v>48</v>
      </c>
      <c r="AF563" s="4" t="s">
        <v>41</v>
      </c>
      <c r="AG563" s="4" t="s">
        <v>1330</v>
      </c>
    </row>
    <row r="564" spans="1:33" ht="16.5" customHeight="1" x14ac:dyDescent="0.2">
      <c r="A564" s="2" t="s">
        <v>31</v>
      </c>
      <c r="B564" s="19" t="s">
        <v>50</v>
      </c>
      <c r="C564" s="19"/>
      <c r="D564" s="19"/>
      <c r="E564" s="20" t="s">
        <v>33</v>
      </c>
      <c r="F564" s="20"/>
      <c r="G564" s="21" t="s">
        <v>1327</v>
      </c>
      <c r="H564" s="21"/>
      <c r="I564" s="21"/>
      <c r="J564" s="3" t="s">
        <v>35</v>
      </c>
      <c r="K564" s="4" t="s">
        <v>82</v>
      </c>
      <c r="L564" s="4" t="s">
        <v>37</v>
      </c>
      <c r="N564" s="21" t="s">
        <v>1387</v>
      </c>
      <c r="O564" s="21"/>
      <c r="P564" s="21" t="s">
        <v>1388</v>
      </c>
      <c r="Q564" s="21"/>
      <c r="R564" s="21"/>
      <c r="S564" s="3" t="s">
        <v>40</v>
      </c>
      <c r="T564" s="21" t="s">
        <v>41</v>
      </c>
      <c r="U564" s="21"/>
      <c r="V564" s="4" t="s">
        <v>42</v>
      </c>
      <c r="W564" s="4" t="s">
        <v>54</v>
      </c>
      <c r="X564" s="4" t="s">
        <v>55</v>
      </c>
      <c r="Y564" s="21" t="s">
        <v>56</v>
      </c>
      <c r="Z564" s="21"/>
      <c r="AA564" s="4" t="s">
        <v>46</v>
      </c>
      <c r="AB564" s="4" t="s">
        <v>47</v>
      </c>
      <c r="AC564" s="4" t="s">
        <v>57</v>
      </c>
      <c r="AD564" s="4" t="s">
        <v>58</v>
      </c>
      <c r="AE564" s="4" t="s">
        <v>48</v>
      </c>
      <c r="AF564" s="4" t="s">
        <v>41</v>
      </c>
      <c r="AG564" s="4" t="s">
        <v>1330</v>
      </c>
    </row>
    <row r="565" spans="1:33" ht="16.5" customHeight="1" x14ac:dyDescent="0.2">
      <c r="A565" s="2" t="s">
        <v>31</v>
      </c>
      <c r="B565" s="19" t="s">
        <v>50</v>
      </c>
      <c r="C565" s="19"/>
      <c r="D565" s="19"/>
      <c r="E565" s="20" t="s">
        <v>33</v>
      </c>
      <c r="F565" s="20"/>
      <c r="G565" s="21" t="s">
        <v>1327</v>
      </c>
      <c r="H565" s="21"/>
      <c r="I565" s="21"/>
      <c r="J565" s="3" t="s">
        <v>35</v>
      </c>
      <c r="K565" s="4" t="s">
        <v>82</v>
      </c>
      <c r="L565" s="4" t="s">
        <v>37</v>
      </c>
      <c r="N565" s="21" t="s">
        <v>1389</v>
      </c>
      <c r="O565" s="21"/>
      <c r="P565" s="21" t="s">
        <v>1390</v>
      </c>
      <c r="Q565" s="21"/>
      <c r="R565" s="21"/>
      <c r="S565" s="3" t="s">
        <v>40</v>
      </c>
      <c r="T565" s="21" t="s">
        <v>41</v>
      </c>
      <c r="U565" s="21"/>
      <c r="V565" s="4" t="s">
        <v>42</v>
      </c>
      <c r="W565" s="4" t="s">
        <v>54</v>
      </c>
      <c r="X565" s="4" t="s">
        <v>55</v>
      </c>
      <c r="Y565" s="21" t="s">
        <v>56</v>
      </c>
      <c r="Z565" s="21"/>
      <c r="AA565" s="4" t="s">
        <v>46</v>
      </c>
      <c r="AB565" s="4" t="s">
        <v>47</v>
      </c>
      <c r="AC565" s="4" t="s">
        <v>57</v>
      </c>
      <c r="AD565" s="4" t="s">
        <v>58</v>
      </c>
      <c r="AE565" s="4" t="s">
        <v>48</v>
      </c>
      <c r="AF565" s="4" t="s">
        <v>41</v>
      </c>
      <c r="AG565" s="4" t="s">
        <v>1330</v>
      </c>
    </row>
    <row r="566" spans="1:33" ht="16.5" customHeight="1" x14ac:dyDescent="0.2">
      <c r="A566" s="2" t="s">
        <v>31</v>
      </c>
      <c r="B566" s="19" t="s">
        <v>50</v>
      </c>
      <c r="C566" s="19"/>
      <c r="D566" s="19"/>
      <c r="E566" s="20" t="s">
        <v>33</v>
      </c>
      <c r="F566" s="20"/>
      <c r="G566" s="21" t="s">
        <v>1327</v>
      </c>
      <c r="H566" s="21"/>
      <c r="I566" s="21"/>
      <c r="J566" s="3" t="s">
        <v>35</v>
      </c>
      <c r="K566" s="4" t="s">
        <v>82</v>
      </c>
      <c r="L566" s="4" t="s">
        <v>37</v>
      </c>
      <c r="N566" s="21" t="s">
        <v>1391</v>
      </c>
      <c r="O566" s="21"/>
      <c r="P566" s="21" t="s">
        <v>1392</v>
      </c>
      <c r="Q566" s="21"/>
      <c r="R566" s="21"/>
      <c r="S566" s="3" t="s">
        <v>40</v>
      </c>
      <c r="T566" s="21" t="s">
        <v>41</v>
      </c>
      <c r="U566" s="21"/>
      <c r="V566" s="4" t="s">
        <v>42</v>
      </c>
      <c r="W566" s="4" t="s">
        <v>213</v>
      </c>
      <c r="X566" s="4" t="s">
        <v>531</v>
      </c>
      <c r="Y566" s="21" t="s">
        <v>56</v>
      </c>
      <c r="Z566" s="21"/>
      <c r="AA566" s="4" t="s">
        <v>46</v>
      </c>
      <c r="AB566" s="4" t="s">
        <v>47</v>
      </c>
      <c r="AC566" s="4" t="s">
        <v>81</v>
      </c>
      <c r="AD566" s="4" t="s">
        <v>41</v>
      </c>
      <c r="AE566" s="4" t="s">
        <v>48</v>
      </c>
      <c r="AF566" s="4" t="s">
        <v>41</v>
      </c>
      <c r="AG566" s="4" t="s">
        <v>1330</v>
      </c>
    </row>
    <row r="567" spans="1:33" ht="16.5" customHeight="1" x14ac:dyDescent="0.2">
      <c r="A567" s="2" t="s">
        <v>31</v>
      </c>
      <c r="B567" s="19" t="s">
        <v>50</v>
      </c>
      <c r="C567" s="19"/>
      <c r="D567" s="19"/>
      <c r="E567" s="20" t="s">
        <v>33</v>
      </c>
      <c r="F567" s="20"/>
      <c r="G567" s="21" t="s">
        <v>1327</v>
      </c>
      <c r="H567" s="21"/>
      <c r="I567" s="21"/>
      <c r="J567" s="3" t="s">
        <v>35</v>
      </c>
      <c r="K567" s="4" t="s">
        <v>82</v>
      </c>
      <c r="L567" s="4" t="s">
        <v>37</v>
      </c>
      <c r="N567" s="21" t="s">
        <v>1393</v>
      </c>
      <c r="O567" s="21"/>
      <c r="P567" s="21" t="s">
        <v>1394</v>
      </c>
      <c r="Q567" s="21"/>
      <c r="R567" s="21"/>
      <c r="S567" s="3" t="s">
        <v>40</v>
      </c>
      <c r="T567" s="21" t="s">
        <v>41</v>
      </c>
      <c r="U567" s="21"/>
      <c r="V567" s="4" t="s">
        <v>42</v>
      </c>
      <c r="W567" s="4" t="s">
        <v>54</v>
      </c>
      <c r="X567" s="4" t="s">
        <v>55</v>
      </c>
      <c r="Y567" s="21" t="s">
        <v>56</v>
      </c>
      <c r="Z567" s="21"/>
      <c r="AA567" s="4" t="s">
        <v>46</v>
      </c>
      <c r="AB567" s="4" t="s">
        <v>47</v>
      </c>
      <c r="AC567" s="4" t="s">
        <v>57</v>
      </c>
      <c r="AD567" s="4" t="s">
        <v>58</v>
      </c>
      <c r="AE567" s="4" t="s">
        <v>48</v>
      </c>
      <c r="AF567" s="4" t="s">
        <v>41</v>
      </c>
      <c r="AG567" s="4" t="s">
        <v>1330</v>
      </c>
    </row>
    <row r="568" spans="1:33" ht="16.5" customHeight="1" x14ac:dyDescent="0.2">
      <c r="A568" s="2" t="s">
        <v>31</v>
      </c>
      <c r="B568" s="19" t="s">
        <v>50</v>
      </c>
      <c r="C568" s="19"/>
      <c r="D568" s="19"/>
      <c r="E568" s="20" t="s">
        <v>33</v>
      </c>
      <c r="F568" s="20"/>
      <c r="G568" s="21" t="s">
        <v>1327</v>
      </c>
      <c r="H568" s="21"/>
      <c r="I568" s="21"/>
      <c r="J568" s="3" t="s">
        <v>35</v>
      </c>
      <c r="K568" s="4" t="s">
        <v>82</v>
      </c>
      <c r="L568" s="4" t="s">
        <v>37</v>
      </c>
      <c r="N568" s="21" t="s">
        <v>1393</v>
      </c>
      <c r="O568" s="21"/>
      <c r="P568" s="21" t="s">
        <v>1394</v>
      </c>
      <c r="Q568" s="21"/>
      <c r="R568" s="21"/>
      <c r="S568" s="3" t="s">
        <v>40</v>
      </c>
      <c r="T568" s="21" t="s">
        <v>41</v>
      </c>
      <c r="U568" s="21"/>
      <c r="V568" s="4" t="s">
        <v>59</v>
      </c>
      <c r="W568" s="4" t="s">
        <v>54</v>
      </c>
      <c r="X568" s="4" t="s">
        <v>60</v>
      </c>
      <c r="Y568" s="21" t="s">
        <v>56</v>
      </c>
      <c r="Z568" s="21"/>
      <c r="AA568" s="4" t="s">
        <v>46</v>
      </c>
      <c r="AB568" s="4" t="s">
        <v>47</v>
      </c>
      <c r="AC568" s="4" t="s">
        <v>57</v>
      </c>
      <c r="AD568" s="4" t="s">
        <v>58</v>
      </c>
      <c r="AE568" s="4" t="s">
        <v>48</v>
      </c>
      <c r="AF568" s="4" t="s">
        <v>41</v>
      </c>
      <c r="AG568" s="4" t="s">
        <v>1330</v>
      </c>
    </row>
    <row r="569" spans="1:33" ht="16.5" customHeight="1" x14ac:dyDescent="0.2">
      <c r="A569" s="2" t="s">
        <v>31</v>
      </c>
      <c r="B569" s="19" t="s">
        <v>50</v>
      </c>
      <c r="C569" s="19"/>
      <c r="D569" s="19"/>
      <c r="E569" s="20" t="s">
        <v>33</v>
      </c>
      <c r="F569" s="20"/>
      <c r="G569" s="21" t="s">
        <v>1327</v>
      </c>
      <c r="H569" s="21"/>
      <c r="I569" s="21"/>
      <c r="J569" s="3" t="s">
        <v>35</v>
      </c>
      <c r="K569" s="4" t="s">
        <v>120</v>
      </c>
      <c r="L569" s="4" t="s">
        <v>278</v>
      </c>
      <c r="N569" s="21" t="s">
        <v>1395</v>
      </c>
      <c r="O569" s="21"/>
      <c r="P569" s="21" t="s">
        <v>1396</v>
      </c>
      <c r="Q569" s="21"/>
      <c r="R569" s="21"/>
      <c r="S569" s="3" t="s">
        <v>40</v>
      </c>
      <c r="T569" s="21" t="s">
        <v>41</v>
      </c>
      <c r="U569" s="21"/>
      <c r="V569" s="4" t="s">
        <v>42</v>
      </c>
      <c r="W569" s="4" t="s">
        <v>234</v>
      </c>
      <c r="X569" s="4" t="s">
        <v>235</v>
      </c>
      <c r="Y569" s="21" t="s">
        <v>65</v>
      </c>
      <c r="Z569" s="21"/>
      <c r="AA569" s="4" t="s">
        <v>46</v>
      </c>
      <c r="AB569" s="4" t="s">
        <v>47</v>
      </c>
      <c r="AC569" s="4" t="s">
        <v>57</v>
      </c>
      <c r="AD569" s="4" t="s">
        <v>283</v>
      </c>
      <c r="AE569" s="4" t="s">
        <v>48</v>
      </c>
      <c r="AF569" s="4" t="s">
        <v>41</v>
      </c>
      <c r="AG569" s="4" t="s">
        <v>1330</v>
      </c>
    </row>
    <row r="570" spans="1:33" ht="16.5" customHeight="1" x14ac:dyDescent="0.2">
      <c r="A570" s="2" t="s">
        <v>31</v>
      </c>
      <c r="B570" s="19" t="s">
        <v>50</v>
      </c>
      <c r="C570" s="19"/>
      <c r="D570" s="19"/>
      <c r="E570" s="20" t="s">
        <v>33</v>
      </c>
      <c r="F570" s="20"/>
      <c r="G570" s="21" t="s">
        <v>1327</v>
      </c>
      <c r="H570" s="21"/>
      <c r="I570" s="21"/>
      <c r="J570" s="3" t="s">
        <v>35</v>
      </c>
      <c r="K570" s="4" t="s">
        <v>99</v>
      </c>
      <c r="L570" s="4" t="s">
        <v>445</v>
      </c>
      <c r="N570" s="21" t="s">
        <v>1397</v>
      </c>
      <c r="O570" s="21"/>
      <c r="P570" s="21" t="s">
        <v>1398</v>
      </c>
      <c r="Q570" s="21"/>
      <c r="R570" s="21"/>
      <c r="S570" s="3" t="s">
        <v>40</v>
      </c>
      <c r="T570" s="21" t="s">
        <v>41</v>
      </c>
      <c r="U570" s="21"/>
      <c r="V570" s="4" t="s">
        <v>42</v>
      </c>
      <c r="W570" s="4" t="s">
        <v>1024</v>
      </c>
      <c r="X570" s="4" t="s">
        <v>1025</v>
      </c>
      <c r="Y570" s="21" t="s">
        <v>56</v>
      </c>
      <c r="Z570" s="21"/>
      <c r="AA570" s="4" t="s">
        <v>46</v>
      </c>
      <c r="AB570" s="4" t="s">
        <v>47</v>
      </c>
      <c r="AC570" s="4" t="s">
        <v>81</v>
      </c>
      <c r="AD570" s="4" t="s">
        <v>41</v>
      </c>
      <c r="AE570" s="4" t="s">
        <v>48</v>
      </c>
      <c r="AF570" s="4" t="s">
        <v>41</v>
      </c>
      <c r="AG570" s="4" t="s">
        <v>1330</v>
      </c>
    </row>
    <row r="571" spans="1:33" ht="16.5" customHeight="1" x14ac:dyDescent="0.2">
      <c r="A571" s="2" t="s">
        <v>31</v>
      </c>
      <c r="B571" s="19" t="s">
        <v>50</v>
      </c>
      <c r="C571" s="19"/>
      <c r="D571" s="19"/>
      <c r="E571" s="20" t="s">
        <v>33</v>
      </c>
      <c r="F571" s="20"/>
      <c r="G571" s="21" t="s">
        <v>1327</v>
      </c>
      <c r="H571" s="21"/>
      <c r="I571" s="21"/>
      <c r="J571" s="3" t="s">
        <v>35</v>
      </c>
      <c r="K571" s="4" t="s">
        <v>146</v>
      </c>
      <c r="L571" s="4" t="s">
        <v>68</v>
      </c>
      <c r="N571" s="21" t="s">
        <v>1399</v>
      </c>
      <c r="O571" s="21"/>
      <c r="P571" s="21" t="s">
        <v>1400</v>
      </c>
      <c r="Q571" s="21"/>
      <c r="R571" s="21"/>
      <c r="S571" s="3" t="s">
        <v>40</v>
      </c>
      <c r="T571" s="21" t="s">
        <v>41</v>
      </c>
      <c r="U571" s="21"/>
      <c r="V571" s="4" t="s">
        <v>42</v>
      </c>
      <c r="W571" s="4" t="s">
        <v>256</v>
      </c>
      <c r="X571" s="4" t="s">
        <v>172</v>
      </c>
      <c r="Y571" s="21" t="s">
        <v>138</v>
      </c>
      <c r="Z571" s="21"/>
      <c r="AA571" s="4" t="s">
        <v>46</v>
      </c>
      <c r="AB571" s="4" t="s">
        <v>47</v>
      </c>
      <c r="AC571" s="4" t="s">
        <v>139</v>
      </c>
      <c r="AD571" s="4" t="s">
        <v>151</v>
      </c>
      <c r="AE571" s="4" t="s">
        <v>48</v>
      </c>
      <c r="AF571" s="4" t="s">
        <v>41</v>
      </c>
      <c r="AG571" s="4" t="s">
        <v>1330</v>
      </c>
    </row>
    <row r="572" spans="1:33" ht="0.75" customHeight="1" x14ac:dyDescent="0.2"/>
    <row r="573" spans="1:33" ht="12" customHeight="1" x14ac:dyDescent="0.2"/>
    <row r="574" spans="1:33" ht="16.5" customHeight="1" x14ac:dyDescent="0.2">
      <c r="A574" s="2" t="s">
        <v>31</v>
      </c>
      <c r="B574" s="19" t="s">
        <v>50</v>
      </c>
      <c r="C574" s="19"/>
      <c r="D574" s="19"/>
      <c r="E574" s="20" t="s">
        <v>33</v>
      </c>
      <c r="F574" s="20"/>
      <c r="G574" s="21" t="s">
        <v>1327</v>
      </c>
      <c r="H574" s="21"/>
      <c r="I574" s="21"/>
      <c r="J574" s="3" t="s">
        <v>35</v>
      </c>
      <c r="K574" s="4" t="s">
        <v>82</v>
      </c>
      <c r="L574" s="4" t="s">
        <v>37</v>
      </c>
      <c r="N574" s="21" t="s">
        <v>1401</v>
      </c>
      <c r="O574" s="21"/>
      <c r="P574" s="21" t="s">
        <v>1402</v>
      </c>
      <c r="Q574" s="21"/>
      <c r="R574" s="21"/>
      <c r="S574" s="3" t="s">
        <v>40</v>
      </c>
      <c r="T574" s="21" t="s">
        <v>41</v>
      </c>
      <c r="U574" s="21"/>
      <c r="V574" s="4" t="s">
        <v>42</v>
      </c>
      <c r="W574" s="4" t="s">
        <v>202</v>
      </c>
      <c r="X574" s="4" t="s">
        <v>203</v>
      </c>
      <c r="Y574" s="21" t="s">
        <v>56</v>
      </c>
      <c r="Z574" s="21"/>
      <c r="AA574" s="4" t="s">
        <v>46</v>
      </c>
      <c r="AB574" s="4" t="s">
        <v>47</v>
      </c>
      <c r="AC574" s="4" t="s">
        <v>139</v>
      </c>
      <c r="AD574" s="4" t="s">
        <v>140</v>
      </c>
      <c r="AE574" s="4" t="s">
        <v>48</v>
      </c>
      <c r="AF574" s="4" t="s">
        <v>41</v>
      </c>
      <c r="AG574" s="4" t="s">
        <v>1330</v>
      </c>
    </row>
    <row r="575" spans="1:33" ht="16.5" customHeight="1" x14ac:dyDescent="0.2">
      <c r="A575" s="2" t="s">
        <v>31</v>
      </c>
      <c r="B575" s="19" t="s">
        <v>50</v>
      </c>
      <c r="C575" s="19"/>
      <c r="D575" s="19"/>
      <c r="E575" s="20" t="s">
        <v>33</v>
      </c>
      <c r="F575" s="20"/>
      <c r="G575" s="21" t="s">
        <v>1327</v>
      </c>
      <c r="H575" s="21"/>
      <c r="I575" s="21"/>
      <c r="J575" s="3" t="s">
        <v>35</v>
      </c>
      <c r="K575" s="4" t="s">
        <v>74</v>
      </c>
      <c r="L575" s="4" t="s">
        <v>37</v>
      </c>
      <c r="N575" s="21" t="s">
        <v>1403</v>
      </c>
      <c r="O575" s="21"/>
      <c r="P575" s="21" t="s">
        <v>1404</v>
      </c>
      <c r="Q575" s="21"/>
      <c r="R575" s="21"/>
      <c r="S575" s="3" t="s">
        <v>40</v>
      </c>
      <c r="T575" s="21" t="s">
        <v>41</v>
      </c>
      <c r="U575" s="21"/>
      <c r="V575" s="4" t="s">
        <v>59</v>
      </c>
      <c r="W575" s="4" t="s">
        <v>54</v>
      </c>
      <c r="X575" s="4" t="s">
        <v>60</v>
      </c>
      <c r="Y575" s="21" t="s">
        <v>65</v>
      </c>
      <c r="Z575" s="21"/>
      <c r="AA575" s="4" t="s">
        <v>46</v>
      </c>
      <c r="AB575" s="4" t="s">
        <v>47</v>
      </c>
      <c r="AC575" s="4" t="s">
        <v>66</v>
      </c>
      <c r="AD575" s="4" t="s">
        <v>73</v>
      </c>
      <c r="AE575" s="4" t="s">
        <v>48</v>
      </c>
      <c r="AF575" s="4" t="s">
        <v>41</v>
      </c>
      <c r="AG575" s="4" t="s">
        <v>1330</v>
      </c>
    </row>
    <row r="576" spans="1:33" ht="16.5" customHeight="1" x14ac:dyDescent="0.2">
      <c r="A576" s="2" t="s">
        <v>31</v>
      </c>
      <c r="B576" s="19" t="s">
        <v>50</v>
      </c>
      <c r="C576" s="19"/>
      <c r="D576" s="19"/>
      <c r="E576" s="20" t="s">
        <v>33</v>
      </c>
      <c r="F576" s="20"/>
      <c r="G576" s="21" t="s">
        <v>1327</v>
      </c>
      <c r="H576" s="21"/>
      <c r="I576" s="21"/>
      <c r="J576" s="3" t="s">
        <v>35</v>
      </c>
      <c r="K576" s="4" t="s">
        <v>152</v>
      </c>
      <c r="L576" s="4" t="s">
        <v>37</v>
      </c>
      <c r="N576" s="21" t="s">
        <v>1405</v>
      </c>
      <c r="O576" s="21"/>
      <c r="P576" s="21" t="s">
        <v>1406</v>
      </c>
      <c r="Q576" s="21"/>
      <c r="R576" s="21"/>
      <c r="S576" s="3" t="s">
        <v>40</v>
      </c>
      <c r="T576" s="21" t="s">
        <v>41</v>
      </c>
      <c r="U576" s="21"/>
      <c r="V576" s="4" t="s">
        <v>42</v>
      </c>
      <c r="W576" s="4" t="s">
        <v>161</v>
      </c>
      <c r="X576" s="4" t="s">
        <v>162</v>
      </c>
      <c r="Y576" s="21" t="s">
        <v>56</v>
      </c>
      <c r="Z576" s="21"/>
      <c r="AA576" s="4" t="s">
        <v>46</v>
      </c>
      <c r="AB576" s="4" t="s">
        <v>47</v>
      </c>
      <c r="AC576" s="4" t="s">
        <v>139</v>
      </c>
      <c r="AD576" s="4" t="s">
        <v>140</v>
      </c>
      <c r="AE576" s="4" t="s">
        <v>48</v>
      </c>
      <c r="AF576" s="4" t="s">
        <v>41</v>
      </c>
      <c r="AG576" s="4" t="s">
        <v>1330</v>
      </c>
    </row>
    <row r="577" spans="1:33" ht="16.5" customHeight="1" x14ac:dyDescent="0.2">
      <c r="A577" s="2" t="s">
        <v>31</v>
      </c>
      <c r="B577" s="19" t="s">
        <v>50</v>
      </c>
      <c r="C577" s="19"/>
      <c r="D577" s="19"/>
      <c r="E577" s="20" t="s">
        <v>33</v>
      </c>
      <c r="F577" s="20"/>
      <c r="G577" s="21" t="s">
        <v>1327</v>
      </c>
      <c r="H577" s="21"/>
      <c r="I577" s="21"/>
      <c r="J577" s="3" t="s">
        <v>35</v>
      </c>
      <c r="K577" s="4" t="s">
        <v>82</v>
      </c>
      <c r="L577" s="4" t="s">
        <v>37</v>
      </c>
      <c r="N577" s="21" t="s">
        <v>1407</v>
      </c>
      <c r="O577" s="21"/>
      <c r="P577" s="21" t="s">
        <v>1408</v>
      </c>
      <c r="Q577" s="21"/>
      <c r="R577" s="21"/>
      <c r="S577" s="3" t="s">
        <v>40</v>
      </c>
      <c r="T577" s="21" t="s">
        <v>41</v>
      </c>
      <c r="U577" s="21"/>
      <c r="V577" s="4" t="s">
        <v>42</v>
      </c>
      <c r="W577" s="4" t="s">
        <v>350</v>
      </c>
      <c r="X577" s="4" t="s">
        <v>339</v>
      </c>
      <c r="Y577" s="21" t="s">
        <v>56</v>
      </c>
      <c r="Z577" s="21"/>
      <c r="AA577" s="4" t="s">
        <v>46</v>
      </c>
      <c r="AB577" s="4" t="s">
        <v>47</v>
      </c>
      <c r="AC577" s="4" t="s">
        <v>139</v>
      </c>
      <c r="AD577" s="4" t="s">
        <v>140</v>
      </c>
      <c r="AE577" s="4" t="s">
        <v>48</v>
      </c>
      <c r="AF577" s="4" t="s">
        <v>41</v>
      </c>
      <c r="AG577" s="4" t="s">
        <v>1330</v>
      </c>
    </row>
    <row r="578" spans="1:33" ht="16.5" customHeight="1" x14ac:dyDescent="0.2">
      <c r="A578" s="2" t="s">
        <v>31</v>
      </c>
      <c r="B578" s="19" t="s">
        <v>50</v>
      </c>
      <c r="C578" s="19"/>
      <c r="D578" s="19"/>
      <c r="E578" s="20" t="s">
        <v>33</v>
      </c>
      <c r="F578" s="20"/>
      <c r="G578" s="21" t="s">
        <v>1327</v>
      </c>
      <c r="H578" s="21"/>
      <c r="I578" s="21"/>
      <c r="J578" s="3" t="s">
        <v>35</v>
      </c>
      <c r="K578" s="4" t="s">
        <v>82</v>
      </c>
      <c r="L578" s="4" t="s">
        <v>37</v>
      </c>
      <c r="N578" s="21" t="s">
        <v>1409</v>
      </c>
      <c r="O578" s="21"/>
      <c r="P578" s="21" t="s">
        <v>1410</v>
      </c>
      <c r="Q578" s="21"/>
      <c r="R578" s="21"/>
      <c r="S578" s="3" t="s">
        <v>40</v>
      </c>
      <c r="T578" s="21" t="s">
        <v>41</v>
      </c>
      <c r="U578" s="21"/>
      <c r="V578" s="4" t="s">
        <v>42</v>
      </c>
      <c r="W578" s="4" t="s">
        <v>234</v>
      </c>
      <c r="X578" s="4" t="s">
        <v>235</v>
      </c>
      <c r="Y578" s="21" t="s">
        <v>56</v>
      </c>
      <c r="Z578" s="21"/>
      <c r="AA578" s="4" t="s">
        <v>46</v>
      </c>
      <c r="AB578" s="4" t="s">
        <v>47</v>
      </c>
      <c r="AC578" s="4" t="s">
        <v>139</v>
      </c>
      <c r="AD578" s="4" t="s">
        <v>140</v>
      </c>
      <c r="AE578" s="4" t="s">
        <v>48</v>
      </c>
      <c r="AF578" s="4" t="s">
        <v>41</v>
      </c>
      <c r="AG578" s="4" t="s">
        <v>1330</v>
      </c>
    </row>
    <row r="579" spans="1:33" ht="16.5" customHeight="1" x14ac:dyDescent="0.2">
      <c r="A579" s="2" t="s">
        <v>31</v>
      </c>
      <c r="B579" s="19" t="s">
        <v>50</v>
      </c>
      <c r="C579" s="19"/>
      <c r="D579" s="19"/>
      <c r="E579" s="20" t="s">
        <v>33</v>
      </c>
      <c r="F579" s="20"/>
      <c r="G579" s="21" t="s">
        <v>1327</v>
      </c>
      <c r="H579" s="21"/>
      <c r="I579" s="21"/>
      <c r="J579" s="3" t="s">
        <v>35</v>
      </c>
      <c r="K579" s="4" t="s">
        <v>265</v>
      </c>
      <c r="L579" s="4" t="s">
        <v>68</v>
      </c>
      <c r="N579" s="21" t="s">
        <v>1411</v>
      </c>
      <c r="O579" s="21"/>
      <c r="P579" s="21" t="s">
        <v>1412</v>
      </c>
      <c r="Q579" s="21"/>
      <c r="R579" s="21"/>
      <c r="S579" s="3" t="s">
        <v>40</v>
      </c>
      <c r="T579" s="21" t="s">
        <v>41</v>
      </c>
      <c r="U579" s="21"/>
      <c r="V579" s="4" t="s">
        <v>42</v>
      </c>
      <c r="W579" s="4" t="s">
        <v>742</v>
      </c>
      <c r="X579" s="4" t="s">
        <v>743</v>
      </c>
      <c r="Y579" s="21" t="s">
        <v>56</v>
      </c>
      <c r="Z579" s="21"/>
      <c r="AA579" s="4" t="s">
        <v>46</v>
      </c>
      <c r="AB579" s="4" t="s">
        <v>47</v>
      </c>
      <c r="AC579" s="4" t="s">
        <v>81</v>
      </c>
      <c r="AD579" s="4" t="s">
        <v>41</v>
      </c>
      <c r="AE579" s="4" t="s">
        <v>48</v>
      </c>
      <c r="AF579" s="4" t="s">
        <v>41</v>
      </c>
      <c r="AG579" s="4" t="s">
        <v>1330</v>
      </c>
    </row>
    <row r="580" spans="1:33" ht="16.5" customHeight="1" x14ac:dyDescent="0.2">
      <c r="A580" s="2" t="s">
        <v>31</v>
      </c>
      <c r="B580" s="19" t="s">
        <v>50</v>
      </c>
      <c r="C580" s="19"/>
      <c r="D580" s="19"/>
      <c r="E580" s="20" t="s">
        <v>33</v>
      </c>
      <c r="F580" s="20"/>
      <c r="G580" s="21" t="s">
        <v>1327</v>
      </c>
      <c r="H580" s="21"/>
      <c r="I580" s="21"/>
      <c r="J580" s="3" t="s">
        <v>35</v>
      </c>
      <c r="K580" s="4" t="s">
        <v>99</v>
      </c>
      <c r="L580" s="4" t="s">
        <v>37</v>
      </c>
      <c r="N580" s="21" t="s">
        <v>1413</v>
      </c>
      <c r="O580" s="21"/>
      <c r="P580" s="21" t="s">
        <v>1414</v>
      </c>
      <c r="Q580" s="21"/>
      <c r="R580" s="21"/>
      <c r="S580" s="3" t="s">
        <v>40</v>
      </c>
      <c r="T580" s="21" t="s">
        <v>41</v>
      </c>
      <c r="U580" s="21"/>
      <c r="V580" s="4" t="s">
        <v>42</v>
      </c>
      <c r="W580" s="4" t="s">
        <v>108</v>
      </c>
      <c r="X580" s="4" t="s">
        <v>109</v>
      </c>
      <c r="Y580" s="21" t="s">
        <v>56</v>
      </c>
      <c r="Z580" s="21"/>
      <c r="AA580" s="4" t="s">
        <v>46</v>
      </c>
      <c r="AB580" s="4" t="s">
        <v>47</v>
      </c>
      <c r="AC580" s="4" t="s">
        <v>57</v>
      </c>
      <c r="AD580" s="4" t="s">
        <v>58</v>
      </c>
      <c r="AE580" s="4" t="s">
        <v>48</v>
      </c>
      <c r="AF580" s="4" t="s">
        <v>41</v>
      </c>
      <c r="AG580" s="4" t="s">
        <v>1330</v>
      </c>
    </row>
    <row r="581" spans="1:33" ht="16.5" customHeight="1" x14ac:dyDescent="0.2">
      <c r="A581" s="2" t="s">
        <v>31</v>
      </c>
      <c r="B581" s="19" t="s">
        <v>50</v>
      </c>
      <c r="C581" s="19"/>
      <c r="D581" s="19"/>
      <c r="E581" s="20" t="s">
        <v>33</v>
      </c>
      <c r="F581" s="20"/>
      <c r="G581" s="21" t="s">
        <v>1327</v>
      </c>
      <c r="H581" s="21"/>
      <c r="I581" s="21"/>
      <c r="J581" s="3" t="s">
        <v>35</v>
      </c>
      <c r="K581" s="4" t="s">
        <v>51</v>
      </c>
      <c r="L581" s="4" t="s">
        <v>37</v>
      </c>
      <c r="N581" s="21" t="s">
        <v>1415</v>
      </c>
      <c r="O581" s="21"/>
      <c r="P581" s="21" t="s">
        <v>1416</v>
      </c>
      <c r="Q581" s="21"/>
      <c r="R581" s="21"/>
      <c r="S581" s="3" t="s">
        <v>40</v>
      </c>
      <c r="T581" s="21" t="s">
        <v>41</v>
      </c>
      <c r="U581" s="21"/>
      <c r="V581" s="4" t="s">
        <v>59</v>
      </c>
      <c r="W581" s="4" t="s">
        <v>54</v>
      </c>
      <c r="X581" s="4" t="s">
        <v>60</v>
      </c>
      <c r="Y581" s="21" t="s">
        <v>56</v>
      </c>
      <c r="Z581" s="21"/>
      <c r="AA581" s="4" t="s">
        <v>46</v>
      </c>
      <c r="AB581" s="4" t="s">
        <v>47</v>
      </c>
      <c r="AC581" s="4" t="s">
        <v>57</v>
      </c>
      <c r="AD581" s="4" t="s">
        <v>58</v>
      </c>
      <c r="AE581" s="4" t="s">
        <v>48</v>
      </c>
      <c r="AF581" s="4" t="s">
        <v>41</v>
      </c>
      <c r="AG581" s="4" t="s">
        <v>1330</v>
      </c>
    </row>
    <row r="582" spans="1:33" ht="16.5" customHeight="1" x14ac:dyDescent="0.2">
      <c r="A582" s="2" t="s">
        <v>31</v>
      </c>
      <c r="B582" s="19" t="s">
        <v>50</v>
      </c>
      <c r="C582" s="19"/>
      <c r="D582" s="19"/>
      <c r="E582" s="20" t="s">
        <v>33</v>
      </c>
      <c r="F582" s="20"/>
      <c r="G582" s="21" t="s">
        <v>1327</v>
      </c>
      <c r="H582" s="21"/>
      <c r="I582" s="21"/>
      <c r="J582" s="3" t="s">
        <v>35</v>
      </c>
      <c r="K582" s="4" t="s">
        <v>99</v>
      </c>
      <c r="L582" s="4" t="s">
        <v>278</v>
      </c>
      <c r="N582" s="21" t="s">
        <v>1417</v>
      </c>
      <c r="O582" s="21"/>
      <c r="P582" s="21" t="s">
        <v>1418</v>
      </c>
      <c r="Q582" s="21"/>
      <c r="R582" s="21"/>
      <c r="S582" s="3" t="s">
        <v>40</v>
      </c>
      <c r="T582" s="21" t="s">
        <v>41</v>
      </c>
      <c r="U582" s="21"/>
      <c r="V582" s="4" t="s">
        <v>42</v>
      </c>
      <c r="W582" s="4" t="s">
        <v>182</v>
      </c>
      <c r="X582" s="4" t="s">
        <v>294</v>
      </c>
      <c r="Y582" s="21" t="s">
        <v>56</v>
      </c>
      <c r="Z582" s="21"/>
      <c r="AA582" s="4" t="s">
        <v>46</v>
      </c>
      <c r="AB582" s="4" t="s">
        <v>47</v>
      </c>
      <c r="AC582" s="4" t="s">
        <v>57</v>
      </c>
      <c r="AD582" s="4" t="s">
        <v>283</v>
      </c>
      <c r="AE582" s="4" t="s">
        <v>48</v>
      </c>
      <c r="AF582" s="4" t="s">
        <v>41</v>
      </c>
      <c r="AG582" s="4" t="s">
        <v>1330</v>
      </c>
    </row>
    <row r="583" spans="1:33" ht="16.5" customHeight="1" x14ac:dyDescent="0.2">
      <c r="A583" s="2" t="s">
        <v>31</v>
      </c>
      <c r="B583" s="19" t="s">
        <v>50</v>
      </c>
      <c r="C583" s="19"/>
      <c r="D583" s="19"/>
      <c r="E583" s="20" t="s">
        <v>33</v>
      </c>
      <c r="F583" s="20"/>
      <c r="G583" s="21" t="s">
        <v>1327</v>
      </c>
      <c r="H583" s="21"/>
      <c r="I583" s="21"/>
      <c r="J583" s="3" t="s">
        <v>35</v>
      </c>
      <c r="K583" s="4" t="s">
        <v>99</v>
      </c>
      <c r="L583" s="4" t="s">
        <v>37</v>
      </c>
      <c r="N583" s="21" t="s">
        <v>1419</v>
      </c>
      <c r="O583" s="21"/>
      <c r="P583" s="21" t="s">
        <v>1420</v>
      </c>
      <c r="Q583" s="21"/>
      <c r="R583" s="21"/>
      <c r="S583" s="3" t="s">
        <v>40</v>
      </c>
      <c r="T583" s="21" t="s">
        <v>41</v>
      </c>
      <c r="U583" s="21"/>
      <c r="V583" s="4" t="s">
        <v>42</v>
      </c>
      <c r="W583" s="4" t="s">
        <v>182</v>
      </c>
      <c r="X583" s="4" t="s">
        <v>294</v>
      </c>
      <c r="Y583" s="21" t="s">
        <v>56</v>
      </c>
      <c r="Z583" s="21"/>
      <c r="AA583" s="4" t="s">
        <v>46</v>
      </c>
      <c r="AB583" s="4" t="s">
        <v>47</v>
      </c>
      <c r="AC583" s="4" t="s">
        <v>57</v>
      </c>
      <c r="AD583" s="4" t="s">
        <v>58</v>
      </c>
      <c r="AE583" s="4" t="s">
        <v>48</v>
      </c>
      <c r="AF583" s="4" t="s">
        <v>41</v>
      </c>
      <c r="AG583" s="4" t="s">
        <v>1330</v>
      </c>
    </row>
    <row r="584" spans="1:33" ht="16.5" customHeight="1" x14ac:dyDescent="0.2">
      <c r="A584" s="2" t="s">
        <v>31</v>
      </c>
      <c r="B584" s="19" t="s">
        <v>50</v>
      </c>
      <c r="C584" s="19"/>
      <c r="D584" s="19"/>
      <c r="E584" s="20" t="s">
        <v>33</v>
      </c>
      <c r="F584" s="20"/>
      <c r="G584" s="21" t="s">
        <v>1327</v>
      </c>
      <c r="H584" s="21"/>
      <c r="I584" s="21"/>
      <c r="J584" s="3" t="s">
        <v>35</v>
      </c>
      <c r="K584" s="4" t="s">
        <v>82</v>
      </c>
      <c r="L584" s="4" t="s">
        <v>37</v>
      </c>
      <c r="N584" s="21" t="s">
        <v>1421</v>
      </c>
      <c r="O584" s="21"/>
      <c r="P584" s="21" t="s">
        <v>1422</v>
      </c>
      <c r="Q584" s="21"/>
      <c r="R584" s="21"/>
      <c r="S584" s="3" t="s">
        <v>40</v>
      </c>
      <c r="T584" s="21" t="s">
        <v>41</v>
      </c>
      <c r="U584" s="21"/>
      <c r="V584" s="4" t="s">
        <v>42</v>
      </c>
      <c r="W584" s="4" t="s">
        <v>54</v>
      </c>
      <c r="X584" s="4" t="s">
        <v>55</v>
      </c>
      <c r="Y584" s="21" t="s">
        <v>56</v>
      </c>
      <c r="Z584" s="21"/>
      <c r="AA584" s="4" t="s">
        <v>46</v>
      </c>
      <c r="AB584" s="4" t="s">
        <v>47</v>
      </c>
      <c r="AC584" s="4" t="s">
        <v>57</v>
      </c>
      <c r="AD584" s="4" t="s">
        <v>58</v>
      </c>
      <c r="AE584" s="4" t="s">
        <v>48</v>
      </c>
      <c r="AF584" s="4" t="s">
        <v>41</v>
      </c>
      <c r="AG584" s="4" t="s">
        <v>1330</v>
      </c>
    </row>
    <row r="585" spans="1:33" ht="16.5" customHeight="1" x14ac:dyDescent="0.2">
      <c r="A585" s="2" t="s">
        <v>31</v>
      </c>
      <c r="B585" s="19" t="s">
        <v>50</v>
      </c>
      <c r="C585" s="19"/>
      <c r="D585" s="19"/>
      <c r="E585" s="20" t="s">
        <v>33</v>
      </c>
      <c r="F585" s="20"/>
      <c r="G585" s="21" t="s">
        <v>1327</v>
      </c>
      <c r="H585" s="21"/>
      <c r="I585" s="21"/>
      <c r="J585" s="3" t="s">
        <v>35</v>
      </c>
      <c r="K585" s="4" t="s">
        <v>82</v>
      </c>
      <c r="L585" s="4" t="s">
        <v>37</v>
      </c>
      <c r="N585" s="21" t="s">
        <v>1421</v>
      </c>
      <c r="O585" s="21"/>
      <c r="P585" s="21" t="s">
        <v>1422</v>
      </c>
      <c r="Q585" s="21"/>
      <c r="R585" s="21"/>
      <c r="S585" s="3" t="s">
        <v>40</v>
      </c>
      <c r="T585" s="21" t="s">
        <v>41</v>
      </c>
      <c r="U585" s="21"/>
      <c r="V585" s="4" t="s">
        <v>59</v>
      </c>
      <c r="W585" s="4" t="s">
        <v>54</v>
      </c>
      <c r="X585" s="4" t="s">
        <v>60</v>
      </c>
      <c r="Y585" s="21" t="s">
        <v>56</v>
      </c>
      <c r="Z585" s="21"/>
      <c r="AA585" s="4" t="s">
        <v>46</v>
      </c>
      <c r="AB585" s="4" t="s">
        <v>47</v>
      </c>
      <c r="AC585" s="4" t="s">
        <v>57</v>
      </c>
      <c r="AD585" s="4" t="s">
        <v>58</v>
      </c>
      <c r="AE585" s="4" t="s">
        <v>48</v>
      </c>
      <c r="AF585" s="4" t="s">
        <v>41</v>
      </c>
      <c r="AG585" s="4" t="s">
        <v>1330</v>
      </c>
    </row>
    <row r="586" spans="1:33" ht="16.5" customHeight="1" x14ac:dyDescent="0.2">
      <c r="A586" s="2" t="s">
        <v>31</v>
      </c>
      <c r="B586" s="19" t="s">
        <v>50</v>
      </c>
      <c r="C586" s="19"/>
      <c r="D586" s="19"/>
      <c r="E586" s="20" t="s">
        <v>33</v>
      </c>
      <c r="F586" s="20"/>
      <c r="G586" s="21" t="s">
        <v>1327</v>
      </c>
      <c r="H586" s="21"/>
      <c r="I586" s="21"/>
      <c r="J586" s="3" t="s">
        <v>35</v>
      </c>
      <c r="K586" s="4" t="s">
        <v>82</v>
      </c>
      <c r="L586" s="4" t="s">
        <v>37</v>
      </c>
      <c r="N586" s="21" t="s">
        <v>1423</v>
      </c>
      <c r="O586" s="21"/>
      <c r="P586" s="21" t="s">
        <v>1424</v>
      </c>
      <c r="Q586" s="21"/>
      <c r="R586" s="21"/>
      <c r="S586" s="3" t="s">
        <v>40</v>
      </c>
      <c r="T586" s="21" t="s">
        <v>41</v>
      </c>
      <c r="U586" s="21"/>
      <c r="V586" s="4" t="s">
        <v>42</v>
      </c>
      <c r="W586" s="4" t="s">
        <v>1425</v>
      </c>
      <c r="X586" s="4" t="s">
        <v>1426</v>
      </c>
      <c r="Y586" s="21" t="s">
        <v>56</v>
      </c>
      <c r="Z586" s="21"/>
      <c r="AA586" s="4" t="s">
        <v>46</v>
      </c>
      <c r="AB586" s="4" t="s">
        <v>47</v>
      </c>
      <c r="AC586" s="4" t="s">
        <v>139</v>
      </c>
      <c r="AD586" s="4" t="s">
        <v>140</v>
      </c>
      <c r="AE586" s="4" t="s">
        <v>48</v>
      </c>
      <c r="AF586" s="4" t="s">
        <v>41</v>
      </c>
      <c r="AG586" s="4" t="s">
        <v>1330</v>
      </c>
    </row>
    <row r="587" spans="1:33" ht="16.5" customHeight="1" x14ac:dyDescent="0.2">
      <c r="A587" s="2" t="s">
        <v>31</v>
      </c>
      <c r="B587" s="19" t="s">
        <v>110</v>
      </c>
      <c r="C587" s="19"/>
      <c r="D587" s="19"/>
      <c r="E587" s="20" t="s">
        <v>33</v>
      </c>
      <c r="F587" s="20"/>
      <c r="G587" s="21" t="s">
        <v>1327</v>
      </c>
      <c r="H587" s="21"/>
      <c r="I587" s="21"/>
      <c r="J587" s="3" t="s">
        <v>111</v>
      </c>
      <c r="K587" s="4" t="s">
        <v>112</v>
      </c>
      <c r="N587" s="21" t="s">
        <v>1423</v>
      </c>
      <c r="O587" s="21"/>
      <c r="P587" s="21" t="s">
        <v>1424</v>
      </c>
      <c r="Q587" s="21"/>
      <c r="R587" s="21"/>
      <c r="S587" s="3" t="s">
        <v>40</v>
      </c>
      <c r="T587" s="21" t="s">
        <v>1427</v>
      </c>
      <c r="U587" s="21"/>
      <c r="V587" s="4" t="s">
        <v>42</v>
      </c>
      <c r="W587" s="4" t="s">
        <v>130</v>
      </c>
      <c r="X587" s="4" t="s">
        <v>203</v>
      </c>
      <c r="Y587" s="21" t="s">
        <v>116</v>
      </c>
      <c r="Z587" s="21"/>
      <c r="AA587" s="4" t="s">
        <v>46</v>
      </c>
      <c r="AB587" s="4" t="s">
        <v>117</v>
      </c>
      <c r="AC587" s="4" t="s">
        <v>243</v>
      </c>
      <c r="AD587" s="4" t="s">
        <v>1428</v>
      </c>
      <c r="AE587" s="4" t="s">
        <v>48</v>
      </c>
      <c r="AF587" s="4" t="s">
        <v>41</v>
      </c>
      <c r="AG587" s="4" t="s">
        <v>1330</v>
      </c>
    </row>
    <row r="588" spans="1:33" ht="16.5" customHeight="1" x14ac:dyDescent="0.2">
      <c r="A588" s="2" t="s">
        <v>31</v>
      </c>
      <c r="B588" s="19" t="s">
        <v>50</v>
      </c>
      <c r="C588" s="19"/>
      <c r="D588" s="19"/>
      <c r="E588" s="20" t="s">
        <v>33</v>
      </c>
      <c r="F588" s="20"/>
      <c r="G588" s="21" t="s">
        <v>1327</v>
      </c>
      <c r="H588" s="21"/>
      <c r="I588" s="21"/>
      <c r="J588" s="3" t="s">
        <v>35</v>
      </c>
      <c r="K588" s="4" t="s">
        <v>82</v>
      </c>
      <c r="L588" s="4" t="s">
        <v>37</v>
      </c>
      <c r="N588" s="21" t="s">
        <v>1429</v>
      </c>
      <c r="O588" s="21"/>
      <c r="P588" s="21" t="s">
        <v>1430</v>
      </c>
      <c r="Q588" s="21"/>
      <c r="R588" s="21"/>
      <c r="S588" s="3" t="s">
        <v>40</v>
      </c>
      <c r="T588" s="21" t="s">
        <v>41</v>
      </c>
      <c r="U588" s="21"/>
      <c r="V588" s="4" t="s">
        <v>42</v>
      </c>
      <c r="W588" s="4" t="s">
        <v>213</v>
      </c>
      <c r="X588" s="4" t="s">
        <v>531</v>
      </c>
      <c r="Y588" s="21" t="s">
        <v>56</v>
      </c>
      <c r="Z588" s="21"/>
      <c r="AA588" s="4" t="s">
        <v>46</v>
      </c>
      <c r="AB588" s="4" t="s">
        <v>47</v>
      </c>
      <c r="AC588" s="4" t="s">
        <v>81</v>
      </c>
      <c r="AD588" s="4" t="s">
        <v>41</v>
      </c>
      <c r="AE588" s="4" t="s">
        <v>48</v>
      </c>
      <c r="AF588" s="4" t="s">
        <v>41</v>
      </c>
      <c r="AG588" s="4" t="s">
        <v>1330</v>
      </c>
    </row>
    <row r="589" spans="1:33" ht="16.5" customHeight="1" x14ac:dyDescent="0.2">
      <c r="A589" s="2" t="s">
        <v>31</v>
      </c>
      <c r="B589" s="19" t="s">
        <v>50</v>
      </c>
      <c r="C589" s="19"/>
      <c r="D589" s="19"/>
      <c r="E589" s="20" t="s">
        <v>33</v>
      </c>
      <c r="F589" s="20"/>
      <c r="G589" s="21" t="s">
        <v>1327</v>
      </c>
      <c r="H589" s="21"/>
      <c r="I589" s="21"/>
      <c r="J589" s="3" t="s">
        <v>35</v>
      </c>
      <c r="K589" s="4" t="s">
        <v>152</v>
      </c>
      <c r="L589" s="4" t="s">
        <v>37</v>
      </c>
      <c r="N589" s="21" t="s">
        <v>1431</v>
      </c>
      <c r="O589" s="21"/>
      <c r="P589" s="21" t="s">
        <v>1432</v>
      </c>
      <c r="Q589" s="21"/>
      <c r="R589" s="21"/>
      <c r="S589" s="3" t="s">
        <v>40</v>
      </c>
      <c r="T589" s="21" t="s">
        <v>41</v>
      </c>
      <c r="U589" s="21"/>
      <c r="V589" s="4" t="s">
        <v>42</v>
      </c>
      <c r="W589" s="4" t="s">
        <v>1433</v>
      </c>
      <c r="X589" s="4" t="s">
        <v>1434</v>
      </c>
      <c r="Y589" s="21" t="s">
        <v>56</v>
      </c>
      <c r="Z589" s="21"/>
      <c r="AA589" s="4" t="s">
        <v>46</v>
      </c>
      <c r="AB589" s="4" t="s">
        <v>47</v>
      </c>
      <c r="AC589" s="4" t="s">
        <v>139</v>
      </c>
      <c r="AD589" s="4" t="s">
        <v>140</v>
      </c>
      <c r="AE589" s="4" t="s">
        <v>48</v>
      </c>
      <c r="AF589" s="4" t="s">
        <v>41</v>
      </c>
      <c r="AG589" s="4" t="s">
        <v>1330</v>
      </c>
    </row>
    <row r="590" spans="1:33" ht="16.5" customHeight="1" x14ac:dyDescent="0.2">
      <c r="A590" s="2" t="s">
        <v>31</v>
      </c>
      <c r="B590" s="19" t="s">
        <v>50</v>
      </c>
      <c r="C590" s="19"/>
      <c r="D590" s="19"/>
      <c r="E590" s="20" t="s">
        <v>33</v>
      </c>
      <c r="F590" s="20"/>
      <c r="G590" s="21" t="s">
        <v>1327</v>
      </c>
      <c r="H590" s="21"/>
      <c r="I590" s="21"/>
      <c r="J590" s="3" t="s">
        <v>35</v>
      </c>
      <c r="K590" s="4" t="s">
        <v>152</v>
      </c>
      <c r="L590" s="4" t="s">
        <v>179</v>
      </c>
      <c r="N590" s="21" t="s">
        <v>1431</v>
      </c>
      <c r="O590" s="21"/>
      <c r="P590" s="21" t="s">
        <v>1432</v>
      </c>
      <c r="Q590" s="21"/>
      <c r="R590" s="21"/>
      <c r="S590" s="3" t="s">
        <v>40</v>
      </c>
      <c r="T590" s="21" t="s">
        <v>41</v>
      </c>
      <c r="U590" s="21"/>
      <c r="V590" s="4" t="s">
        <v>42</v>
      </c>
      <c r="W590" s="4" t="s">
        <v>1433</v>
      </c>
      <c r="X590" s="4" t="s">
        <v>1434</v>
      </c>
      <c r="Y590" s="21" t="s">
        <v>56</v>
      </c>
      <c r="Z590" s="21"/>
      <c r="AA590" s="4" t="s">
        <v>46</v>
      </c>
      <c r="AB590" s="4" t="s">
        <v>47</v>
      </c>
      <c r="AC590" s="4" t="s">
        <v>139</v>
      </c>
      <c r="AD590" s="4" t="s">
        <v>1435</v>
      </c>
      <c r="AE590" s="4" t="s">
        <v>48</v>
      </c>
      <c r="AF590" s="4" t="s">
        <v>41</v>
      </c>
      <c r="AG590" s="4" t="s">
        <v>1330</v>
      </c>
    </row>
    <row r="591" spans="1:33" ht="16.5" customHeight="1" x14ac:dyDescent="0.2">
      <c r="A591" s="2" t="s">
        <v>31</v>
      </c>
      <c r="B591" s="19" t="s">
        <v>50</v>
      </c>
      <c r="C591" s="19"/>
      <c r="D591" s="19"/>
      <c r="E591" s="20" t="s">
        <v>33</v>
      </c>
      <c r="F591" s="20"/>
      <c r="G591" s="21" t="s">
        <v>1327</v>
      </c>
      <c r="H591" s="21"/>
      <c r="I591" s="21"/>
      <c r="J591" s="3" t="s">
        <v>35</v>
      </c>
      <c r="K591" s="4" t="s">
        <v>152</v>
      </c>
      <c r="L591" s="4" t="s">
        <v>37</v>
      </c>
      <c r="N591" s="21" t="s">
        <v>1436</v>
      </c>
      <c r="O591" s="21"/>
      <c r="P591" s="21" t="s">
        <v>1437</v>
      </c>
      <c r="Q591" s="21"/>
      <c r="R591" s="21"/>
      <c r="S591" s="3" t="s">
        <v>40</v>
      </c>
      <c r="T591" s="21" t="s">
        <v>41</v>
      </c>
      <c r="U591" s="21"/>
      <c r="V591" s="4" t="s">
        <v>59</v>
      </c>
      <c r="W591" s="4" t="s">
        <v>281</v>
      </c>
      <c r="X591" s="4" t="s">
        <v>1104</v>
      </c>
      <c r="Y591" s="21" t="s">
        <v>56</v>
      </c>
      <c r="Z591" s="21"/>
      <c r="AA591" s="4" t="s">
        <v>46</v>
      </c>
      <c r="AB591" s="4" t="s">
        <v>47</v>
      </c>
      <c r="AC591" s="4" t="s">
        <v>139</v>
      </c>
      <c r="AD591" s="4" t="s">
        <v>140</v>
      </c>
      <c r="AE591" s="4" t="s">
        <v>48</v>
      </c>
      <c r="AF591" s="4" t="s">
        <v>41</v>
      </c>
      <c r="AG591" s="4" t="s">
        <v>1330</v>
      </c>
    </row>
    <row r="592" spans="1:33" ht="16.5" customHeight="1" x14ac:dyDescent="0.2">
      <c r="A592" s="2" t="s">
        <v>31</v>
      </c>
      <c r="B592" s="19" t="s">
        <v>50</v>
      </c>
      <c r="C592" s="19"/>
      <c r="D592" s="19"/>
      <c r="E592" s="20" t="s">
        <v>33</v>
      </c>
      <c r="F592" s="20"/>
      <c r="G592" s="21" t="s">
        <v>1327</v>
      </c>
      <c r="H592" s="21"/>
      <c r="I592" s="21"/>
      <c r="J592" s="3" t="s">
        <v>35</v>
      </c>
      <c r="K592" s="4" t="s">
        <v>99</v>
      </c>
      <c r="L592" s="4" t="s">
        <v>37</v>
      </c>
      <c r="N592" s="21" t="s">
        <v>1438</v>
      </c>
      <c r="O592" s="21"/>
      <c r="P592" s="21" t="s">
        <v>1439</v>
      </c>
      <c r="Q592" s="21"/>
      <c r="R592" s="21"/>
      <c r="S592" s="3" t="s">
        <v>40</v>
      </c>
      <c r="T592" s="21" t="s">
        <v>41</v>
      </c>
      <c r="U592" s="21"/>
      <c r="V592" s="4" t="s">
        <v>42</v>
      </c>
      <c r="W592" s="4" t="s">
        <v>54</v>
      </c>
      <c r="X592" s="4" t="s">
        <v>55</v>
      </c>
      <c r="Y592" s="21" t="s">
        <v>56</v>
      </c>
      <c r="Z592" s="21"/>
      <c r="AA592" s="4" t="s">
        <v>46</v>
      </c>
      <c r="AB592" s="4" t="s">
        <v>47</v>
      </c>
      <c r="AC592" s="4" t="s">
        <v>57</v>
      </c>
      <c r="AD592" s="4" t="s">
        <v>58</v>
      </c>
      <c r="AE592" s="4" t="s">
        <v>48</v>
      </c>
      <c r="AF592" s="4" t="s">
        <v>41</v>
      </c>
      <c r="AG592" s="4" t="s">
        <v>1330</v>
      </c>
    </row>
    <row r="593" spans="1:33" ht="16.5" customHeight="1" x14ac:dyDescent="0.2">
      <c r="A593" s="2" t="s">
        <v>31</v>
      </c>
      <c r="B593" s="19" t="s">
        <v>50</v>
      </c>
      <c r="C593" s="19"/>
      <c r="D593" s="19"/>
      <c r="E593" s="20" t="s">
        <v>33</v>
      </c>
      <c r="F593" s="20"/>
      <c r="G593" s="21" t="s">
        <v>1327</v>
      </c>
      <c r="H593" s="21"/>
      <c r="I593" s="21"/>
      <c r="J593" s="3" t="s">
        <v>35</v>
      </c>
      <c r="K593" s="4" t="s">
        <v>99</v>
      </c>
      <c r="L593" s="4" t="s">
        <v>37</v>
      </c>
      <c r="N593" s="21" t="s">
        <v>1438</v>
      </c>
      <c r="O593" s="21"/>
      <c r="P593" s="21" t="s">
        <v>1439</v>
      </c>
      <c r="Q593" s="21"/>
      <c r="R593" s="21"/>
      <c r="S593" s="3" t="s">
        <v>40</v>
      </c>
      <c r="T593" s="21" t="s">
        <v>41</v>
      </c>
      <c r="U593" s="21"/>
      <c r="V593" s="4" t="s">
        <v>59</v>
      </c>
      <c r="W593" s="4" t="s">
        <v>54</v>
      </c>
      <c r="X593" s="4" t="s">
        <v>60</v>
      </c>
      <c r="Y593" s="21" t="s">
        <v>56</v>
      </c>
      <c r="Z593" s="21"/>
      <c r="AA593" s="4" t="s">
        <v>46</v>
      </c>
      <c r="AB593" s="4" t="s">
        <v>47</v>
      </c>
      <c r="AC593" s="4" t="s">
        <v>57</v>
      </c>
      <c r="AD593" s="4" t="s">
        <v>58</v>
      </c>
      <c r="AE593" s="4" t="s">
        <v>48</v>
      </c>
      <c r="AF593" s="4" t="s">
        <v>41</v>
      </c>
      <c r="AG593" s="4" t="s">
        <v>1330</v>
      </c>
    </row>
    <row r="594" spans="1:33" ht="16.5" customHeight="1" x14ac:dyDescent="0.2">
      <c r="A594" s="2" t="s">
        <v>31</v>
      </c>
      <c r="B594" s="19" t="s">
        <v>50</v>
      </c>
      <c r="C594" s="19"/>
      <c r="D594" s="19"/>
      <c r="E594" s="20" t="s">
        <v>33</v>
      </c>
      <c r="F594" s="20"/>
      <c r="G594" s="21" t="s">
        <v>1327</v>
      </c>
      <c r="H594" s="21"/>
      <c r="I594" s="21"/>
      <c r="J594" s="3" t="s">
        <v>35</v>
      </c>
      <c r="K594" s="4" t="s">
        <v>82</v>
      </c>
      <c r="L594" s="4" t="s">
        <v>37</v>
      </c>
      <c r="N594" s="21" t="s">
        <v>1440</v>
      </c>
      <c r="O594" s="21"/>
      <c r="P594" s="21" t="s">
        <v>1441</v>
      </c>
      <c r="Q594" s="21"/>
      <c r="R594" s="21"/>
      <c r="S594" s="3" t="s">
        <v>40</v>
      </c>
      <c r="T594" s="21" t="s">
        <v>41</v>
      </c>
      <c r="U594" s="21"/>
      <c r="V594" s="4" t="s">
        <v>42</v>
      </c>
      <c r="W594" s="4" t="s">
        <v>54</v>
      </c>
      <c r="X594" s="4" t="s">
        <v>55</v>
      </c>
      <c r="Y594" s="21" t="s">
        <v>56</v>
      </c>
      <c r="Z594" s="21"/>
      <c r="AA594" s="4" t="s">
        <v>46</v>
      </c>
      <c r="AB594" s="4" t="s">
        <v>47</v>
      </c>
      <c r="AC594" s="4" t="s">
        <v>57</v>
      </c>
      <c r="AD594" s="4" t="s">
        <v>58</v>
      </c>
      <c r="AE594" s="4" t="s">
        <v>48</v>
      </c>
      <c r="AF594" s="4" t="s">
        <v>41</v>
      </c>
      <c r="AG594" s="4" t="s">
        <v>1330</v>
      </c>
    </row>
    <row r="595" spans="1:33" ht="16.5" customHeight="1" x14ac:dyDescent="0.2">
      <c r="A595" s="2" t="s">
        <v>31</v>
      </c>
      <c r="B595" s="19" t="s">
        <v>50</v>
      </c>
      <c r="C595" s="19"/>
      <c r="D595" s="19"/>
      <c r="E595" s="20" t="s">
        <v>33</v>
      </c>
      <c r="F595" s="20"/>
      <c r="G595" s="21" t="s">
        <v>1327</v>
      </c>
      <c r="H595" s="21"/>
      <c r="I595" s="21"/>
      <c r="J595" s="3" t="s">
        <v>35</v>
      </c>
      <c r="K595" s="4" t="s">
        <v>82</v>
      </c>
      <c r="L595" s="4" t="s">
        <v>37</v>
      </c>
      <c r="N595" s="21" t="s">
        <v>1442</v>
      </c>
      <c r="O595" s="21"/>
      <c r="P595" s="21" t="s">
        <v>1443</v>
      </c>
      <c r="Q595" s="21"/>
      <c r="R595" s="21"/>
      <c r="S595" s="3" t="s">
        <v>40</v>
      </c>
      <c r="T595" s="21" t="s">
        <v>41</v>
      </c>
      <c r="U595" s="21"/>
      <c r="V595" s="4" t="s">
        <v>42</v>
      </c>
      <c r="W595" s="4" t="s">
        <v>213</v>
      </c>
      <c r="X595" s="4" t="s">
        <v>531</v>
      </c>
      <c r="Y595" s="21" t="s">
        <v>56</v>
      </c>
      <c r="Z595" s="21"/>
      <c r="AA595" s="4" t="s">
        <v>46</v>
      </c>
      <c r="AB595" s="4" t="s">
        <v>47</v>
      </c>
      <c r="AC595" s="4" t="s">
        <v>139</v>
      </c>
      <c r="AD595" s="4" t="s">
        <v>140</v>
      </c>
      <c r="AE595" s="4" t="s">
        <v>48</v>
      </c>
      <c r="AF595" s="4" t="s">
        <v>41</v>
      </c>
      <c r="AG595" s="4" t="s">
        <v>1330</v>
      </c>
    </row>
    <row r="596" spans="1:33" ht="16.5" customHeight="1" x14ac:dyDescent="0.2">
      <c r="A596" s="2" t="s">
        <v>31</v>
      </c>
      <c r="B596" s="19" t="s">
        <v>50</v>
      </c>
      <c r="C596" s="19"/>
      <c r="D596" s="19"/>
      <c r="E596" s="20" t="s">
        <v>33</v>
      </c>
      <c r="F596" s="20"/>
      <c r="G596" s="21" t="s">
        <v>1327</v>
      </c>
      <c r="H596" s="21"/>
      <c r="I596" s="21"/>
      <c r="J596" s="3" t="s">
        <v>35</v>
      </c>
      <c r="K596" s="4" t="s">
        <v>82</v>
      </c>
      <c r="L596" s="4" t="s">
        <v>37</v>
      </c>
      <c r="N596" s="21" t="s">
        <v>1444</v>
      </c>
      <c r="O596" s="21"/>
      <c r="P596" s="21" t="s">
        <v>1445</v>
      </c>
      <c r="Q596" s="21"/>
      <c r="R596" s="21"/>
      <c r="S596" s="3" t="s">
        <v>40</v>
      </c>
      <c r="T596" s="21" t="s">
        <v>41</v>
      </c>
      <c r="U596" s="21"/>
      <c r="V596" s="4" t="s">
        <v>59</v>
      </c>
      <c r="W596" s="4" t="s">
        <v>54</v>
      </c>
      <c r="X596" s="4" t="s">
        <v>60</v>
      </c>
      <c r="Y596" s="21" t="s">
        <v>56</v>
      </c>
      <c r="Z596" s="21"/>
      <c r="AA596" s="4" t="s">
        <v>46</v>
      </c>
      <c r="AB596" s="4" t="s">
        <v>47</v>
      </c>
      <c r="AC596" s="4" t="s">
        <v>57</v>
      </c>
      <c r="AD596" s="4" t="s">
        <v>58</v>
      </c>
      <c r="AE596" s="4" t="s">
        <v>48</v>
      </c>
      <c r="AF596" s="4" t="s">
        <v>41</v>
      </c>
      <c r="AG596" s="4" t="s">
        <v>1330</v>
      </c>
    </row>
    <row r="597" spans="1:33" ht="16.5" customHeight="1" x14ac:dyDescent="0.2">
      <c r="A597" s="2" t="s">
        <v>31</v>
      </c>
      <c r="B597" s="19" t="s">
        <v>50</v>
      </c>
      <c r="C597" s="19"/>
      <c r="D597" s="19"/>
      <c r="E597" s="20" t="s">
        <v>33</v>
      </c>
      <c r="F597" s="20"/>
      <c r="G597" s="21" t="s">
        <v>1327</v>
      </c>
      <c r="H597" s="21"/>
      <c r="I597" s="21"/>
      <c r="J597" s="3" t="s">
        <v>35</v>
      </c>
      <c r="K597" s="4" t="s">
        <v>82</v>
      </c>
      <c r="L597" s="4" t="s">
        <v>37</v>
      </c>
      <c r="N597" s="21" t="s">
        <v>1446</v>
      </c>
      <c r="O597" s="21"/>
      <c r="P597" s="21" t="s">
        <v>1447</v>
      </c>
      <c r="Q597" s="21"/>
      <c r="R597" s="21"/>
      <c r="S597" s="3" t="s">
        <v>40</v>
      </c>
      <c r="T597" s="21" t="s">
        <v>41</v>
      </c>
      <c r="U597" s="21"/>
      <c r="V597" s="4" t="s">
        <v>59</v>
      </c>
      <c r="W597" s="4" t="s">
        <v>1448</v>
      </c>
      <c r="X597" s="4" t="s">
        <v>549</v>
      </c>
      <c r="Y597" s="21" t="s">
        <v>56</v>
      </c>
      <c r="Z597" s="21"/>
      <c r="AA597" s="4" t="s">
        <v>46</v>
      </c>
      <c r="AB597" s="4" t="s">
        <v>47</v>
      </c>
      <c r="AC597" s="4" t="s">
        <v>139</v>
      </c>
      <c r="AD597" s="4" t="s">
        <v>140</v>
      </c>
      <c r="AE597" s="4" t="s">
        <v>48</v>
      </c>
      <c r="AF597" s="4" t="s">
        <v>41</v>
      </c>
      <c r="AG597" s="4" t="s">
        <v>1330</v>
      </c>
    </row>
    <row r="598" spans="1:33" ht="16.5" customHeight="1" x14ac:dyDescent="0.2">
      <c r="A598" s="2" t="s">
        <v>31</v>
      </c>
      <c r="B598" s="19" t="s">
        <v>50</v>
      </c>
      <c r="C598" s="19"/>
      <c r="D598" s="19"/>
      <c r="E598" s="20" t="s">
        <v>33</v>
      </c>
      <c r="F598" s="20"/>
      <c r="G598" s="21" t="s">
        <v>1327</v>
      </c>
      <c r="H598" s="21"/>
      <c r="I598" s="21"/>
      <c r="J598" s="3" t="s">
        <v>35</v>
      </c>
      <c r="K598" s="4" t="s">
        <v>82</v>
      </c>
      <c r="L598" s="4" t="s">
        <v>278</v>
      </c>
      <c r="N598" s="21" t="s">
        <v>1449</v>
      </c>
      <c r="O598" s="21"/>
      <c r="P598" s="21" t="s">
        <v>1450</v>
      </c>
      <c r="Q598" s="21"/>
      <c r="R598" s="21"/>
      <c r="S598" s="3" t="s">
        <v>40</v>
      </c>
      <c r="T598" s="21" t="s">
        <v>41</v>
      </c>
      <c r="U598" s="21"/>
      <c r="V598" s="4" t="s">
        <v>42</v>
      </c>
      <c r="W598" s="4" t="s">
        <v>209</v>
      </c>
      <c r="X598" s="4" t="s">
        <v>210</v>
      </c>
      <c r="Y598" s="21" t="s">
        <v>56</v>
      </c>
      <c r="Z598" s="21"/>
      <c r="AA598" s="4" t="s">
        <v>46</v>
      </c>
      <c r="AB598" s="4" t="s">
        <v>47</v>
      </c>
      <c r="AC598" s="4" t="s">
        <v>139</v>
      </c>
      <c r="AD598" s="4" t="s">
        <v>69</v>
      </c>
      <c r="AE598" s="4" t="s">
        <v>48</v>
      </c>
      <c r="AF598" s="4" t="s">
        <v>41</v>
      </c>
      <c r="AG598" s="4" t="s">
        <v>1330</v>
      </c>
    </row>
    <row r="599" spans="1:33" ht="16.5" customHeight="1" x14ac:dyDescent="0.2">
      <c r="A599" s="2" t="s">
        <v>31</v>
      </c>
      <c r="B599" s="19" t="s">
        <v>50</v>
      </c>
      <c r="C599" s="19"/>
      <c r="D599" s="19"/>
      <c r="E599" s="20" t="s">
        <v>33</v>
      </c>
      <c r="F599" s="20"/>
      <c r="G599" s="21" t="s">
        <v>1327</v>
      </c>
      <c r="H599" s="21"/>
      <c r="I599" s="21"/>
      <c r="J599" s="3" t="s">
        <v>35</v>
      </c>
      <c r="K599" s="4" t="s">
        <v>99</v>
      </c>
      <c r="L599" s="4" t="s">
        <v>37</v>
      </c>
      <c r="N599" s="21" t="s">
        <v>1451</v>
      </c>
      <c r="O599" s="21"/>
      <c r="P599" s="21" t="s">
        <v>1452</v>
      </c>
      <c r="Q599" s="21"/>
      <c r="R599" s="21"/>
      <c r="S599" s="3" t="s">
        <v>40</v>
      </c>
      <c r="T599" s="21" t="s">
        <v>41</v>
      </c>
      <c r="U599" s="21"/>
      <c r="V599" s="4" t="s">
        <v>42</v>
      </c>
      <c r="W599" s="4" t="s">
        <v>217</v>
      </c>
      <c r="X599" s="4" t="s">
        <v>218</v>
      </c>
      <c r="Y599" s="21" t="s">
        <v>56</v>
      </c>
      <c r="Z599" s="21"/>
      <c r="AA599" s="4" t="s">
        <v>46</v>
      </c>
      <c r="AB599" s="4" t="s">
        <v>47</v>
      </c>
      <c r="AC599" s="4" t="s">
        <v>139</v>
      </c>
      <c r="AD599" s="4" t="s">
        <v>140</v>
      </c>
      <c r="AE599" s="4" t="s">
        <v>48</v>
      </c>
      <c r="AF599" s="4" t="s">
        <v>41</v>
      </c>
      <c r="AG599" s="4" t="s">
        <v>1330</v>
      </c>
    </row>
    <row r="600" spans="1:33" ht="16.5" customHeight="1" x14ac:dyDescent="0.2">
      <c r="A600" s="2" t="s">
        <v>31</v>
      </c>
      <c r="B600" s="19" t="s">
        <v>50</v>
      </c>
      <c r="C600" s="19"/>
      <c r="D600" s="19"/>
      <c r="E600" s="20" t="s">
        <v>33</v>
      </c>
      <c r="F600" s="20"/>
      <c r="G600" s="21" t="s">
        <v>1327</v>
      </c>
      <c r="H600" s="21"/>
      <c r="I600" s="21"/>
      <c r="J600" s="3" t="s">
        <v>35</v>
      </c>
      <c r="K600" s="4" t="s">
        <v>99</v>
      </c>
      <c r="L600" s="4" t="s">
        <v>68</v>
      </c>
      <c r="N600" s="21" t="s">
        <v>1453</v>
      </c>
      <c r="O600" s="21"/>
      <c r="P600" s="21" t="s">
        <v>1454</v>
      </c>
      <c r="Q600" s="21"/>
      <c r="R600" s="21"/>
      <c r="S600" s="3" t="s">
        <v>40</v>
      </c>
      <c r="T600" s="21" t="s">
        <v>41</v>
      </c>
      <c r="U600" s="21"/>
      <c r="V600" s="4" t="s">
        <v>42</v>
      </c>
      <c r="W600" s="4" t="s">
        <v>1455</v>
      </c>
      <c r="X600" s="4" t="s">
        <v>1456</v>
      </c>
      <c r="Y600" s="21" t="s">
        <v>56</v>
      </c>
      <c r="Z600" s="21"/>
      <c r="AA600" s="4" t="s">
        <v>46</v>
      </c>
      <c r="AB600" s="4" t="s">
        <v>47</v>
      </c>
      <c r="AC600" s="4" t="s">
        <v>81</v>
      </c>
      <c r="AD600" s="4" t="s">
        <v>41</v>
      </c>
      <c r="AE600" s="4" t="s">
        <v>48</v>
      </c>
      <c r="AF600" s="4" t="s">
        <v>41</v>
      </c>
      <c r="AG600" s="4" t="s">
        <v>1330</v>
      </c>
    </row>
    <row r="601" spans="1:33" ht="16.5" customHeight="1" x14ac:dyDescent="0.2">
      <c r="A601" s="2" t="s">
        <v>31</v>
      </c>
      <c r="B601" s="19" t="s">
        <v>50</v>
      </c>
      <c r="C601" s="19"/>
      <c r="D601" s="19"/>
      <c r="E601" s="20" t="s">
        <v>33</v>
      </c>
      <c r="F601" s="20"/>
      <c r="G601" s="21" t="s">
        <v>1327</v>
      </c>
      <c r="H601" s="21"/>
      <c r="I601" s="21"/>
      <c r="J601" s="3" t="s">
        <v>35</v>
      </c>
      <c r="K601" s="4" t="s">
        <v>51</v>
      </c>
      <c r="L601" s="4" t="s">
        <v>37</v>
      </c>
      <c r="N601" s="21" t="s">
        <v>1457</v>
      </c>
      <c r="O601" s="21"/>
      <c r="P601" s="21" t="s">
        <v>1458</v>
      </c>
      <c r="Q601" s="21"/>
      <c r="R601" s="21"/>
      <c r="S601" s="3" t="s">
        <v>40</v>
      </c>
      <c r="T601" s="21" t="s">
        <v>41</v>
      </c>
      <c r="U601" s="21"/>
      <c r="V601" s="4" t="s">
        <v>42</v>
      </c>
      <c r="W601" s="4" t="s">
        <v>310</v>
      </c>
      <c r="X601" s="4" t="s">
        <v>311</v>
      </c>
      <c r="Y601" s="21" t="s">
        <v>56</v>
      </c>
      <c r="Z601" s="21"/>
      <c r="AA601" s="4" t="s">
        <v>46</v>
      </c>
      <c r="AB601" s="4" t="s">
        <v>47</v>
      </c>
      <c r="AC601" s="4" t="s">
        <v>57</v>
      </c>
      <c r="AD601" s="4" t="s">
        <v>58</v>
      </c>
      <c r="AE601" s="4" t="s">
        <v>48</v>
      </c>
      <c r="AF601" s="4" t="s">
        <v>41</v>
      </c>
      <c r="AG601" s="4" t="s">
        <v>1330</v>
      </c>
    </row>
    <row r="602" spans="1:33" ht="16.5" customHeight="1" x14ac:dyDescent="0.2">
      <c r="A602" s="2" t="s">
        <v>31</v>
      </c>
      <c r="B602" s="19" t="s">
        <v>50</v>
      </c>
      <c r="C602" s="19"/>
      <c r="D602" s="19"/>
      <c r="E602" s="20" t="s">
        <v>33</v>
      </c>
      <c r="F602" s="20"/>
      <c r="G602" s="21" t="s">
        <v>1327</v>
      </c>
      <c r="H602" s="21"/>
      <c r="I602" s="21"/>
      <c r="J602" s="3" t="s">
        <v>35</v>
      </c>
      <c r="K602" s="4" t="s">
        <v>99</v>
      </c>
      <c r="L602" s="4" t="s">
        <v>445</v>
      </c>
      <c r="N602" s="21" t="s">
        <v>1459</v>
      </c>
      <c r="O602" s="21"/>
      <c r="P602" s="21" t="s">
        <v>1460</v>
      </c>
      <c r="Q602" s="21"/>
      <c r="R602" s="21"/>
      <c r="S602" s="3" t="s">
        <v>40</v>
      </c>
      <c r="T602" s="21" t="s">
        <v>41</v>
      </c>
      <c r="U602" s="21"/>
      <c r="V602" s="4" t="s">
        <v>42</v>
      </c>
      <c r="W602" s="4" t="s">
        <v>217</v>
      </c>
      <c r="X602" s="4" t="s">
        <v>218</v>
      </c>
      <c r="Y602" s="21" t="s">
        <v>56</v>
      </c>
      <c r="Z602" s="21"/>
      <c r="AA602" s="4" t="s">
        <v>46</v>
      </c>
      <c r="AB602" s="4" t="s">
        <v>47</v>
      </c>
      <c r="AC602" s="4" t="s">
        <v>139</v>
      </c>
      <c r="AD602" s="4" t="s">
        <v>466</v>
      </c>
      <c r="AE602" s="4" t="s">
        <v>48</v>
      </c>
      <c r="AF602" s="4" t="s">
        <v>41</v>
      </c>
      <c r="AG602" s="4" t="s">
        <v>1330</v>
      </c>
    </row>
    <row r="603" spans="1:33" ht="16.5" customHeight="1" x14ac:dyDescent="0.2">
      <c r="A603" s="2" t="s">
        <v>31</v>
      </c>
      <c r="B603" s="19" t="s">
        <v>50</v>
      </c>
      <c r="C603" s="19"/>
      <c r="D603" s="19"/>
      <c r="E603" s="20" t="s">
        <v>33</v>
      </c>
      <c r="F603" s="20"/>
      <c r="G603" s="21" t="s">
        <v>1327</v>
      </c>
      <c r="H603" s="21"/>
      <c r="I603" s="21"/>
      <c r="J603" s="3" t="s">
        <v>35</v>
      </c>
      <c r="K603" s="4" t="s">
        <v>99</v>
      </c>
      <c r="L603" s="4" t="s">
        <v>37</v>
      </c>
      <c r="N603" s="21" t="s">
        <v>1461</v>
      </c>
      <c r="O603" s="21"/>
      <c r="P603" s="21" t="s">
        <v>1462</v>
      </c>
      <c r="Q603" s="21"/>
      <c r="R603" s="21"/>
      <c r="S603" s="3" t="s">
        <v>40</v>
      </c>
      <c r="T603" s="21" t="s">
        <v>41</v>
      </c>
      <c r="U603" s="21"/>
      <c r="V603" s="4" t="s">
        <v>59</v>
      </c>
      <c r="W603" s="4" t="s">
        <v>217</v>
      </c>
      <c r="X603" s="4" t="s">
        <v>1463</v>
      </c>
      <c r="Y603" s="21" t="s">
        <v>56</v>
      </c>
      <c r="Z603" s="21"/>
      <c r="AA603" s="4" t="s">
        <v>46</v>
      </c>
      <c r="AB603" s="4" t="s">
        <v>47</v>
      </c>
      <c r="AC603" s="4" t="s">
        <v>139</v>
      </c>
      <c r="AD603" s="4" t="s">
        <v>140</v>
      </c>
      <c r="AE603" s="4" t="s">
        <v>48</v>
      </c>
      <c r="AF603" s="4" t="s">
        <v>41</v>
      </c>
      <c r="AG603" s="4" t="s">
        <v>1330</v>
      </c>
    </row>
    <row r="604" spans="1:33" ht="16.5" customHeight="1" x14ac:dyDescent="0.2">
      <c r="A604" s="2" t="s">
        <v>31</v>
      </c>
      <c r="B604" s="19" t="s">
        <v>50</v>
      </c>
      <c r="C604" s="19"/>
      <c r="D604" s="19"/>
      <c r="E604" s="20" t="s">
        <v>33</v>
      </c>
      <c r="F604" s="20"/>
      <c r="G604" s="21" t="s">
        <v>1327</v>
      </c>
      <c r="H604" s="21"/>
      <c r="I604" s="21"/>
      <c r="J604" s="3" t="s">
        <v>35</v>
      </c>
      <c r="K604" s="4" t="s">
        <v>152</v>
      </c>
      <c r="L604" s="4" t="s">
        <v>278</v>
      </c>
      <c r="N604" s="21" t="s">
        <v>1464</v>
      </c>
      <c r="O604" s="21"/>
      <c r="P604" s="21" t="s">
        <v>1465</v>
      </c>
      <c r="Q604" s="21"/>
      <c r="R604" s="21"/>
      <c r="S604" s="3" t="s">
        <v>40</v>
      </c>
      <c r="T604" s="21" t="s">
        <v>41</v>
      </c>
      <c r="U604" s="21"/>
      <c r="V604" s="4" t="s">
        <v>42</v>
      </c>
      <c r="W604" s="4" t="s">
        <v>1466</v>
      </c>
      <c r="X604" s="4" t="s">
        <v>1467</v>
      </c>
      <c r="Y604" s="21" t="s">
        <v>56</v>
      </c>
      <c r="Z604" s="21"/>
      <c r="AA604" s="4" t="s">
        <v>46</v>
      </c>
      <c r="AB604" s="4" t="s">
        <v>47</v>
      </c>
      <c r="AC604" s="4" t="s">
        <v>139</v>
      </c>
      <c r="AD604" s="4" t="s">
        <v>69</v>
      </c>
      <c r="AE604" s="4" t="s">
        <v>48</v>
      </c>
      <c r="AF604" s="4" t="s">
        <v>41</v>
      </c>
      <c r="AG604" s="4" t="s">
        <v>1330</v>
      </c>
    </row>
    <row r="605" spans="1:33" ht="16.5" customHeight="1" x14ac:dyDescent="0.2">
      <c r="A605" s="2" t="s">
        <v>31</v>
      </c>
      <c r="B605" s="19" t="s">
        <v>50</v>
      </c>
      <c r="C605" s="19"/>
      <c r="D605" s="19"/>
      <c r="E605" s="20" t="s">
        <v>33</v>
      </c>
      <c r="F605" s="20"/>
      <c r="G605" s="21" t="s">
        <v>1327</v>
      </c>
      <c r="H605" s="21"/>
      <c r="I605" s="21"/>
      <c r="J605" s="3" t="s">
        <v>35</v>
      </c>
      <c r="K605" s="4" t="s">
        <v>152</v>
      </c>
      <c r="L605" s="4" t="s">
        <v>278</v>
      </c>
      <c r="N605" s="21" t="s">
        <v>1464</v>
      </c>
      <c r="O605" s="21"/>
      <c r="P605" s="21" t="s">
        <v>1465</v>
      </c>
      <c r="Q605" s="21"/>
      <c r="R605" s="21"/>
      <c r="S605" s="3" t="s">
        <v>40</v>
      </c>
      <c r="T605" s="21" t="s">
        <v>41</v>
      </c>
      <c r="U605" s="21"/>
      <c r="V605" s="4" t="s">
        <v>59</v>
      </c>
      <c r="W605" s="4" t="s">
        <v>1466</v>
      </c>
      <c r="X605" s="4" t="s">
        <v>1468</v>
      </c>
      <c r="Y605" s="21" t="s">
        <v>56</v>
      </c>
      <c r="Z605" s="21"/>
      <c r="AA605" s="4" t="s">
        <v>46</v>
      </c>
      <c r="AB605" s="4" t="s">
        <v>47</v>
      </c>
      <c r="AC605" s="4" t="s">
        <v>139</v>
      </c>
      <c r="AD605" s="4" t="s">
        <v>69</v>
      </c>
      <c r="AE605" s="4" t="s">
        <v>48</v>
      </c>
      <c r="AF605" s="4" t="s">
        <v>41</v>
      </c>
      <c r="AG605" s="4" t="s">
        <v>1330</v>
      </c>
    </row>
    <row r="606" spans="1:33" ht="16.5" customHeight="1" x14ac:dyDescent="0.2">
      <c r="A606" s="2" t="s">
        <v>31</v>
      </c>
      <c r="B606" s="19" t="s">
        <v>50</v>
      </c>
      <c r="C606" s="19"/>
      <c r="D606" s="19"/>
      <c r="E606" s="20" t="s">
        <v>33</v>
      </c>
      <c r="F606" s="20"/>
      <c r="G606" s="21" t="s">
        <v>1327</v>
      </c>
      <c r="H606" s="21"/>
      <c r="I606" s="21"/>
      <c r="J606" s="3" t="s">
        <v>35</v>
      </c>
      <c r="K606" s="4" t="s">
        <v>99</v>
      </c>
      <c r="L606" s="4" t="s">
        <v>37</v>
      </c>
      <c r="N606" s="21" t="s">
        <v>1469</v>
      </c>
      <c r="O606" s="21"/>
      <c r="P606" s="21" t="s">
        <v>1470</v>
      </c>
      <c r="Q606" s="21"/>
      <c r="R606" s="21"/>
      <c r="S606" s="3" t="s">
        <v>40</v>
      </c>
      <c r="T606" s="21" t="s">
        <v>41</v>
      </c>
      <c r="U606" s="21"/>
      <c r="V606" s="4" t="s">
        <v>42</v>
      </c>
      <c r="W606" s="4" t="s">
        <v>580</v>
      </c>
      <c r="X606" s="4" t="s">
        <v>581</v>
      </c>
      <c r="Y606" s="21" t="s">
        <v>56</v>
      </c>
      <c r="Z606" s="21"/>
      <c r="AA606" s="4" t="s">
        <v>46</v>
      </c>
      <c r="AB606" s="4" t="s">
        <v>47</v>
      </c>
      <c r="AC606" s="4" t="s">
        <v>139</v>
      </c>
      <c r="AD606" s="4" t="s">
        <v>140</v>
      </c>
      <c r="AE606" s="4" t="s">
        <v>48</v>
      </c>
      <c r="AF606" s="4" t="s">
        <v>41</v>
      </c>
      <c r="AG606" s="4" t="s">
        <v>1330</v>
      </c>
    </row>
    <row r="607" spans="1:33" ht="16.5" customHeight="1" x14ac:dyDescent="0.2">
      <c r="A607" s="2" t="s">
        <v>31</v>
      </c>
      <c r="B607" s="19" t="s">
        <v>50</v>
      </c>
      <c r="C607" s="19"/>
      <c r="D607" s="19"/>
      <c r="E607" s="20" t="s">
        <v>33</v>
      </c>
      <c r="F607" s="20"/>
      <c r="G607" s="21" t="s">
        <v>1327</v>
      </c>
      <c r="H607" s="21"/>
      <c r="I607" s="21"/>
      <c r="J607" s="3" t="s">
        <v>35</v>
      </c>
      <c r="K607" s="4" t="s">
        <v>99</v>
      </c>
      <c r="L607" s="4" t="s">
        <v>68</v>
      </c>
      <c r="N607" s="21" t="s">
        <v>1471</v>
      </c>
      <c r="O607" s="21"/>
      <c r="P607" s="21" t="s">
        <v>1472</v>
      </c>
      <c r="Q607" s="21"/>
      <c r="R607" s="21"/>
      <c r="S607" s="3" t="s">
        <v>40</v>
      </c>
      <c r="T607" s="21" t="s">
        <v>41</v>
      </c>
      <c r="U607" s="21"/>
      <c r="V607" s="4" t="s">
        <v>42</v>
      </c>
      <c r="W607" s="4" t="s">
        <v>234</v>
      </c>
      <c r="X607" s="4" t="s">
        <v>235</v>
      </c>
      <c r="Y607" s="21" t="s">
        <v>56</v>
      </c>
      <c r="Z607" s="21"/>
      <c r="AA607" s="4" t="s">
        <v>46</v>
      </c>
      <c r="AB607" s="4" t="s">
        <v>47</v>
      </c>
      <c r="AC607" s="4" t="s">
        <v>81</v>
      </c>
      <c r="AD607" s="4" t="s">
        <v>41</v>
      </c>
      <c r="AE607" s="4" t="s">
        <v>48</v>
      </c>
      <c r="AF607" s="4" t="s">
        <v>41</v>
      </c>
      <c r="AG607" s="4" t="s">
        <v>1330</v>
      </c>
    </row>
    <row r="608" spans="1:33" ht="16.5" customHeight="1" x14ac:dyDescent="0.2">
      <c r="A608" s="2" t="s">
        <v>31</v>
      </c>
      <c r="B608" s="19" t="s">
        <v>50</v>
      </c>
      <c r="C608" s="19"/>
      <c r="D608" s="19"/>
      <c r="E608" s="20" t="s">
        <v>33</v>
      </c>
      <c r="F608" s="20"/>
      <c r="G608" s="21" t="s">
        <v>1327</v>
      </c>
      <c r="H608" s="21"/>
      <c r="I608" s="21"/>
      <c r="J608" s="3" t="s">
        <v>35</v>
      </c>
      <c r="K608" s="4" t="s">
        <v>99</v>
      </c>
      <c r="L608" s="4" t="s">
        <v>37</v>
      </c>
      <c r="N608" s="21" t="s">
        <v>1473</v>
      </c>
      <c r="O608" s="21"/>
      <c r="P608" s="21" t="s">
        <v>1474</v>
      </c>
      <c r="Q608" s="21"/>
      <c r="R608" s="21"/>
      <c r="S608" s="3" t="s">
        <v>40</v>
      </c>
      <c r="T608" s="21" t="s">
        <v>41</v>
      </c>
      <c r="U608" s="21"/>
      <c r="V608" s="4" t="s">
        <v>42</v>
      </c>
      <c r="W608" s="4" t="s">
        <v>580</v>
      </c>
      <c r="X608" s="4" t="s">
        <v>581</v>
      </c>
      <c r="Y608" s="21" t="s">
        <v>56</v>
      </c>
      <c r="Z608" s="21"/>
      <c r="AA608" s="4" t="s">
        <v>46</v>
      </c>
      <c r="AB608" s="4" t="s">
        <v>47</v>
      </c>
      <c r="AC608" s="4" t="s">
        <v>139</v>
      </c>
      <c r="AD608" s="4" t="s">
        <v>140</v>
      </c>
      <c r="AE608" s="4" t="s">
        <v>48</v>
      </c>
      <c r="AF608" s="4" t="s">
        <v>41</v>
      </c>
      <c r="AG608" s="4" t="s">
        <v>1330</v>
      </c>
    </row>
    <row r="609" spans="1:33" ht="16.5" customHeight="1" x14ac:dyDescent="0.2">
      <c r="A609" s="2" t="s">
        <v>31</v>
      </c>
      <c r="B609" s="19" t="s">
        <v>50</v>
      </c>
      <c r="C609" s="19"/>
      <c r="D609" s="19"/>
      <c r="E609" s="20" t="s">
        <v>33</v>
      </c>
      <c r="F609" s="20"/>
      <c r="G609" s="21" t="s">
        <v>1327</v>
      </c>
      <c r="H609" s="21"/>
      <c r="I609" s="21"/>
      <c r="J609" s="3" t="s">
        <v>35</v>
      </c>
      <c r="K609" s="4" t="s">
        <v>99</v>
      </c>
      <c r="L609" s="4" t="s">
        <v>37</v>
      </c>
      <c r="N609" s="21" t="s">
        <v>1475</v>
      </c>
      <c r="O609" s="21"/>
      <c r="P609" s="21" t="s">
        <v>1476</v>
      </c>
      <c r="Q609" s="21"/>
      <c r="R609" s="21"/>
      <c r="S609" s="3" t="s">
        <v>40</v>
      </c>
      <c r="T609" s="21" t="s">
        <v>41</v>
      </c>
      <c r="U609" s="21"/>
      <c r="V609" s="4" t="s">
        <v>42</v>
      </c>
      <c r="W609" s="4" t="s">
        <v>229</v>
      </c>
      <c r="X609" s="4" t="s">
        <v>448</v>
      </c>
      <c r="Y609" s="21" t="s">
        <v>56</v>
      </c>
      <c r="Z609" s="21"/>
      <c r="AA609" s="4" t="s">
        <v>46</v>
      </c>
      <c r="AB609" s="4" t="s">
        <v>47</v>
      </c>
      <c r="AC609" s="4" t="s">
        <v>139</v>
      </c>
      <c r="AD609" s="4" t="s">
        <v>140</v>
      </c>
      <c r="AE609" s="4" t="s">
        <v>48</v>
      </c>
      <c r="AF609" s="4" t="s">
        <v>41</v>
      </c>
      <c r="AG609" s="4" t="s">
        <v>1330</v>
      </c>
    </row>
    <row r="610" spans="1:33" ht="16.5" customHeight="1" x14ac:dyDescent="0.2">
      <c r="A610" s="2" t="s">
        <v>31</v>
      </c>
      <c r="B610" s="19" t="s">
        <v>50</v>
      </c>
      <c r="C610" s="19"/>
      <c r="D610" s="19"/>
      <c r="E610" s="20" t="s">
        <v>33</v>
      </c>
      <c r="F610" s="20"/>
      <c r="G610" s="21" t="s">
        <v>1327</v>
      </c>
      <c r="H610" s="21"/>
      <c r="I610" s="21"/>
      <c r="J610" s="3" t="s">
        <v>35</v>
      </c>
      <c r="K610" s="4" t="s">
        <v>82</v>
      </c>
      <c r="L610" s="4" t="s">
        <v>37</v>
      </c>
      <c r="N610" s="21" t="s">
        <v>1477</v>
      </c>
      <c r="O610" s="21"/>
      <c r="P610" s="21" t="s">
        <v>1478</v>
      </c>
      <c r="Q610" s="21"/>
      <c r="R610" s="21"/>
      <c r="S610" s="3" t="s">
        <v>40</v>
      </c>
      <c r="T610" s="21" t="s">
        <v>41</v>
      </c>
      <c r="U610" s="21"/>
      <c r="V610" s="4" t="s">
        <v>42</v>
      </c>
      <c r="W610" s="4" t="s">
        <v>229</v>
      </c>
      <c r="X610" s="4" t="s">
        <v>448</v>
      </c>
      <c r="Y610" s="21" t="s">
        <v>56</v>
      </c>
      <c r="Z610" s="21"/>
      <c r="AA610" s="4" t="s">
        <v>46</v>
      </c>
      <c r="AB610" s="4" t="s">
        <v>47</v>
      </c>
      <c r="AC610" s="4" t="s">
        <v>139</v>
      </c>
      <c r="AD610" s="4" t="s">
        <v>140</v>
      </c>
      <c r="AE610" s="4" t="s">
        <v>48</v>
      </c>
      <c r="AF610" s="4" t="s">
        <v>41</v>
      </c>
      <c r="AG610" s="4" t="s">
        <v>1330</v>
      </c>
    </row>
    <row r="611" spans="1:33" ht="16.5" customHeight="1" x14ac:dyDescent="0.2">
      <c r="A611" s="2" t="s">
        <v>31</v>
      </c>
      <c r="B611" s="19" t="s">
        <v>50</v>
      </c>
      <c r="C611" s="19"/>
      <c r="D611" s="19"/>
      <c r="E611" s="20" t="s">
        <v>33</v>
      </c>
      <c r="F611" s="20"/>
      <c r="G611" s="21" t="s">
        <v>1327</v>
      </c>
      <c r="H611" s="21"/>
      <c r="I611" s="21"/>
      <c r="J611" s="3" t="s">
        <v>35</v>
      </c>
      <c r="K611" s="4" t="s">
        <v>82</v>
      </c>
      <c r="L611" s="4" t="s">
        <v>179</v>
      </c>
      <c r="N611" s="21" t="s">
        <v>1477</v>
      </c>
      <c r="O611" s="21"/>
      <c r="P611" s="21" t="s">
        <v>1478</v>
      </c>
      <c r="Q611" s="21"/>
      <c r="R611" s="21"/>
      <c r="S611" s="3" t="s">
        <v>40</v>
      </c>
      <c r="T611" s="21" t="s">
        <v>41</v>
      </c>
      <c r="U611" s="21"/>
      <c r="V611" s="4" t="s">
        <v>42</v>
      </c>
      <c r="W611" s="4" t="s">
        <v>229</v>
      </c>
      <c r="X611" s="4" t="s">
        <v>448</v>
      </c>
      <c r="Y611" s="21" t="s">
        <v>56</v>
      </c>
      <c r="Z611" s="21"/>
      <c r="AA611" s="4" t="s">
        <v>46</v>
      </c>
      <c r="AB611" s="4" t="s">
        <v>47</v>
      </c>
      <c r="AC611" s="4" t="s">
        <v>139</v>
      </c>
      <c r="AD611" s="4" t="s">
        <v>1435</v>
      </c>
      <c r="AE611" s="4" t="s">
        <v>48</v>
      </c>
      <c r="AF611" s="4" t="s">
        <v>41</v>
      </c>
      <c r="AG611" s="4" t="s">
        <v>1330</v>
      </c>
    </row>
    <row r="612" spans="1:33" ht="16.5" customHeight="1" x14ac:dyDescent="0.2">
      <c r="A612" s="2" t="s">
        <v>31</v>
      </c>
      <c r="B612" s="19" t="s">
        <v>50</v>
      </c>
      <c r="C612" s="19"/>
      <c r="D612" s="19"/>
      <c r="E612" s="20" t="s">
        <v>33</v>
      </c>
      <c r="F612" s="20"/>
      <c r="G612" s="21" t="s">
        <v>1327</v>
      </c>
      <c r="H612" s="21"/>
      <c r="I612" s="21"/>
      <c r="J612" s="3" t="s">
        <v>35</v>
      </c>
      <c r="K612" s="4" t="s">
        <v>82</v>
      </c>
      <c r="L612" s="4" t="s">
        <v>37</v>
      </c>
      <c r="N612" s="21" t="s">
        <v>1479</v>
      </c>
      <c r="O612" s="21"/>
      <c r="P612" s="21" t="s">
        <v>1480</v>
      </c>
      <c r="Q612" s="21"/>
      <c r="R612" s="21"/>
      <c r="S612" s="3" t="s">
        <v>40</v>
      </c>
      <c r="T612" s="21" t="s">
        <v>41</v>
      </c>
      <c r="U612" s="21"/>
      <c r="V612" s="4" t="s">
        <v>42</v>
      </c>
      <c r="W612" s="4" t="s">
        <v>229</v>
      </c>
      <c r="X612" s="4" t="s">
        <v>448</v>
      </c>
      <c r="Y612" s="21" t="s">
        <v>56</v>
      </c>
      <c r="Z612" s="21"/>
      <c r="AA612" s="4" t="s">
        <v>46</v>
      </c>
      <c r="AB612" s="4" t="s">
        <v>47</v>
      </c>
      <c r="AC612" s="4" t="s">
        <v>139</v>
      </c>
      <c r="AD612" s="4" t="s">
        <v>140</v>
      </c>
      <c r="AE612" s="4" t="s">
        <v>48</v>
      </c>
      <c r="AF612" s="4" t="s">
        <v>41</v>
      </c>
      <c r="AG612" s="4" t="s">
        <v>1330</v>
      </c>
    </row>
    <row r="613" spans="1:33" ht="16.5" customHeight="1" x14ac:dyDescent="0.2">
      <c r="A613" s="2" t="s">
        <v>31</v>
      </c>
      <c r="B613" s="19" t="s">
        <v>50</v>
      </c>
      <c r="C613" s="19"/>
      <c r="D613" s="19"/>
      <c r="E613" s="20" t="s">
        <v>33</v>
      </c>
      <c r="F613" s="20"/>
      <c r="G613" s="21" t="s">
        <v>1327</v>
      </c>
      <c r="H613" s="21"/>
      <c r="I613" s="21"/>
      <c r="J613" s="3" t="s">
        <v>35</v>
      </c>
      <c r="K613" s="4" t="s">
        <v>152</v>
      </c>
      <c r="L613" s="4" t="s">
        <v>37</v>
      </c>
      <c r="N613" s="21" t="s">
        <v>1481</v>
      </c>
      <c r="O613" s="21"/>
      <c r="P613" s="21" t="s">
        <v>1482</v>
      </c>
      <c r="Q613" s="21"/>
      <c r="R613" s="21"/>
      <c r="S613" s="3" t="s">
        <v>40</v>
      </c>
      <c r="T613" s="21" t="s">
        <v>41</v>
      </c>
      <c r="U613" s="21"/>
      <c r="V613" s="4" t="s">
        <v>42</v>
      </c>
      <c r="W613" s="4" t="s">
        <v>229</v>
      </c>
      <c r="X613" s="4" t="s">
        <v>448</v>
      </c>
      <c r="Y613" s="21" t="s">
        <v>56</v>
      </c>
      <c r="Z613" s="21"/>
      <c r="AA613" s="4" t="s">
        <v>46</v>
      </c>
      <c r="AB613" s="4" t="s">
        <v>47</v>
      </c>
      <c r="AC613" s="4" t="s">
        <v>139</v>
      </c>
      <c r="AD613" s="4" t="s">
        <v>140</v>
      </c>
      <c r="AE613" s="4" t="s">
        <v>48</v>
      </c>
      <c r="AF613" s="4" t="s">
        <v>41</v>
      </c>
      <c r="AG613" s="4" t="s">
        <v>1330</v>
      </c>
    </row>
    <row r="614" spans="1:33" ht="16.5" customHeight="1" x14ac:dyDescent="0.2">
      <c r="A614" s="2" t="s">
        <v>31</v>
      </c>
      <c r="B614" s="19" t="s">
        <v>50</v>
      </c>
      <c r="C614" s="19"/>
      <c r="D614" s="19"/>
      <c r="E614" s="20" t="s">
        <v>33</v>
      </c>
      <c r="F614" s="20"/>
      <c r="G614" s="21" t="s">
        <v>1327</v>
      </c>
      <c r="H614" s="21"/>
      <c r="I614" s="21"/>
      <c r="J614" s="3" t="s">
        <v>35</v>
      </c>
      <c r="K614" s="4" t="s">
        <v>51</v>
      </c>
      <c r="L614" s="4" t="s">
        <v>278</v>
      </c>
      <c r="N614" s="21" t="s">
        <v>1483</v>
      </c>
      <c r="O614" s="21"/>
      <c r="P614" s="21" t="s">
        <v>1484</v>
      </c>
      <c r="Q614" s="21"/>
      <c r="R614" s="21"/>
      <c r="S614" s="3" t="s">
        <v>40</v>
      </c>
      <c r="T614" s="21" t="s">
        <v>41</v>
      </c>
      <c r="U614" s="21"/>
      <c r="V614" s="4" t="s">
        <v>42</v>
      </c>
      <c r="W614" s="4" t="s">
        <v>54</v>
      </c>
      <c r="X614" s="4" t="s">
        <v>55</v>
      </c>
      <c r="Y614" s="21" t="s">
        <v>56</v>
      </c>
      <c r="Z614" s="21"/>
      <c r="AA614" s="4" t="s">
        <v>46</v>
      </c>
      <c r="AB614" s="4" t="s">
        <v>47</v>
      </c>
      <c r="AC614" s="4" t="s">
        <v>57</v>
      </c>
      <c r="AD614" s="4" t="s">
        <v>283</v>
      </c>
      <c r="AE614" s="4" t="s">
        <v>48</v>
      </c>
      <c r="AF614" s="4" t="s">
        <v>41</v>
      </c>
      <c r="AG614" s="4" t="s">
        <v>1330</v>
      </c>
    </row>
    <row r="615" spans="1:33" ht="16.5" customHeight="1" x14ac:dyDescent="0.2">
      <c r="A615" s="2" t="s">
        <v>31</v>
      </c>
      <c r="B615" s="19" t="s">
        <v>50</v>
      </c>
      <c r="C615" s="19"/>
      <c r="D615" s="19"/>
      <c r="E615" s="20" t="s">
        <v>33</v>
      </c>
      <c r="F615" s="20"/>
      <c r="G615" s="21" t="s">
        <v>1327</v>
      </c>
      <c r="H615" s="21"/>
      <c r="I615" s="21"/>
      <c r="J615" s="3" t="s">
        <v>35</v>
      </c>
      <c r="K615" s="4" t="s">
        <v>51</v>
      </c>
      <c r="L615" s="4" t="s">
        <v>278</v>
      </c>
      <c r="N615" s="21" t="s">
        <v>1483</v>
      </c>
      <c r="O615" s="21"/>
      <c r="P615" s="21" t="s">
        <v>1484</v>
      </c>
      <c r="Q615" s="21"/>
      <c r="R615" s="21"/>
      <c r="S615" s="3" t="s">
        <v>40</v>
      </c>
      <c r="T615" s="21" t="s">
        <v>41</v>
      </c>
      <c r="U615" s="21"/>
      <c r="V615" s="4" t="s">
        <v>59</v>
      </c>
      <c r="W615" s="4" t="s">
        <v>54</v>
      </c>
      <c r="X615" s="4" t="s">
        <v>60</v>
      </c>
      <c r="Y615" s="21" t="s">
        <v>56</v>
      </c>
      <c r="Z615" s="21"/>
      <c r="AA615" s="4" t="s">
        <v>46</v>
      </c>
      <c r="AB615" s="4" t="s">
        <v>47</v>
      </c>
      <c r="AC615" s="4" t="s">
        <v>57</v>
      </c>
      <c r="AD615" s="4" t="s">
        <v>283</v>
      </c>
      <c r="AE615" s="4" t="s">
        <v>48</v>
      </c>
      <c r="AF615" s="4" t="s">
        <v>41</v>
      </c>
      <c r="AG615" s="4" t="s">
        <v>1330</v>
      </c>
    </row>
    <row r="616" spans="1:33" ht="16.5" customHeight="1" x14ac:dyDescent="0.2">
      <c r="A616" s="2" t="s">
        <v>31</v>
      </c>
      <c r="B616" s="19" t="s">
        <v>50</v>
      </c>
      <c r="C616" s="19"/>
      <c r="D616" s="19"/>
      <c r="E616" s="20" t="s">
        <v>33</v>
      </c>
      <c r="F616" s="20"/>
      <c r="G616" s="21" t="s">
        <v>1327</v>
      </c>
      <c r="H616" s="21"/>
      <c r="I616" s="21"/>
      <c r="J616" s="3" t="s">
        <v>35</v>
      </c>
      <c r="K616" s="4" t="s">
        <v>99</v>
      </c>
      <c r="L616" s="4" t="s">
        <v>278</v>
      </c>
      <c r="N616" s="21" t="s">
        <v>1485</v>
      </c>
      <c r="O616" s="21"/>
      <c r="P616" s="21" t="s">
        <v>1486</v>
      </c>
      <c r="Q616" s="21"/>
      <c r="R616" s="21"/>
      <c r="S616" s="3" t="s">
        <v>40</v>
      </c>
      <c r="T616" s="21" t="s">
        <v>41</v>
      </c>
      <c r="U616" s="21"/>
      <c r="V616" s="4" t="s">
        <v>42</v>
      </c>
      <c r="W616" s="4" t="s">
        <v>1455</v>
      </c>
      <c r="X616" s="4" t="s">
        <v>1456</v>
      </c>
      <c r="Y616" s="21" t="s">
        <v>56</v>
      </c>
      <c r="Z616" s="21"/>
      <c r="AA616" s="4" t="s">
        <v>46</v>
      </c>
      <c r="AB616" s="4" t="s">
        <v>47</v>
      </c>
      <c r="AC616" s="4" t="s">
        <v>139</v>
      </c>
      <c r="AD616" s="4" t="s">
        <v>69</v>
      </c>
      <c r="AE616" s="4" t="s">
        <v>48</v>
      </c>
      <c r="AF616" s="4" t="s">
        <v>41</v>
      </c>
      <c r="AG616" s="4" t="s">
        <v>1330</v>
      </c>
    </row>
    <row r="617" spans="1:33" ht="16.5" customHeight="1" x14ac:dyDescent="0.2">
      <c r="A617" s="2" t="s">
        <v>31</v>
      </c>
      <c r="B617" s="19" t="s">
        <v>50</v>
      </c>
      <c r="C617" s="19"/>
      <c r="D617" s="19"/>
      <c r="E617" s="20" t="s">
        <v>33</v>
      </c>
      <c r="F617" s="20"/>
      <c r="G617" s="21" t="s">
        <v>1327</v>
      </c>
      <c r="H617" s="21"/>
      <c r="I617" s="21"/>
      <c r="J617" s="3" t="s">
        <v>35</v>
      </c>
      <c r="K617" s="4" t="s">
        <v>152</v>
      </c>
      <c r="L617" s="4" t="s">
        <v>37</v>
      </c>
      <c r="N617" s="21" t="s">
        <v>1487</v>
      </c>
      <c r="O617" s="21"/>
      <c r="P617" s="21" t="s">
        <v>1488</v>
      </c>
      <c r="Q617" s="21"/>
      <c r="R617" s="21"/>
      <c r="S617" s="3" t="s">
        <v>40</v>
      </c>
      <c r="T617" s="21" t="s">
        <v>41</v>
      </c>
      <c r="U617" s="21"/>
      <c r="V617" s="4" t="s">
        <v>42</v>
      </c>
      <c r="W617" s="4" t="s">
        <v>1489</v>
      </c>
      <c r="X617" s="4" t="s">
        <v>1490</v>
      </c>
      <c r="Y617" s="21" t="s">
        <v>56</v>
      </c>
      <c r="Z617" s="21"/>
      <c r="AA617" s="4" t="s">
        <v>46</v>
      </c>
      <c r="AB617" s="4" t="s">
        <v>47</v>
      </c>
      <c r="AC617" s="4" t="s">
        <v>139</v>
      </c>
      <c r="AD617" s="4" t="s">
        <v>140</v>
      </c>
      <c r="AE617" s="4" t="s">
        <v>48</v>
      </c>
      <c r="AF617" s="4" t="s">
        <v>41</v>
      </c>
      <c r="AG617" s="4" t="s">
        <v>1330</v>
      </c>
    </row>
    <row r="618" spans="1:33" ht="16.5" customHeight="1" x14ac:dyDescent="0.2">
      <c r="A618" s="2" t="s">
        <v>31</v>
      </c>
      <c r="B618" s="19" t="s">
        <v>50</v>
      </c>
      <c r="C618" s="19"/>
      <c r="D618" s="19"/>
      <c r="E618" s="20" t="s">
        <v>33</v>
      </c>
      <c r="F618" s="20"/>
      <c r="G618" s="21" t="s">
        <v>1327</v>
      </c>
      <c r="H618" s="21"/>
      <c r="I618" s="21"/>
      <c r="J618" s="3" t="s">
        <v>35</v>
      </c>
      <c r="K618" s="4" t="s">
        <v>82</v>
      </c>
      <c r="L618" s="4" t="s">
        <v>68</v>
      </c>
      <c r="N618" s="21" t="s">
        <v>1491</v>
      </c>
      <c r="O618" s="21"/>
      <c r="P618" s="21" t="s">
        <v>1492</v>
      </c>
      <c r="Q618" s="21"/>
      <c r="R618" s="21"/>
      <c r="S618" s="3" t="s">
        <v>40</v>
      </c>
      <c r="T618" s="21" t="s">
        <v>41</v>
      </c>
      <c r="U618" s="21"/>
      <c r="V618" s="4" t="s">
        <v>42</v>
      </c>
      <c r="W618" s="4" t="s">
        <v>1493</v>
      </c>
      <c r="X618" s="4" t="s">
        <v>1494</v>
      </c>
      <c r="Y618" s="21" t="s">
        <v>56</v>
      </c>
      <c r="Z618" s="21"/>
      <c r="AA618" s="4" t="s">
        <v>46</v>
      </c>
      <c r="AB618" s="4" t="s">
        <v>47</v>
      </c>
      <c r="AC618" s="4" t="s">
        <v>139</v>
      </c>
      <c r="AD618" s="4" t="s">
        <v>151</v>
      </c>
      <c r="AE618" s="4" t="s">
        <v>48</v>
      </c>
      <c r="AF618" s="4" t="s">
        <v>41</v>
      </c>
      <c r="AG618" s="4" t="s">
        <v>1330</v>
      </c>
    </row>
    <row r="619" spans="1:33" ht="16.5" customHeight="1" x14ac:dyDescent="0.2">
      <c r="A619" s="2" t="s">
        <v>31</v>
      </c>
      <c r="B619" s="19" t="s">
        <v>50</v>
      </c>
      <c r="C619" s="19"/>
      <c r="D619" s="19"/>
      <c r="E619" s="20" t="s">
        <v>33</v>
      </c>
      <c r="F619" s="20"/>
      <c r="G619" s="21" t="s">
        <v>1327</v>
      </c>
      <c r="H619" s="21"/>
      <c r="I619" s="21"/>
      <c r="J619" s="3" t="s">
        <v>35</v>
      </c>
      <c r="K619" s="4" t="s">
        <v>99</v>
      </c>
      <c r="L619" s="4" t="s">
        <v>37</v>
      </c>
      <c r="N619" s="21" t="s">
        <v>1495</v>
      </c>
      <c r="O619" s="21"/>
      <c r="P619" s="21" t="s">
        <v>1496</v>
      </c>
      <c r="Q619" s="21"/>
      <c r="R619" s="21"/>
      <c r="S619" s="3" t="s">
        <v>40</v>
      </c>
      <c r="T619" s="21" t="s">
        <v>41</v>
      </c>
      <c r="U619" s="21"/>
      <c r="V619" s="4" t="s">
        <v>42</v>
      </c>
      <c r="W619" s="4" t="s">
        <v>350</v>
      </c>
      <c r="X619" s="4" t="s">
        <v>339</v>
      </c>
      <c r="Y619" s="21" t="s">
        <v>56</v>
      </c>
      <c r="Z619" s="21"/>
      <c r="AA619" s="4" t="s">
        <v>46</v>
      </c>
      <c r="AB619" s="4" t="s">
        <v>47</v>
      </c>
      <c r="AC619" s="4" t="s">
        <v>139</v>
      </c>
      <c r="AD619" s="4" t="s">
        <v>140</v>
      </c>
      <c r="AE619" s="4" t="s">
        <v>48</v>
      </c>
      <c r="AF619" s="4" t="s">
        <v>41</v>
      </c>
      <c r="AG619" s="4" t="s">
        <v>1330</v>
      </c>
    </row>
    <row r="620" spans="1:33" ht="16.5" customHeight="1" x14ac:dyDescent="0.2">
      <c r="A620" s="2" t="s">
        <v>31</v>
      </c>
      <c r="B620" s="19" t="s">
        <v>50</v>
      </c>
      <c r="C620" s="19"/>
      <c r="D620" s="19"/>
      <c r="E620" s="20" t="s">
        <v>33</v>
      </c>
      <c r="F620" s="20"/>
      <c r="G620" s="21" t="s">
        <v>1327</v>
      </c>
      <c r="H620" s="21"/>
      <c r="I620" s="21"/>
      <c r="J620" s="3" t="s">
        <v>35</v>
      </c>
      <c r="K620" s="4" t="s">
        <v>99</v>
      </c>
      <c r="L620" s="4" t="s">
        <v>37</v>
      </c>
      <c r="N620" s="21" t="s">
        <v>1497</v>
      </c>
      <c r="O620" s="21"/>
      <c r="P620" s="21" t="s">
        <v>1498</v>
      </c>
      <c r="Q620" s="21"/>
      <c r="R620" s="21"/>
      <c r="S620" s="3" t="s">
        <v>40</v>
      </c>
      <c r="T620" s="21" t="s">
        <v>41</v>
      </c>
      <c r="U620" s="21"/>
      <c r="V620" s="4" t="s">
        <v>42</v>
      </c>
      <c r="W620" s="4" t="s">
        <v>104</v>
      </c>
      <c r="X620" s="4" t="s">
        <v>105</v>
      </c>
      <c r="Y620" s="21" t="s">
        <v>56</v>
      </c>
      <c r="Z620" s="21"/>
      <c r="AA620" s="4" t="s">
        <v>46</v>
      </c>
      <c r="AB620" s="4" t="s">
        <v>47</v>
      </c>
      <c r="AC620" s="4" t="s">
        <v>57</v>
      </c>
      <c r="AD620" s="4" t="s">
        <v>58</v>
      </c>
      <c r="AE620" s="4" t="s">
        <v>48</v>
      </c>
      <c r="AF620" s="4" t="s">
        <v>41</v>
      </c>
      <c r="AG620" s="4" t="s">
        <v>1330</v>
      </c>
    </row>
    <row r="621" spans="1:33" ht="16.5" customHeight="1" x14ac:dyDescent="0.2">
      <c r="A621" s="2" t="s">
        <v>31</v>
      </c>
      <c r="B621" s="19" t="s">
        <v>50</v>
      </c>
      <c r="C621" s="19"/>
      <c r="D621" s="19"/>
      <c r="E621" s="20" t="s">
        <v>33</v>
      </c>
      <c r="F621" s="20"/>
      <c r="G621" s="21" t="s">
        <v>1327</v>
      </c>
      <c r="H621" s="21"/>
      <c r="I621" s="21"/>
      <c r="J621" s="3" t="s">
        <v>35</v>
      </c>
      <c r="K621" s="4" t="s">
        <v>82</v>
      </c>
      <c r="L621" s="4" t="s">
        <v>37</v>
      </c>
      <c r="N621" s="21" t="s">
        <v>1499</v>
      </c>
      <c r="O621" s="21"/>
      <c r="P621" s="21" t="s">
        <v>1500</v>
      </c>
      <c r="Q621" s="21"/>
      <c r="R621" s="21"/>
      <c r="S621" s="3" t="s">
        <v>40</v>
      </c>
      <c r="T621" s="21" t="s">
        <v>41</v>
      </c>
      <c r="U621" s="21"/>
      <c r="V621" s="4" t="s">
        <v>42</v>
      </c>
      <c r="W621" s="4" t="s">
        <v>54</v>
      </c>
      <c r="X621" s="4" t="s">
        <v>55</v>
      </c>
      <c r="Y621" s="21" t="s">
        <v>56</v>
      </c>
      <c r="Z621" s="21"/>
      <c r="AA621" s="4" t="s">
        <v>46</v>
      </c>
      <c r="AB621" s="4" t="s">
        <v>47</v>
      </c>
      <c r="AC621" s="4" t="s">
        <v>57</v>
      </c>
      <c r="AD621" s="4" t="s">
        <v>58</v>
      </c>
      <c r="AE621" s="4" t="s">
        <v>48</v>
      </c>
      <c r="AF621" s="4" t="s">
        <v>41</v>
      </c>
      <c r="AG621" s="4" t="s">
        <v>1330</v>
      </c>
    </row>
    <row r="622" spans="1:33" ht="16.5" customHeight="1" x14ac:dyDescent="0.2">
      <c r="A622" s="2" t="s">
        <v>31</v>
      </c>
      <c r="B622" s="19" t="s">
        <v>50</v>
      </c>
      <c r="C622" s="19"/>
      <c r="D622" s="19"/>
      <c r="E622" s="20" t="s">
        <v>33</v>
      </c>
      <c r="F622" s="20"/>
      <c r="G622" s="21" t="s">
        <v>1327</v>
      </c>
      <c r="H622" s="21"/>
      <c r="I622" s="21"/>
      <c r="J622" s="3" t="s">
        <v>35</v>
      </c>
      <c r="K622" s="4" t="s">
        <v>169</v>
      </c>
      <c r="L622" s="4" t="s">
        <v>68</v>
      </c>
      <c r="N622" s="21" t="s">
        <v>1501</v>
      </c>
      <c r="O622" s="21"/>
      <c r="P622" s="21" t="s">
        <v>1502</v>
      </c>
      <c r="Q622" s="21"/>
      <c r="R622" s="21"/>
      <c r="S622" s="3" t="s">
        <v>40</v>
      </c>
      <c r="T622" s="21" t="s">
        <v>41</v>
      </c>
      <c r="U622" s="21"/>
      <c r="V622" s="4" t="s">
        <v>42</v>
      </c>
      <c r="W622" s="4" t="s">
        <v>54</v>
      </c>
      <c r="X622" s="4" t="s">
        <v>55</v>
      </c>
      <c r="Y622" s="21" t="s">
        <v>56</v>
      </c>
      <c r="Z622" s="21"/>
      <c r="AA622" s="4" t="s">
        <v>46</v>
      </c>
      <c r="AB622" s="4" t="s">
        <v>47</v>
      </c>
      <c r="AC622" s="4" t="s">
        <v>57</v>
      </c>
      <c r="AD622" s="4" t="s">
        <v>98</v>
      </c>
      <c r="AE622" s="4" t="s">
        <v>48</v>
      </c>
      <c r="AF622" s="4" t="s">
        <v>41</v>
      </c>
      <c r="AG622" s="4" t="s">
        <v>1330</v>
      </c>
    </row>
    <row r="623" spans="1:33" ht="16.5" customHeight="1" x14ac:dyDescent="0.2">
      <c r="A623" s="2" t="s">
        <v>31</v>
      </c>
      <c r="B623" s="19" t="s">
        <v>50</v>
      </c>
      <c r="C623" s="19"/>
      <c r="D623" s="19"/>
      <c r="E623" s="20" t="s">
        <v>33</v>
      </c>
      <c r="F623" s="20"/>
      <c r="G623" s="21" t="s">
        <v>1327</v>
      </c>
      <c r="H623" s="21"/>
      <c r="I623" s="21"/>
      <c r="J623" s="3" t="s">
        <v>35</v>
      </c>
      <c r="K623" s="4" t="s">
        <v>152</v>
      </c>
      <c r="L623" s="4" t="s">
        <v>37</v>
      </c>
      <c r="N623" s="21" t="s">
        <v>1503</v>
      </c>
      <c r="O623" s="21"/>
      <c r="P623" s="21" t="s">
        <v>1504</v>
      </c>
      <c r="Q623" s="21"/>
      <c r="R623" s="21"/>
      <c r="S623" s="3" t="s">
        <v>40</v>
      </c>
      <c r="T623" s="21" t="s">
        <v>41</v>
      </c>
      <c r="U623" s="21"/>
      <c r="V623" s="4" t="s">
        <v>42</v>
      </c>
      <c r="W623" s="4" t="s">
        <v>798</v>
      </c>
      <c r="X623" s="4" t="s">
        <v>1005</v>
      </c>
      <c r="Y623" s="21" t="s">
        <v>56</v>
      </c>
      <c r="Z623" s="21"/>
      <c r="AA623" s="4" t="s">
        <v>46</v>
      </c>
      <c r="AB623" s="4" t="s">
        <v>47</v>
      </c>
      <c r="AC623" s="4" t="s">
        <v>139</v>
      </c>
      <c r="AD623" s="4" t="s">
        <v>140</v>
      </c>
      <c r="AE623" s="4" t="s">
        <v>48</v>
      </c>
      <c r="AF623" s="4" t="s">
        <v>41</v>
      </c>
      <c r="AG623" s="4" t="s">
        <v>1330</v>
      </c>
    </row>
    <row r="624" spans="1:33" ht="16.5" customHeight="1" x14ac:dyDescent="0.2">
      <c r="A624" s="2" t="s">
        <v>31</v>
      </c>
      <c r="B624" s="19" t="s">
        <v>50</v>
      </c>
      <c r="C624" s="19"/>
      <c r="D624" s="19"/>
      <c r="E624" s="20" t="s">
        <v>33</v>
      </c>
      <c r="F624" s="20"/>
      <c r="G624" s="21" t="s">
        <v>1327</v>
      </c>
      <c r="H624" s="21"/>
      <c r="I624" s="21"/>
      <c r="J624" s="3" t="s">
        <v>35</v>
      </c>
      <c r="K624" s="4" t="s">
        <v>74</v>
      </c>
      <c r="L624" s="4" t="s">
        <v>37</v>
      </c>
      <c r="N624" s="21" t="s">
        <v>1505</v>
      </c>
      <c r="O624" s="21"/>
      <c r="P624" s="21" t="s">
        <v>1506</v>
      </c>
      <c r="Q624" s="21"/>
      <c r="R624" s="21"/>
      <c r="S624" s="3" t="s">
        <v>40</v>
      </c>
      <c r="T624" s="21" t="s">
        <v>41</v>
      </c>
      <c r="U624" s="21"/>
      <c r="V624" s="4" t="s">
        <v>130</v>
      </c>
      <c r="W624" s="4" t="s">
        <v>261</v>
      </c>
      <c r="X624" s="4" t="s">
        <v>273</v>
      </c>
      <c r="Y624" s="21" t="s">
        <v>65</v>
      </c>
      <c r="Z624" s="21"/>
      <c r="AA624" s="4" t="s">
        <v>46</v>
      </c>
      <c r="AB624" s="4" t="s">
        <v>47</v>
      </c>
      <c r="AC624" s="4" t="s">
        <v>57</v>
      </c>
      <c r="AD624" s="4" t="s">
        <v>58</v>
      </c>
      <c r="AE624" s="4" t="s">
        <v>48</v>
      </c>
      <c r="AF624" s="4" t="s">
        <v>41</v>
      </c>
      <c r="AG624" s="4" t="s">
        <v>1330</v>
      </c>
    </row>
    <row r="625" spans="1:33" ht="16.5" customHeight="1" x14ac:dyDescent="0.2">
      <c r="A625" s="2" t="s">
        <v>31</v>
      </c>
      <c r="B625" s="19" t="s">
        <v>50</v>
      </c>
      <c r="C625" s="19"/>
      <c r="D625" s="19"/>
      <c r="E625" s="20" t="s">
        <v>33</v>
      </c>
      <c r="F625" s="20"/>
      <c r="G625" s="21" t="s">
        <v>1327</v>
      </c>
      <c r="H625" s="21"/>
      <c r="I625" s="21"/>
      <c r="J625" s="3" t="s">
        <v>35</v>
      </c>
      <c r="K625" s="4" t="s">
        <v>99</v>
      </c>
      <c r="L625" s="4" t="s">
        <v>445</v>
      </c>
      <c r="N625" s="21" t="s">
        <v>1507</v>
      </c>
      <c r="O625" s="21"/>
      <c r="P625" s="21" t="s">
        <v>1508</v>
      </c>
      <c r="Q625" s="21"/>
      <c r="R625" s="21"/>
      <c r="S625" s="3" t="s">
        <v>40</v>
      </c>
      <c r="T625" s="21" t="s">
        <v>41</v>
      </c>
      <c r="U625" s="21"/>
      <c r="V625" s="4" t="s">
        <v>42</v>
      </c>
      <c r="W625" s="4" t="s">
        <v>276</v>
      </c>
      <c r="X625" s="4" t="s">
        <v>277</v>
      </c>
      <c r="Y625" s="21" t="s">
        <v>56</v>
      </c>
      <c r="Z625" s="21"/>
      <c r="AA625" s="4" t="s">
        <v>46</v>
      </c>
      <c r="AB625" s="4" t="s">
        <v>47</v>
      </c>
      <c r="AC625" s="4" t="s">
        <v>139</v>
      </c>
      <c r="AD625" s="4" t="s">
        <v>466</v>
      </c>
      <c r="AE625" s="4" t="s">
        <v>48</v>
      </c>
      <c r="AF625" s="4" t="s">
        <v>41</v>
      </c>
      <c r="AG625" s="4" t="s">
        <v>1330</v>
      </c>
    </row>
    <row r="626" spans="1:33" ht="16.5" customHeight="1" x14ac:dyDescent="0.2">
      <c r="A626" s="2" t="s">
        <v>31</v>
      </c>
      <c r="B626" s="19" t="s">
        <v>50</v>
      </c>
      <c r="C626" s="19"/>
      <c r="D626" s="19"/>
      <c r="E626" s="20" t="s">
        <v>33</v>
      </c>
      <c r="F626" s="20"/>
      <c r="G626" s="21" t="s">
        <v>1327</v>
      </c>
      <c r="H626" s="21"/>
      <c r="I626" s="21"/>
      <c r="J626" s="3" t="s">
        <v>35</v>
      </c>
      <c r="K626" s="4" t="s">
        <v>82</v>
      </c>
      <c r="L626" s="4" t="s">
        <v>37</v>
      </c>
      <c r="N626" s="21" t="s">
        <v>1509</v>
      </c>
      <c r="O626" s="21"/>
      <c r="P626" s="21" t="s">
        <v>1510</v>
      </c>
      <c r="Q626" s="21"/>
      <c r="R626" s="21"/>
      <c r="S626" s="3" t="s">
        <v>40</v>
      </c>
      <c r="T626" s="21" t="s">
        <v>41</v>
      </c>
      <c r="U626" s="21"/>
      <c r="V626" s="4" t="s">
        <v>42</v>
      </c>
      <c r="W626" s="4" t="s">
        <v>54</v>
      </c>
      <c r="X626" s="4" t="s">
        <v>55</v>
      </c>
      <c r="Y626" s="21" t="s">
        <v>56</v>
      </c>
      <c r="Z626" s="21"/>
      <c r="AA626" s="4" t="s">
        <v>46</v>
      </c>
      <c r="AB626" s="4" t="s">
        <v>47</v>
      </c>
      <c r="AC626" s="4" t="s">
        <v>57</v>
      </c>
      <c r="AD626" s="4" t="s">
        <v>58</v>
      </c>
      <c r="AE626" s="4" t="s">
        <v>48</v>
      </c>
      <c r="AF626" s="4" t="s">
        <v>41</v>
      </c>
      <c r="AG626" s="4" t="s">
        <v>1330</v>
      </c>
    </row>
    <row r="627" spans="1:33" ht="16.5" customHeight="1" x14ac:dyDescent="0.2">
      <c r="A627" s="2" t="s">
        <v>31</v>
      </c>
      <c r="B627" s="19" t="s">
        <v>50</v>
      </c>
      <c r="C627" s="19"/>
      <c r="D627" s="19"/>
      <c r="E627" s="20" t="s">
        <v>33</v>
      </c>
      <c r="F627" s="20"/>
      <c r="G627" s="21" t="s">
        <v>1327</v>
      </c>
      <c r="H627" s="21"/>
      <c r="I627" s="21"/>
      <c r="J627" s="3" t="s">
        <v>35</v>
      </c>
      <c r="K627" s="4" t="s">
        <v>82</v>
      </c>
      <c r="L627" s="4" t="s">
        <v>37</v>
      </c>
      <c r="N627" s="21" t="s">
        <v>1509</v>
      </c>
      <c r="O627" s="21"/>
      <c r="P627" s="21" t="s">
        <v>1510</v>
      </c>
      <c r="Q627" s="21"/>
      <c r="R627" s="21"/>
      <c r="S627" s="3" t="s">
        <v>40</v>
      </c>
      <c r="T627" s="21" t="s">
        <v>41</v>
      </c>
      <c r="U627" s="21"/>
      <c r="V627" s="4" t="s">
        <v>59</v>
      </c>
      <c r="W627" s="4" t="s">
        <v>54</v>
      </c>
      <c r="X627" s="4" t="s">
        <v>60</v>
      </c>
      <c r="Y627" s="21" t="s">
        <v>56</v>
      </c>
      <c r="Z627" s="21"/>
      <c r="AA627" s="4" t="s">
        <v>46</v>
      </c>
      <c r="AB627" s="4" t="s">
        <v>47</v>
      </c>
      <c r="AC627" s="4" t="s">
        <v>57</v>
      </c>
      <c r="AD627" s="4" t="s">
        <v>58</v>
      </c>
      <c r="AE627" s="4" t="s">
        <v>48</v>
      </c>
      <c r="AF627" s="4" t="s">
        <v>41</v>
      </c>
      <c r="AG627" s="4" t="s">
        <v>1330</v>
      </c>
    </row>
    <row r="628" spans="1:33" ht="16.5" customHeight="1" x14ac:dyDescent="0.2">
      <c r="A628" s="2" t="s">
        <v>31</v>
      </c>
      <c r="B628" s="19" t="s">
        <v>50</v>
      </c>
      <c r="C628" s="19"/>
      <c r="D628" s="19"/>
      <c r="E628" s="20" t="s">
        <v>33</v>
      </c>
      <c r="F628" s="20"/>
      <c r="G628" s="21" t="s">
        <v>1327</v>
      </c>
      <c r="H628" s="21"/>
      <c r="I628" s="21"/>
      <c r="J628" s="3" t="s">
        <v>35</v>
      </c>
      <c r="K628" s="4" t="s">
        <v>82</v>
      </c>
      <c r="L628" s="4" t="s">
        <v>37</v>
      </c>
      <c r="N628" s="21" t="s">
        <v>1511</v>
      </c>
      <c r="O628" s="21"/>
      <c r="P628" s="21" t="s">
        <v>1512</v>
      </c>
      <c r="Q628" s="21"/>
      <c r="R628" s="21"/>
      <c r="S628" s="3" t="s">
        <v>40</v>
      </c>
      <c r="T628" s="21" t="s">
        <v>41</v>
      </c>
      <c r="U628" s="21"/>
      <c r="V628" s="4" t="s">
        <v>59</v>
      </c>
      <c r="W628" s="4" t="s">
        <v>281</v>
      </c>
      <c r="X628" s="4" t="s">
        <v>1104</v>
      </c>
      <c r="Y628" s="21" t="s">
        <v>56</v>
      </c>
      <c r="Z628" s="21"/>
      <c r="AA628" s="4" t="s">
        <v>46</v>
      </c>
      <c r="AB628" s="4" t="s">
        <v>47</v>
      </c>
      <c r="AC628" s="4" t="s">
        <v>139</v>
      </c>
      <c r="AD628" s="4" t="s">
        <v>140</v>
      </c>
      <c r="AE628" s="4" t="s">
        <v>48</v>
      </c>
      <c r="AF628" s="4" t="s">
        <v>41</v>
      </c>
      <c r="AG628" s="4" t="s">
        <v>1330</v>
      </c>
    </row>
    <row r="629" spans="1:33" ht="16.5" customHeight="1" x14ac:dyDescent="0.2">
      <c r="A629" s="2" t="s">
        <v>31</v>
      </c>
      <c r="B629" s="19" t="s">
        <v>50</v>
      </c>
      <c r="C629" s="19"/>
      <c r="D629" s="19"/>
      <c r="E629" s="20" t="s">
        <v>33</v>
      </c>
      <c r="F629" s="20"/>
      <c r="G629" s="21" t="s">
        <v>1327</v>
      </c>
      <c r="H629" s="21"/>
      <c r="I629" s="21"/>
      <c r="J629" s="3" t="s">
        <v>35</v>
      </c>
      <c r="K629" s="4" t="s">
        <v>152</v>
      </c>
      <c r="L629" s="4" t="s">
        <v>68</v>
      </c>
      <c r="N629" s="21" t="s">
        <v>1513</v>
      </c>
      <c r="O629" s="21"/>
      <c r="P629" s="21" t="s">
        <v>1514</v>
      </c>
      <c r="Q629" s="21"/>
      <c r="R629" s="21"/>
      <c r="S629" s="3" t="s">
        <v>40</v>
      </c>
      <c r="T629" s="21" t="s">
        <v>41</v>
      </c>
      <c r="U629" s="21"/>
      <c r="V629" s="4" t="s">
        <v>42</v>
      </c>
      <c r="W629" s="4" t="s">
        <v>1103</v>
      </c>
      <c r="X629" s="4" t="s">
        <v>1104</v>
      </c>
      <c r="Y629" s="21" t="s">
        <v>56</v>
      </c>
      <c r="Z629" s="21"/>
      <c r="AA629" s="4" t="s">
        <v>46</v>
      </c>
      <c r="AB629" s="4" t="s">
        <v>47</v>
      </c>
      <c r="AC629" s="4" t="s">
        <v>139</v>
      </c>
      <c r="AD629" s="4" t="s">
        <v>151</v>
      </c>
      <c r="AE629" s="4" t="s">
        <v>48</v>
      </c>
      <c r="AF629" s="4" t="s">
        <v>41</v>
      </c>
      <c r="AG629" s="4" t="s">
        <v>1330</v>
      </c>
    </row>
    <row r="630" spans="1:33" ht="16.5" customHeight="1" x14ac:dyDescent="0.2">
      <c r="A630" s="2" t="s">
        <v>31</v>
      </c>
      <c r="B630" s="19" t="s">
        <v>50</v>
      </c>
      <c r="C630" s="19"/>
      <c r="D630" s="19"/>
      <c r="E630" s="20" t="s">
        <v>33</v>
      </c>
      <c r="F630" s="20"/>
      <c r="G630" s="21" t="s">
        <v>1327</v>
      </c>
      <c r="H630" s="21"/>
      <c r="I630" s="21"/>
      <c r="J630" s="3" t="s">
        <v>35</v>
      </c>
      <c r="K630" s="4" t="s">
        <v>82</v>
      </c>
      <c r="L630" s="4" t="s">
        <v>68</v>
      </c>
      <c r="N630" s="21" t="s">
        <v>1515</v>
      </c>
      <c r="O630" s="21"/>
      <c r="P630" s="21" t="s">
        <v>1516</v>
      </c>
      <c r="Q630" s="21"/>
      <c r="R630" s="21"/>
      <c r="S630" s="3" t="s">
        <v>40</v>
      </c>
      <c r="T630" s="21" t="s">
        <v>41</v>
      </c>
      <c r="U630" s="21"/>
      <c r="V630" s="4" t="s">
        <v>59</v>
      </c>
      <c r="W630" s="4" t="s">
        <v>54</v>
      </c>
      <c r="X630" s="4" t="s">
        <v>60</v>
      </c>
      <c r="Y630" s="21" t="s">
        <v>56</v>
      </c>
      <c r="Z630" s="21"/>
      <c r="AA630" s="4" t="s">
        <v>46</v>
      </c>
      <c r="AB630" s="4" t="s">
        <v>47</v>
      </c>
      <c r="AC630" s="4" t="s">
        <v>57</v>
      </c>
      <c r="AD630" s="4" t="s">
        <v>98</v>
      </c>
      <c r="AE630" s="4" t="s">
        <v>48</v>
      </c>
      <c r="AF630" s="4" t="s">
        <v>41</v>
      </c>
      <c r="AG630" s="4" t="s">
        <v>1330</v>
      </c>
    </row>
    <row r="631" spans="1:33" ht="16.5" customHeight="1" x14ac:dyDescent="0.2">
      <c r="A631" s="2" t="s">
        <v>31</v>
      </c>
      <c r="B631" s="19" t="s">
        <v>50</v>
      </c>
      <c r="C631" s="19"/>
      <c r="D631" s="19"/>
      <c r="E631" s="20" t="s">
        <v>33</v>
      </c>
      <c r="F631" s="20"/>
      <c r="G631" s="21" t="s">
        <v>1327</v>
      </c>
      <c r="H631" s="21"/>
      <c r="I631" s="21"/>
      <c r="J631" s="3" t="s">
        <v>35</v>
      </c>
      <c r="K631" s="4" t="s">
        <v>82</v>
      </c>
      <c r="L631" s="4" t="s">
        <v>37</v>
      </c>
      <c r="N631" s="21" t="s">
        <v>1517</v>
      </c>
      <c r="O631" s="21"/>
      <c r="P631" s="21" t="s">
        <v>1518</v>
      </c>
      <c r="Q631" s="21"/>
      <c r="R631" s="21"/>
      <c r="S631" s="3" t="s">
        <v>40</v>
      </c>
      <c r="T631" s="21" t="s">
        <v>41</v>
      </c>
      <c r="U631" s="21"/>
      <c r="V631" s="4" t="s">
        <v>42</v>
      </c>
      <c r="W631" s="4" t="s">
        <v>286</v>
      </c>
      <c r="X631" s="4" t="s">
        <v>287</v>
      </c>
      <c r="Y631" s="21" t="s">
        <v>56</v>
      </c>
      <c r="Z631" s="21"/>
      <c r="AA631" s="4" t="s">
        <v>46</v>
      </c>
      <c r="AB631" s="4" t="s">
        <v>47</v>
      </c>
      <c r="AC631" s="4" t="s">
        <v>139</v>
      </c>
      <c r="AD631" s="4" t="s">
        <v>140</v>
      </c>
      <c r="AE631" s="4" t="s">
        <v>48</v>
      </c>
      <c r="AF631" s="4" t="s">
        <v>41</v>
      </c>
      <c r="AG631" s="4" t="s">
        <v>1330</v>
      </c>
    </row>
    <row r="632" spans="1:33" ht="16.5" customHeight="1" x14ac:dyDescent="0.2">
      <c r="A632" s="2" t="s">
        <v>31</v>
      </c>
      <c r="B632" s="19" t="s">
        <v>50</v>
      </c>
      <c r="C632" s="19"/>
      <c r="D632" s="19"/>
      <c r="E632" s="20" t="s">
        <v>33</v>
      </c>
      <c r="F632" s="20"/>
      <c r="G632" s="21" t="s">
        <v>1327</v>
      </c>
      <c r="H632" s="21"/>
      <c r="I632" s="21"/>
      <c r="J632" s="3" t="s">
        <v>35</v>
      </c>
      <c r="K632" s="4" t="s">
        <v>99</v>
      </c>
      <c r="L632" s="4" t="s">
        <v>37</v>
      </c>
      <c r="N632" s="21" t="s">
        <v>1519</v>
      </c>
      <c r="O632" s="21"/>
      <c r="P632" s="21" t="s">
        <v>1520</v>
      </c>
      <c r="Q632" s="21"/>
      <c r="R632" s="21"/>
      <c r="S632" s="3" t="s">
        <v>40</v>
      </c>
      <c r="T632" s="21" t="s">
        <v>41</v>
      </c>
      <c r="U632" s="21"/>
      <c r="V632" s="4" t="s">
        <v>42</v>
      </c>
      <c r="W632" s="4" t="s">
        <v>202</v>
      </c>
      <c r="X632" s="4" t="s">
        <v>203</v>
      </c>
      <c r="Y632" s="21" t="s">
        <v>56</v>
      </c>
      <c r="Z632" s="21"/>
      <c r="AA632" s="4" t="s">
        <v>46</v>
      </c>
      <c r="AB632" s="4" t="s">
        <v>47</v>
      </c>
      <c r="AC632" s="4" t="s">
        <v>139</v>
      </c>
      <c r="AD632" s="4" t="s">
        <v>140</v>
      </c>
      <c r="AE632" s="4" t="s">
        <v>48</v>
      </c>
      <c r="AF632" s="4" t="s">
        <v>41</v>
      </c>
      <c r="AG632" s="4" t="s">
        <v>1330</v>
      </c>
    </row>
    <row r="633" spans="1:33" ht="16.5" customHeight="1" x14ac:dyDescent="0.2">
      <c r="A633" s="2" t="s">
        <v>31</v>
      </c>
      <c r="B633" s="19" t="s">
        <v>50</v>
      </c>
      <c r="C633" s="19"/>
      <c r="D633" s="19"/>
      <c r="E633" s="20" t="s">
        <v>33</v>
      </c>
      <c r="F633" s="20"/>
      <c r="G633" s="21" t="s">
        <v>1327</v>
      </c>
      <c r="H633" s="21"/>
      <c r="I633" s="21"/>
      <c r="J633" s="3" t="s">
        <v>35</v>
      </c>
      <c r="K633" s="4" t="s">
        <v>152</v>
      </c>
      <c r="L633" s="4" t="s">
        <v>37</v>
      </c>
      <c r="N633" s="21" t="s">
        <v>1521</v>
      </c>
      <c r="O633" s="21"/>
      <c r="P633" s="21" t="s">
        <v>1522</v>
      </c>
      <c r="Q633" s="21"/>
      <c r="R633" s="21"/>
      <c r="S633" s="3" t="s">
        <v>40</v>
      </c>
      <c r="T633" s="21" t="s">
        <v>41</v>
      </c>
      <c r="U633" s="21"/>
      <c r="V633" s="4" t="s">
        <v>42</v>
      </c>
      <c r="W633" s="4" t="s">
        <v>290</v>
      </c>
      <c r="X633" s="4" t="s">
        <v>291</v>
      </c>
      <c r="Y633" s="21" t="s">
        <v>56</v>
      </c>
      <c r="Z633" s="21"/>
      <c r="AA633" s="4" t="s">
        <v>46</v>
      </c>
      <c r="AB633" s="4" t="s">
        <v>47</v>
      </c>
      <c r="AC633" s="4" t="s">
        <v>139</v>
      </c>
      <c r="AD633" s="4" t="s">
        <v>140</v>
      </c>
      <c r="AE633" s="4" t="s">
        <v>48</v>
      </c>
      <c r="AF633" s="4" t="s">
        <v>41</v>
      </c>
      <c r="AG633" s="4" t="s">
        <v>1330</v>
      </c>
    </row>
    <row r="634" spans="1:33" ht="16.5" customHeight="1" x14ac:dyDescent="0.2">
      <c r="A634" s="2" t="s">
        <v>31</v>
      </c>
      <c r="B634" s="19" t="s">
        <v>50</v>
      </c>
      <c r="C634" s="19"/>
      <c r="D634" s="19"/>
      <c r="E634" s="20" t="s">
        <v>33</v>
      </c>
      <c r="F634" s="20"/>
      <c r="G634" s="21" t="s">
        <v>1327</v>
      </c>
      <c r="H634" s="21"/>
      <c r="I634" s="21"/>
      <c r="J634" s="3" t="s">
        <v>35</v>
      </c>
      <c r="K634" s="4" t="s">
        <v>152</v>
      </c>
      <c r="L634" s="4" t="s">
        <v>37</v>
      </c>
      <c r="N634" s="21" t="s">
        <v>1523</v>
      </c>
      <c r="O634" s="21"/>
      <c r="P634" s="21" t="s">
        <v>1524</v>
      </c>
      <c r="Q634" s="21"/>
      <c r="R634" s="21"/>
      <c r="S634" s="3" t="s">
        <v>40</v>
      </c>
      <c r="T634" s="21" t="s">
        <v>41</v>
      </c>
      <c r="U634" s="21"/>
      <c r="V634" s="4" t="s">
        <v>42</v>
      </c>
      <c r="W634" s="4" t="s">
        <v>202</v>
      </c>
      <c r="X634" s="4" t="s">
        <v>203</v>
      </c>
      <c r="Y634" s="21" t="s">
        <v>56</v>
      </c>
      <c r="Z634" s="21"/>
      <c r="AA634" s="4" t="s">
        <v>46</v>
      </c>
      <c r="AB634" s="4" t="s">
        <v>47</v>
      </c>
      <c r="AC634" s="4" t="s">
        <v>139</v>
      </c>
      <c r="AD634" s="4" t="s">
        <v>140</v>
      </c>
      <c r="AE634" s="4" t="s">
        <v>48</v>
      </c>
      <c r="AF634" s="4" t="s">
        <v>41</v>
      </c>
      <c r="AG634" s="4" t="s">
        <v>1330</v>
      </c>
    </row>
    <row r="635" spans="1:33" ht="16.5" customHeight="1" x14ac:dyDescent="0.2">
      <c r="A635" s="2" t="s">
        <v>31</v>
      </c>
      <c r="B635" s="19" t="s">
        <v>50</v>
      </c>
      <c r="C635" s="19"/>
      <c r="D635" s="19"/>
      <c r="E635" s="20" t="s">
        <v>33</v>
      </c>
      <c r="F635" s="20"/>
      <c r="G635" s="21" t="s">
        <v>1327</v>
      </c>
      <c r="H635" s="21"/>
      <c r="I635" s="21"/>
      <c r="J635" s="3" t="s">
        <v>35</v>
      </c>
      <c r="K635" s="4" t="s">
        <v>152</v>
      </c>
      <c r="L635" s="4" t="s">
        <v>37</v>
      </c>
      <c r="N635" s="21" t="s">
        <v>1523</v>
      </c>
      <c r="O635" s="21"/>
      <c r="P635" s="21" t="s">
        <v>1524</v>
      </c>
      <c r="Q635" s="21"/>
      <c r="R635" s="21"/>
      <c r="S635" s="3" t="s">
        <v>40</v>
      </c>
      <c r="T635" s="21" t="s">
        <v>41</v>
      </c>
      <c r="U635" s="21"/>
      <c r="V635" s="4" t="s">
        <v>59</v>
      </c>
      <c r="W635" s="4" t="s">
        <v>202</v>
      </c>
      <c r="X635" s="4" t="s">
        <v>791</v>
      </c>
      <c r="Y635" s="21" t="s">
        <v>56</v>
      </c>
      <c r="Z635" s="21"/>
      <c r="AA635" s="4" t="s">
        <v>46</v>
      </c>
      <c r="AB635" s="4" t="s">
        <v>47</v>
      </c>
      <c r="AC635" s="4" t="s">
        <v>139</v>
      </c>
      <c r="AD635" s="4" t="s">
        <v>140</v>
      </c>
      <c r="AE635" s="4" t="s">
        <v>48</v>
      </c>
      <c r="AF635" s="4" t="s">
        <v>41</v>
      </c>
      <c r="AG635" s="4" t="s">
        <v>1330</v>
      </c>
    </row>
    <row r="636" spans="1:33" ht="16.5" customHeight="1" x14ac:dyDescent="0.2">
      <c r="A636" s="2" t="s">
        <v>31</v>
      </c>
      <c r="B636" s="19" t="s">
        <v>50</v>
      </c>
      <c r="C636" s="19"/>
      <c r="D636" s="19"/>
      <c r="E636" s="20" t="s">
        <v>33</v>
      </c>
      <c r="F636" s="20"/>
      <c r="G636" s="21" t="s">
        <v>1327</v>
      </c>
      <c r="H636" s="21"/>
      <c r="I636" s="21"/>
      <c r="J636" s="3" t="s">
        <v>35</v>
      </c>
      <c r="K636" s="4" t="s">
        <v>152</v>
      </c>
      <c r="L636" s="4" t="s">
        <v>37</v>
      </c>
      <c r="N636" s="21" t="s">
        <v>1525</v>
      </c>
      <c r="O636" s="21"/>
      <c r="P636" s="21" t="s">
        <v>1526</v>
      </c>
      <c r="Q636" s="21"/>
      <c r="R636" s="21"/>
      <c r="S636" s="3" t="s">
        <v>40</v>
      </c>
      <c r="T636" s="21" t="s">
        <v>41</v>
      </c>
      <c r="U636" s="21"/>
      <c r="V636" s="4" t="s">
        <v>42</v>
      </c>
      <c r="W636" s="4" t="s">
        <v>54</v>
      </c>
      <c r="X636" s="4" t="s">
        <v>55</v>
      </c>
      <c r="Y636" s="21" t="s">
        <v>56</v>
      </c>
      <c r="Z636" s="21"/>
      <c r="AA636" s="4" t="s">
        <v>46</v>
      </c>
      <c r="AB636" s="4" t="s">
        <v>47</v>
      </c>
      <c r="AC636" s="4" t="s">
        <v>57</v>
      </c>
      <c r="AD636" s="4" t="s">
        <v>58</v>
      </c>
      <c r="AE636" s="4" t="s">
        <v>48</v>
      </c>
      <c r="AF636" s="4" t="s">
        <v>41</v>
      </c>
      <c r="AG636" s="4" t="s">
        <v>1330</v>
      </c>
    </row>
    <row r="637" spans="1:33" ht="16.5" customHeight="1" x14ac:dyDescent="0.2">
      <c r="A637" s="2" t="s">
        <v>31</v>
      </c>
      <c r="B637" s="19" t="s">
        <v>50</v>
      </c>
      <c r="C637" s="19"/>
      <c r="D637" s="19"/>
      <c r="E637" s="20" t="s">
        <v>33</v>
      </c>
      <c r="F637" s="20"/>
      <c r="G637" s="21" t="s">
        <v>1327</v>
      </c>
      <c r="H637" s="21"/>
      <c r="I637" s="21"/>
      <c r="J637" s="3" t="s">
        <v>35</v>
      </c>
      <c r="K637" s="4" t="s">
        <v>152</v>
      </c>
      <c r="L637" s="4" t="s">
        <v>37</v>
      </c>
      <c r="N637" s="21" t="s">
        <v>1525</v>
      </c>
      <c r="O637" s="21"/>
      <c r="P637" s="21" t="s">
        <v>1526</v>
      </c>
      <c r="Q637" s="21"/>
      <c r="R637" s="21"/>
      <c r="S637" s="3" t="s">
        <v>40</v>
      </c>
      <c r="T637" s="21" t="s">
        <v>41</v>
      </c>
      <c r="U637" s="21"/>
      <c r="V637" s="4" t="s">
        <v>59</v>
      </c>
      <c r="W637" s="4" t="s">
        <v>54</v>
      </c>
      <c r="X637" s="4" t="s">
        <v>60</v>
      </c>
      <c r="Y637" s="21" t="s">
        <v>56</v>
      </c>
      <c r="Z637" s="21"/>
      <c r="AA637" s="4" t="s">
        <v>46</v>
      </c>
      <c r="AB637" s="4" t="s">
        <v>47</v>
      </c>
      <c r="AC637" s="4" t="s">
        <v>57</v>
      </c>
      <c r="AD637" s="4" t="s">
        <v>58</v>
      </c>
      <c r="AE637" s="4" t="s">
        <v>48</v>
      </c>
      <c r="AF637" s="4" t="s">
        <v>41</v>
      </c>
      <c r="AG637" s="4" t="s">
        <v>1330</v>
      </c>
    </row>
    <row r="638" spans="1:33" ht="16.5" customHeight="1" x14ac:dyDescent="0.2">
      <c r="A638" s="2" t="s">
        <v>31</v>
      </c>
      <c r="B638" s="19" t="s">
        <v>50</v>
      </c>
      <c r="C638" s="19"/>
      <c r="D638" s="19"/>
      <c r="E638" s="20" t="s">
        <v>33</v>
      </c>
      <c r="F638" s="20"/>
      <c r="G638" s="21" t="s">
        <v>1327</v>
      </c>
      <c r="H638" s="21"/>
      <c r="I638" s="21"/>
      <c r="J638" s="3" t="s">
        <v>35</v>
      </c>
      <c r="K638" s="4" t="s">
        <v>152</v>
      </c>
      <c r="L638" s="4" t="s">
        <v>37</v>
      </c>
      <c r="N638" s="21" t="s">
        <v>1527</v>
      </c>
      <c r="O638" s="21"/>
      <c r="P638" s="21" t="s">
        <v>1528</v>
      </c>
      <c r="Q638" s="21"/>
      <c r="R638" s="21"/>
      <c r="S638" s="3" t="s">
        <v>40</v>
      </c>
      <c r="T638" s="21" t="s">
        <v>41</v>
      </c>
      <c r="U638" s="21"/>
      <c r="V638" s="4" t="s">
        <v>42</v>
      </c>
      <c r="W638" s="4" t="s">
        <v>828</v>
      </c>
      <c r="X638" s="4" t="s">
        <v>829</v>
      </c>
      <c r="Y638" s="21" t="s">
        <v>56</v>
      </c>
      <c r="Z638" s="21"/>
      <c r="AA638" s="4" t="s">
        <v>46</v>
      </c>
      <c r="AB638" s="4" t="s">
        <v>47</v>
      </c>
      <c r="AC638" s="4" t="s">
        <v>139</v>
      </c>
      <c r="AD638" s="4" t="s">
        <v>140</v>
      </c>
      <c r="AE638" s="4" t="s">
        <v>48</v>
      </c>
      <c r="AF638" s="4" t="s">
        <v>41</v>
      </c>
      <c r="AG638" s="4" t="s">
        <v>1330</v>
      </c>
    </row>
    <row r="639" spans="1:33" ht="16.5" customHeight="1" x14ac:dyDescent="0.2">
      <c r="A639" s="2" t="s">
        <v>31</v>
      </c>
      <c r="B639" s="19" t="s">
        <v>50</v>
      </c>
      <c r="C639" s="19"/>
      <c r="D639" s="19"/>
      <c r="E639" s="20" t="s">
        <v>33</v>
      </c>
      <c r="F639" s="20"/>
      <c r="G639" s="21" t="s">
        <v>1327</v>
      </c>
      <c r="H639" s="21"/>
      <c r="I639" s="21"/>
      <c r="J639" s="3" t="s">
        <v>35</v>
      </c>
      <c r="K639" s="4" t="s">
        <v>152</v>
      </c>
      <c r="L639" s="4" t="s">
        <v>179</v>
      </c>
      <c r="N639" s="21" t="s">
        <v>1527</v>
      </c>
      <c r="O639" s="21"/>
      <c r="P639" s="21" t="s">
        <v>1528</v>
      </c>
      <c r="Q639" s="21"/>
      <c r="R639" s="21"/>
      <c r="S639" s="3" t="s">
        <v>40</v>
      </c>
      <c r="T639" s="21" t="s">
        <v>41</v>
      </c>
      <c r="U639" s="21"/>
      <c r="V639" s="4" t="s">
        <v>59</v>
      </c>
      <c r="W639" s="4" t="s">
        <v>828</v>
      </c>
      <c r="X639" s="4" t="s">
        <v>470</v>
      </c>
      <c r="Y639" s="21" t="s">
        <v>56</v>
      </c>
      <c r="Z639" s="21"/>
      <c r="AA639" s="4" t="s">
        <v>46</v>
      </c>
      <c r="AB639" s="4" t="s">
        <v>47</v>
      </c>
      <c r="AC639" s="4" t="s">
        <v>139</v>
      </c>
      <c r="AD639" s="4" t="s">
        <v>1435</v>
      </c>
      <c r="AE639" s="4" t="s">
        <v>48</v>
      </c>
      <c r="AF639" s="4" t="s">
        <v>41</v>
      </c>
      <c r="AG639" s="4" t="s">
        <v>1330</v>
      </c>
    </row>
    <row r="640" spans="1:33" ht="16.5" customHeight="1" x14ac:dyDescent="0.2">
      <c r="A640" s="2" t="s">
        <v>31</v>
      </c>
      <c r="B640" s="19" t="s">
        <v>50</v>
      </c>
      <c r="C640" s="19"/>
      <c r="D640" s="19"/>
      <c r="E640" s="20" t="s">
        <v>33</v>
      </c>
      <c r="F640" s="20"/>
      <c r="G640" s="21" t="s">
        <v>1327</v>
      </c>
      <c r="H640" s="21"/>
      <c r="I640" s="21"/>
      <c r="J640" s="3" t="s">
        <v>35</v>
      </c>
      <c r="K640" s="4" t="s">
        <v>152</v>
      </c>
      <c r="L640" s="4" t="s">
        <v>37</v>
      </c>
      <c r="N640" s="21" t="s">
        <v>1527</v>
      </c>
      <c r="O640" s="21"/>
      <c r="P640" s="21" t="s">
        <v>1528</v>
      </c>
      <c r="Q640" s="21"/>
      <c r="R640" s="21"/>
      <c r="S640" s="3" t="s">
        <v>40</v>
      </c>
      <c r="T640" s="21" t="s">
        <v>41</v>
      </c>
      <c r="U640" s="21"/>
      <c r="V640" s="4" t="s">
        <v>59</v>
      </c>
      <c r="W640" s="4" t="s">
        <v>828</v>
      </c>
      <c r="X640" s="4" t="s">
        <v>470</v>
      </c>
      <c r="Y640" s="21" t="s">
        <v>56</v>
      </c>
      <c r="Z640" s="21"/>
      <c r="AA640" s="4" t="s">
        <v>46</v>
      </c>
      <c r="AB640" s="4" t="s">
        <v>47</v>
      </c>
      <c r="AC640" s="4" t="s">
        <v>139</v>
      </c>
      <c r="AD640" s="4" t="s">
        <v>140</v>
      </c>
      <c r="AE640" s="4" t="s">
        <v>48</v>
      </c>
      <c r="AF640" s="4" t="s">
        <v>41</v>
      </c>
      <c r="AG640" s="4" t="s">
        <v>1330</v>
      </c>
    </row>
    <row r="641" spans="1:33" ht="16.5" customHeight="1" x14ac:dyDescent="0.2">
      <c r="A641" s="2" t="s">
        <v>31</v>
      </c>
      <c r="B641" s="19" t="s">
        <v>50</v>
      </c>
      <c r="C641" s="19"/>
      <c r="D641" s="19"/>
      <c r="E641" s="20" t="s">
        <v>33</v>
      </c>
      <c r="F641" s="20"/>
      <c r="G641" s="21" t="s">
        <v>1327</v>
      </c>
      <c r="H641" s="21"/>
      <c r="I641" s="21"/>
      <c r="J641" s="3" t="s">
        <v>35</v>
      </c>
      <c r="K641" s="4" t="s">
        <v>152</v>
      </c>
      <c r="L641" s="4" t="s">
        <v>179</v>
      </c>
      <c r="N641" s="21" t="s">
        <v>1527</v>
      </c>
      <c r="O641" s="21"/>
      <c r="P641" s="21" t="s">
        <v>1528</v>
      </c>
      <c r="Q641" s="21"/>
      <c r="R641" s="21"/>
      <c r="S641" s="3" t="s">
        <v>40</v>
      </c>
      <c r="T641" s="21" t="s">
        <v>41</v>
      </c>
      <c r="U641" s="21"/>
      <c r="V641" s="4" t="s">
        <v>130</v>
      </c>
      <c r="W641" s="4" t="s">
        <v>828</v>
      </c>
      <c r="X641" s="4" t="s">
        <v>471</v>
      </c>
      <c r="Y641" s="21" t="s">
        <v>56</v>
      </c>
      <c r="Z641" s="21"/>
      <c r="AA641" s="4" t="s">
        <v>46</v>
      </c>
      <c r="AB641" s="4" t="s">
        <v>47</v>
      </c>
      <c r="AC641" s="4" t="s">
        <v>139</v>
      </c>
      <c r="AD641" s="4" t="s">
        <v>1435</v>
      </c>
      <c r="AE641" s="4" t="s">
        <v>48</v>
      </c>
      <c r="AF641" s="4" t="s">
        <v>41</v>
      </c>
      <c r="AG641" s="4" t="s">
        <v>1330</v>
      </c>
    </row>
    <row r="642" spans="1:33" ht="16.5" customHeight="1" x14ac:dyDescent="0.2">
      <c r="A642" s="2" t="s">
        <v>31</v>
      </c>
      <c r="B642" s="19" t="s">
        <v>50</v>
      </c>
      <c r="C642" s="19"/>
      <c r="D642" s="19"/>
      <c r="E642" s="20" t="s">
        <v>33</v>
      </c>
      <c r="F642" s="20"/>
      <c r="G642" s="21" t="s">
        <v>1327</v>
      </c>
      <c r="H642" s="21"/>
      <c r="I642" s="21"/>
      <c r="J642" s="3" t="s">
        <v>35</v>
      </c>
      <c r="K642" s="4" t="s">
        <v>152</v>
      </c>
      <c r="L642" s="4" t="s">
        <v>37</v>
      </c>
      <c r="N642" s="21" t="s">
        <v>1527</v>
      </c>
      <c r="O642" s="21"/>
      <c r="P642" s="21" t="s">
        <v>1528</v>
      </c>
      <c r="Q642" s="21"/>
      <c r="R642" s="21"/>
      <c r="S642" s="3" t="s">
        <v>40</v>
      </c>
      <c r="T642" s="21" t="s">
        <v>41</v>
      </c>
      <c r="U642" s="21"/>
      <c r="V642" s="4" t="s">
        <v>130</v>
      </c>
      <c r="W642" s="4" t="s">
        <v>828</v>
      </c>
      <c r="X642" s="4" t="s">
        <v>471</v>
      </c>
      <c r="Y642" s="21" t="s">
        <v>56</v>
      </c>
      <c r="Z642" s="21"/>
      <c r="AA642" s="4" t="s">
        <v>46</v>
      </c>
      <c r="AB642" s="4" t="s">
        <v>47</v>
      </c>
      <c r="AC642" s="4" t="s">
        <v>139</v>
      </c>
      <c r="AD642" s="4" t="s">
        <v>140</v>
      </c>
      <c r="AE642" s="4" t="s">
        <v>48</v>
      </c>
      <c r="AF642" s="4" t="s">
        <v>41</v>
      </c>
      <c r="AG642" s="4" t="s">
        <v>1330</v>
      </c>
    </row>
    <row r="643" spans="1:33" ht="16.5" customHeight="1" x14ac:dyDescent="0.2">
      <c r="A643" s="2" t="s">
        <v>31</v>
      </c>
      <c r="B643" s="19" t="s">
        <v>50</v>
      </c>
      <c r="C643" s="19"/>
      <c r="D643" s="19"/>
      <c r="E643" s="20" t="s">
        <v>33</v>
      </c>
      <c r="F643" s="20"/>
      <c r="G643" s="21" t="s">
        <v>1327</v>
      </c>
      <c r="H643" s="21"/>
      <c r="I643" s="21"/>
      <c r="J643" s="3" t="s">
        <v>35</v>
      </c>
      <c r="K643" s="4" t="s">
        <v>152</v>
      </c>
      <c r="L643" s="4" t="s">
        <v>37</v>
      </c>
      <c r="N643" s="21" t="s">
        <v>1529</v>
      </c>
      <c r="O643" s="21"/>
      <c r="P643" s="21" t="s">
        <v>1530</v>
      </c>
      <c r="Q643" s="21"/>
      <c r="R643" s="21"/>
      <c r="S643" s="3" t="s">
        <v>40</v>
      </c>
      <c r="T643" s="21" t="s">
        <v>41</v>
      </c>
      <c r="U643" s="21"/>
      <c r="V643" s="4" t="s">
        <v>42</v>
      </c>
      <c r="W643" s="4" t="s">
        <v>828</v>
      </c>
      <c r="X643" s="4" t="s">
        <v>829</v>
      </c>
      <c r="Y643" s="21" t="s">
        <v>56</v>
      </c>
      <c r="Z643" s="21"/>
      <c r="AA643" s="4" t="s">
        <v>46</v>
      </c>
      <c r="AB643" s="4" t="s">
        <v>47</v>
      </c>
      <c r="AC643" s="4" t="s">
        <v>139</v>
      </c>
      <c r="AD643" s="4" t="s">
        <v>140</v>
      </c>
      <c r="AE643" s="4" t="s">
        <v>48</v>
      </c>
      <c r="AF643" s="4" t="s">
        <v>41</v>
      </c>
      <c r="AG643" s="4" t="s">
        <v>1330</v>
      </c>
    </row>
    <row r="644" spans="1:33" ht="16.5" customHeight="1" x14ac:dyDescent="0.2">
      <c r="A644" s="2" t="s">
        <v>31</v>
      </c>
      <c r="B644" s="19" t="s">
        <v>50</v>
      </c>
      <c r="C644" s="19"/>
      <c r="D644" s="19"/>
      <c r="E644" s="20" t="s">
        <v>33</v>
      </c>
      <c r="F644" s="20"/>
      <c r="G644" s="21" t="s">
        <v>1327</v>
      </c>
      <c r="H644" s="21"/>
      <c r="I644" s="21"/>
      <c r="J644" s="3" t="s">
        <v>35</v>
      </c>
      <c r="K644" s="4" t="s">
        <v>152</v>
      </c>
      <c r="L644" s="4" t="s">
        <v>68</v>
      </c>
      <c r="N644" s="21" t="s">
        <v>1531</v>
      </c>
      <c r="O644" s="21"/>
      <c r="P644" s="21" t="s">
        <v>1532</v>
      </c>
      <c r="Q644" s="21"/>
      <c r="R644" s="21"/>
      <c r="S644" s="3" t="s">
        <v>40</v>
      </c>
      <c r="T644" s="21" t="s">
        <v>41</v>
      </c>
      <c r="U644" s="21"/>
      <c r="V644" s="4" t="s">
        <v>42</v>
      </c>
      <c r="W644" s="4" t="s">
        <v>469</v>
      </c>
      <c r="X644" s="4" t="s">
        <v>470</v>
      </c>
      <c r="Y644" s="21" t="s">
        <v>56</v>
      </c>
      <c r="Z644" s="21"/>
      <c r="AA644" s="4" t="s">
        <v>46</v>
      </c>
      <c r="AB644" s="4" t="s">
        <v>47</v>
      </c>
      <c r="AC644" s="4" t="s">
        <v>139</v>
      </c>
      <c r="AD644" s="4" t="s">
        <v>151</v>
      </c>
      <c r="AE644" s="4" t="s">
        <v>48</v>
      </c>
      <c r="AF644" s="4" t="s">
        <v>41</v>
      </c>
      <c r="AG644" s="4" t="s">
        <v>1330</v>
      </c>
    </row>
    <row r="645" spans="1:33" ht="16.5" customHeight="1" x14ac:dyDescent="0.2">
      <c r="A645" s="2" t="s">
        <v>31</v>
      </c>
      <c r="B645" s="19" t="s">
        <v>50</v>
      </c>
      <c r="C645" s="19"/>
      <c r="D645" s="19"/>
      <c r="E645" s="20" t="s">
        <v>33</v>
      </c>
      <c r="F645" s="20"/>
      <c r="G645" s="21" t="s">
        <v>1327</v>
      </c>
      <c r="H645" s="21"/>
      <c r="I645" s="21"/>
      <c r="J645" s="3" t="s">
        <v>35</v>
      </c>
      <c r="K645" s="4" t="s">
        <v>51</v>
      </c>
      <c r="L645" s="4" t="s">
        <v>37</v>
      </c>
      <c r="N645" s="21" t="s">
        <v>1533</v>
      </c>
      <c r="O645" s="21"/>
      <c r="P645" s="21" t="s">
        <v>1534</v>
      </c>
      <c r="Q645" s="21"/>
      <c r="R645" s="21"/>
      <c r="S645" s="3" t="s">
        <v>40</v>
      </c>
      <c r="T645" s="21" t="s">
        <v>41</v>
      </c>
      <c r="U645" s="21"/>
      <c r="V645" s="4" t="s">
        <v>59</v>
      </c>
      <c r="W645" s="4" t="s">
        <v>303</v>
      </c>
      <c r="X645" s="4" t="s">
        <v>304</v>
      </c>
      <c r="Y645" s="21" t="s">
        <v>56</v>
      </c>
      <c r="Z645" s="21"/>
      <c r="AA645" s="4" t="s">
        <v>46</v>
      </c>
      <c r="AB645" s="4" t="s">
        <v>47</v>
      </c>
      <c r="AC645" s="4" t="s">
        <v>139</v>
      </c>
      <c r="AD645" s="4" t="s">
        <v>140</v>
      </c>
      <c r="AE645" s="4" t="s">
        <v>48</v>
      </c>
      <c r="AF645" s="4" t="s">
        <v>41</v>
      </c>
      <c r="AG645" s="4" t="s">
        <v>1330</v>
      </c>
    </row>
    <row r="646" spans="1:33" ht="16.5" customHeight="1" x14ac:dyDescent="0.2">
      <c r="A646" s="2" t="s">
        <v>31</v>
      </c>
      <c r="B646" s="19" t="s">
        <v>50</v>
      </c>
      <c r="C646" s="19"/>
      <c r="D646" s="19"/>
      <c r="E646" s="20" t="s">
        <v>33</v>
      </c>
      <c r="F646" s="20"/>
      <c r="G646" s="21" t="s">
        <v>1327</v>
      </c>
      <c r="H646" s="21"/>
      <c r="I646" s="21"/>
      <c r="J646" s="3" t="s">
        <v>35</v>
      </c>
      <c r="K646" s="4" t="s">
        <v>99</v>
      </c>
      <c r="L646" s="4" t="s">
        <v>68</v>
      </c>
      <c r="N646" s="21" t="s">
        <v>1535</v>
      </c>
      <c r="O646" s="21"/>
      <c r="P646" s="21" t="s">
        <v>1536</v>
      </c>
      <c r="Q646" s="21"/>
      <c r="R646" s="21"/>
      <c r="S646" s="3" t="s">
        <v>40</v>
      </c>
      <c r="T646" s="21" t="s">
        <v>41</v>
      </c>
      <c r="U646" s="21"/>
      <c r="V646" s="4" t="s">
        <v>42</v>
      </c>
      <c r="W646" s="4" t="s">
        <v>307</v>
      </c>
      <c r="X646" s="4" t="s">
        <v>304</v>
      </c>
      <c r="Y646" s="21" t="s">
        <v>56</v>
      </c>
      <c r="Z646" s="21"/>
      <c r="AA646" s="4" t="s">
        <v>46</v>
      </c>
      <c r="AB646" s="4" t="s">
        <v>47</v>
      </c>
      <c r="AC646" s="4" t="s">
        <v>139</v>
      </c>
      <c r="AD646" s="4" t="s">
        <v>151</v>
      </c>
      <c r="AE646" s="4" t="s">
        <v>48</v>
      </c>
      <c r="AF646" s="4" t="s">
        <v>41</v>
      </c>
      <c r="AG646" s="4" t="s">
        <v>1330</v>
      </c>
    </row>
    <row r="647" spans="1:33" ht="16.5" customHeight="1" x14ac:dyDescent="0.2">
      <c r="A647" s="2" t="s">
        <v>31</v>
      </c>
      <c r="B647" s="19" t="s">
        <v>50</v>
      </c>
      <c r="C647" s="19"/>
      <c r="D647" s="19"/>
      <c r="E647" s="20" t="s">
        <v>33</v>
      </c>
      <c r="F647" s="20"/>
      <c r="G647" s="21" t="s">
        <v>1327</v>
      </c>
      <c r="H647" s="21"/>
      <c r="I647" s="21"/>
      <c r="J647" s="3" t="s">
        <v>35</v>
      </c>
      <c r="K647" s="4" t="s">
        <v>82</v>
      </c>
      <c r="L647" s="4" t="s">
        <v>37</v>
      </c>
      <c r="N647" s="21" t="s">
        <v>1537</v>
      </c>
      <c r="O647" s="21"/>
      <c r="P647" s="21" t="s">
        <v>1538</v>
      </c>
      <c r="Q647" s="21"/>
      <c r="R647" s="21"/>
      <c r="S647" s="3" t="s">
        <v>40</v>
      </c>
      <c r="T647" s="21" t="s">
        <v>41</v>
      </c>
      <c r="U647" s="21"/>
      <c r="V647" s="4" t="s">
        <v>42</v>
      </c>
      <c r="W647" s="4" t="s">
        <v>43</v>
      </c>
      <c r="X647" s="4" t="s">
        <v>44</v>
      </c>
      <c r="Y647" s="21" t="s">
        <v>56</v>
      </c>
      <c r="Z647" s="21"/>
      <c r="AA647" s="4" t="s">
        <v>46</v>
      </c>
      <c r="AB647" s="4" t="s">
        <v>47</v>
      </c>
      <c r="AC647" s="4" t="s">
        <v>139</v>
      </c>
      <c r="AD647" s="4" t="s">
        <v>140</v>
      </c>
      <c r="AE647" s="4" t="s">
        <v>48</v>
      </c>
      <c r="AF647" s="4" t="s">
        <v>41</v>
      </c>
      <c r="AG647" s="4" t="s">
        <v>1330</v>
      </c>
    </row>
    <row r="648" spans="1:33" ht="16.5" customHeight="1" x14ac:dyDescent="0.2">
      <c r="A648" s="2" t="s">
        <v>31</v>
      </c>
      <c r="B648" s="19" t="s">
        <v>50</v>
      </c>
      <c r="C648" s="19"/>
      <c r="D648" s="19"/>
      <c r="E648" s="20" t="s">
        <v>33</v>
      </c>
      <c r="F648" s="20"/>
      <c r="G648" s="21" t="s">
        <v>1327</v>
      </c>
      <c r="H648" s="21"/>
      <c r="I648" s="21"/>
      <c r="J648" s="3" t="s">
        <v>35</v>
      </c>
      <c r="K648" s="4" t="s">
        <v>82</v>
      </c>
      <c r="L648" s="4" t="s">
        <v>37</v>
      </c>
      <c r="N648" s="21" t="s">
        <v>1539</v>
      </c>
      <c r="O648" s="21"/>
      <c r="P648" s="21" t="s">
        <v>1540</v>
      </c>
      <c r="Q648" s="21"/>
      <c r="R648" s="21"/>
      <c r="S648" s="3" t="s">
        <v>40</v>
      </c>
      <c r="T648" s="21" t="s">
        <v>41</v>
      </c>
      <c r="U648" s="21"/>
      <c r="V648" s="4" t="s">
        <v>42</v>
      </c>
      <c r="W648" s="4" t="s">
        <v>43</v>
      </c>
      <c r="X648" s="4" t="s">
        <v>44</v>
      </c>
      <c r="Y648" s="21" t="s">
        <v>56</v>
      </c>
      <c r="Z648" s="21"/>
      <c r="AA648" s="4" t="s">
        <v>46</v>
      </c>
      <c r="AB648" s="4" t="s">
        <v>47</v>
      </c>
      <c r="AC648" s="4" t="s">
        <v>81</v>
      </c>
      <c r="AD648" s="4" t="s">
        <v>41</v>
      </c>
      <c r="AE648" s="4" t="s">
        <v>48</v>
      </c>
      <c r="AF648" s="4" t="s">
        <v>41</v>
      </c>
      <c r="AG648" s="4" t="s">
        <v>1330</v>
      </c>
    </row>
    <row r="649" spans="1:33" ht="16.5" customHeight="1" x14ac:dyDescent="0.2">
      <c r="A649" s="2" t="s">
        <v>31</v>
      </c>
      <c r="B649" s="19" t="s">
        <v>50</v>
      </c>
      <c r="C649" s="19"/>
      <c r="D649" s="19"/>
      <c r="E649" s="20" t="s">
        <v>33</v>
      </c>
      <c r="F649" s="20"/>
      <c r="G649" s="21" t="s">
        <v>1327</v>
      </c>
      <c r="H649" s="21"/>
      <c r="I649" s="21"/>
      <c r="J649" s="3" t="s">
        <v>35</v>
      </c>
      <c r="K649" s="4" t="s">
        <v>152</v>
      </c>
      <c r="L649" s="4" t="s">
        <v>37</v>
      </c>
      <c r="N649" s="21" t="s">
        <v>1541</v>
      </c>
      <c r="O649" s="21"/>
      <c r="P649" s="21" t="s">
        <v>1542</v>
      </c>
      <c r="Q649" s="21"/>
      <c r="R649" s="21"/>
      <c r="S649" s="3" t="s">
        <v>40</v>
      </c>
      <c r="T649" s="21" t="s">
        <v>41</v>
      </c>
      <c r="U649" s="21"/>
      <c r="V649" s="4" t="s">
        <v>42</v>
      </c>
      <c r="W649" s="4" t="s">
        <v>43</v>
      </c>
      <c r="X649" s="4" t="s">
        <v>44</v>
      </c>
      <c r="Y649" s="21" t="s">
        <v>56</v>
      </c>
      <c r="Z649" s="21"/>
      <c r="AA649" s="4" t="s">
        <v>46</v>
      </c>
      <c r="AB649" s="4" t="s">
        <v>47</v>
      </c>
      <c r="AC649" s="4" t="s">
        <v>139</v>
      </c>
      <c r="AD649" s="4" t="s">
        <v>140</v>
      </c>
      <c r="AE649" s="4" t="s">
        <v>48</v>
      </c>
      <c r="AF649" s="4" t="s">
        <v>41</v>
      </c>
      <c r="AG649" s="4" t="s">
        <v>1330</v>
      </c>
    </row>
    <row r="650" spans="1:33" ht="16.5" customHeight="1" x14ac:dyDescent="0.2">
      <c r="A650" s="2" t="s">
        <v>31</v>
      </c>
      <c r="B650" s="19" t="s">
        <v>50</v>
      </c>
      <c r="C650" s="19"/>
      <c r="D650" s="19"/>
      <c r="E650" s="20" t="s">
        <v>33</v>
      </c>
      <c r="F650" s="20"/>
      <c r="G650" s="21" t="s">
        <v>1327</v>
      </c>
      <c r="H650" s="21"/>
      <c r="I650" s="21"/>
      <c r="J650" s="3" t="s">
        <v>35</v>
      </c>
      <c r="K650" s="4" t="s">
        <v>99</v>
      </c>
      <c r="L650" s="4" t="s">
        <v>68</v>
      </c>
      <c r="N650" s="21" t="s">
        <v>1543</v>
      </c>
      <c r="O650" s="21"/>
      <c r="P650" s="21" t="s">
        <v>1544</v>
      </c>
      <c r="Q650" s="21"/>
      <c r="R650" s="21"/>
      <c r="S650" s="3" t="s">
        <v>40</v>
      </c>
      <c r="T650" s="21" t="s">
        <v>41</v>
      </c>
      <c r="U650" s="21"/>
      <c r="V650" s="4" t="s">
        <v>42</v>
      </c>
      <c r="W650" s="4" t="s">
        <v>43</v>
      </c>
      <c r="X650" s="4" t="s">
        <v>44</v>
      </c>
      <c r="Y650" s="21" t="s">
        <v>56</v>
      </c>
      <c r="Z650" s="21"/>
      <c r="AA650" s="4" t="s">
        <v>46</v>
      </c>
      <c r="AB650" s="4" t="s">
        <v>47</v>
      </c>
      <c r="AC650" s="4" t="s">
        <v>139</v>
      </c>
      <c r="AD650" s="4" t="s">
        <v>151</v>
      </c>
      <c r="AE650" s="4" t="s">
        <v>48</v>
      </c>
      <c r="AF650" s="4" t="s">
        <v>41</v>
      </c>
      <c r="AG650" s="4" t="s">
        <v>1330</v>
      </c>
    </row>
    <row r="651" spans="1:33" ht="16.5" customHeight="1" x14ac:dyDescent="0.2">
      <c r="A651" s="2" t="s">
        <v>31</v>
      </c>
      <c r="B651" s="19" t="s">
        <v>50</v>
      </c>
      <c r="C651" s="19"/>
      <c r="D651" s="19"/>
      <c r="E651" s="20" t="s">
        <v>33</v>
      </c>
      <c r="F651" s="20"/>
      <c r="G651" s="21" t="s">
        <v>1327</v>
      </c>
      <c r="H651" s="21"/>
      <c r="I651" s="21"/>
      <c r="J651" s="3" t="s">
        <v>35</v>
      </c>
      <c r="K651" s="4" t="s">
        <v>99</v>
      </c>
      <c r="L651" s="4" t="s">
        <v>37</v>
      </c>
      <c r="N651" s="21" t="s">
        <v>1545</v>
      </c>
      <c r="O651" s="21"/>
      <c r="P651" s="21" t="s">
        <v>1546</v>
      </c>
      <c r="Q651" s="21"/>
      <c r="R651" s="21"/>
      <c r="S651" s="3" t="s">
        <v>40</v>
      </c>
      <c r="T651" s="21" t="s">
        <v>41</v>
      </c>
      <c r="U651" s="21"/>
      <c r="V651" s="4" t="s">
        <v>42</v>
      </c>
      <c r="W651" s="4" t="s">
        <v>43</v>
      </c>
      <c r="X651" s="4" t="s">
        <v>44</v>
      </c>
      <c r="Y651" s="21" t="s">
        <v>56</v>
      </c>
      <c r="Z651" s="21"/>
      <c r="AA651" s="4" t="s">
        <v>46</v>
      </c>
      <c r="AB651" s="4" t="s">
        <v>47</v>
      </c>
      <c r="AC651" s="4" t="s">
        <v>139</v>
      </c>
      <c r="AD651" s="4" t="s">
        <v>140</v>
      </c>
      <c r="AE651" s="4" t="s">
        <v>48</v>
      </c>
      <c r="AF651" s="4" t="s">
        <v>41</v>
      </c>
      <c r="AG651" s="4" t="s">
        <v>1330</v>
      </c>
    </row>
    <row r="652" spans="1:33" ht="16.5" customHeight="1" x14ac:dyDescent="0.2">
      <c r="A652" s="2" t="s">
        <v>31</v>
      </c>
      <c r="B652" s="19" t="s">
        <v>50</v>
      </c>
      <c r="C652" s="19"/>
      <c r="D652" s="19"/>
      <c r="E652" s="20" t="s">
        <v>33</v>
      </c>
      <c r="F652" s="20"/>
      <c r="G652" s="21" t="s">
        <v>1327</v>
      </c>
      <c r="H652" s="21"/>
      <c r="I652" s="21"/>
      <c r="J652" s="3" t="s">
        <v>35</v>
      </c>
      <c r="K652" s="4" t="s">
        <v>99</v>
      </c>
      <c r="L652" s="4" t="s">
        <v>37</v>
      </c>
      <c r="N652" s="21" t="s">
        <v>1547</v>
      </c>
      <c r="O652" s="21"/>
      <c r="P652" s="21" t="s">
        <v>1548</v>
      </c>
      <c r="Q652" s="21"/>
      <c r="R652" s="21"/>
      <c r="S652" s="3" t="s">
        <v>40</v>
      </c>
      <c r="T652" s="21" t="s">
        <v>41</v>
      </c>
      <c r="U652" s="21"/>
      <c r="V652" s="4" t="s">
        <v>42</v>
      </c>
      <c r="W652" s="4" t="s">
        <v>43</v>
      </c>
      <c r="X652" s="4" t="s">
        <v>44</v>
      </c>
      <c r="Y652" s="21" t="s">
        <v>56</v>
      </c>
      <c r="Z652" s="21"/>
      <c r="AA652" s="4" t="s">
        <v>46</v>
      </c>
      <c r="AB652" s="4" t="s">
        <v>47</v>
      </c>
      <c r="AC652" s="4" t="s">
        <v>139</v>
      </c>
      <c r="AD652" s="4" t="s">
        <v>140</v>
      </c>
      <c r="AE652" s="4" t="s">
        <v>48</v>
      </c>
      <c r="AF652" s="4" t="s">
        <v>41</v>
      </c>
      <c r="AG652" s="4" t="s">
        <v>1330</v>
      </c>
    </row>
    <row r="653" spans="1:33" ht="0.75" customHeight="1" x14ac:dyDescent="0.2"/>
    <row r="654" spans="1:33" ht="12" customHeight="1" x14ac:dyDescent="0.2"/>
    <row r="655" spans="1:33" ht="16.5" customHeight="1" x14ac:dyDescent="0.2">
      <c r="A655" s="2" t="s">
        <v>31</v>
      </c>
      <c r="B655" s="19" t="s">
        <v>50</v>
      </c>
      <c r="C655" s="19"/>
      <c r="D655" s="19"/>
      <c r="E655" s="20" t="s">
        <v>33</v>
      </c>
      <c r="F655" s="20"/>
      <c r="G655" s="21" t="s">
        <v>1327</v>
      </c>
      <c r="H655" s="21"/>
      <c r="I655" s="21"/>
      <c r="J655" s="3" t="s">
        <v>35</v>
      </c>
      <c r="K655" s="4" t="s">
        <v>99</v>
      </c>
      <c r="L655" s="4" t="s">
        <v>37</v>
      </c>
      <c r="N655" s="21" t="s">
        <v>1549</v>
      </c>
      <c r="O655" s="21"/>
      <c r="P655" s="21" t="s">
        <v>1550</v>
      </c>
      <c r="Q655" s="21"/>
      <c r="R655" s="21"/>
      <c r="S655" s="3" t="s">
        <v>40</v>
      </c>
      <c r="T655" s="21" t="s">
        <v>41</v>
      </c>
      <c r="U655" s="21"/>
      <c r="V655" s="4" t="s">
        <v>42</v>
      </c>
      <c r="W655" s="4" t="s">
        <v>43</v>
      </c>
      <c r="X655" s="4" t="s">
        <v>44</v>
      </c>
      <c r="Y655" s="21" t="s">
        <v>56</v>
      </c>
      <c r="Z655" s="21"/>
      <c r="AA655" s="4" t="s">
        <v>46</v>
      </c>
      <c r="AB655" s="4" t="s">
        <v>47</v>
      </c>
      <c r="AC655" s="4" t="s">
        <v>139</v>
      </c>
      <c r="AD655" s="4" t="s">
        <v>140</v>
      </c>
      <c r="AE655" s="4" t="s">
        <v>48</v>
      </c>
      <c r="AF655" s="4" t="s">
        <v>41</v>
      </c>
      <c r="AG655" s="4" t="s">
        <v>1330</v>
      </c>
    </row>
    <row r="656" spans="1:33" ht="16.5" customHeight="1" x14ac:dyDescent="0.2">
      <c r="A656" s="2" t="s">
        <v>31</v>
      </c>
      <c r="B656" s="19" t="s">
        <v>50</v>
      </c>
      <c r="C656" s="19"/>
      <c r="D656" s="19"/>
      <c r="E656" s="20" t="s">
        <v>33</v>
      </c>
      <c r="F656" s="20"/>
      <c r="G656" s="21" t="s">
        <v>1327</v>
      </c>
      <c r="H656" s="21"/>
      <c r="I656" s="21"/>
      <c r="J656" s="3" t="s">
        <v>35</v>
      </c>
      <c r="K656" s="4" t="s">
        <v>82</v>
      </c>
      <c r="L656" s="4" t="s">
        <v>37</v>
      </c>
      <c r="N656" s="21" t="s">
        <v>1551</v>
      </c>
      <c r="O656" s="21"/>
      <c r="P656" s="21" t="s">
        <v>1552</v>
      </c>
      <c r="Q656" s="21"/>
      <c r="R656" s="21"/>
      <c r="S656" s="3" t="s">
        <v>40</v>
      </c>
      <c r="T656" s="21" t="s">
        <v>41</v>
      </c>
      <c r="U656" s="21"/>
      <c r="V656" s="4" t="s">
        <v>42</v>
      </c>
      <c r="W656" s="4" t="s">
        <v>43</v>
      </c>
      <c r="X656" s="4" t="s">
        <v>44</v>
      </c>
      <c r="Y656" s="21" t="s">
        <v>56</v>
      </c>
      <c r="Z656" s="21"/>
      <c r="AA656" s="4" t="s">
        <v>46</v>
      </c>
      <c r="AB656" s="4" t="s">
        <v>47</v>
      </c>
      <c r="AC656" s="4" t="s">
        <v>139</v>
      </c>
      <c r="AD656" s="4" t="s">
        <v>140</v>
      </c>
      <c r="AE656" s="4" t="s">
        <v>48</v>
      </c>
      <c r="AF656" s="4" t="s">
        <v>41</v>
      </c>
      <c r="AG656" s="4" t="s">
        <v>1330</v>
      </c>
    </row>
    <row r="657" spans="1:33" ht="16.5" customHeight="1" x14ac:dyDescent="0.2">
      <c r="A657" s="2" t="s">
        <v>31</v>
      </c>
      <c r="B657" s="19" t="s">
        <v>50</v>
      </c>
      <c r="C657" s="19"/>
      <c r="D657" s="19"/>
      <c r="E657" s="20" t="s">
        <v>33</v>
      </c>
      <c r="F657" s="20"/>
      <c r="G657" s="21" t="s">
        <v>1327</v>
      </c>
      <c r="H657" s="21"/>
      <c r="I657" s="21"/>
      <c r="J657" s="3" t="s">
        <v>35</v>
      </c>
      <c r="K657" s="4" t="s">
        <v>82</v>
      </c>
      <c r="L657" s="4" t="s">
        <v>37</v>
      </c>
      <c r="N657" s="21" t="s">
        <v>1553</v>
      </c>
      <c r="O657" s="21"/>
      <c r="P657" s="21" t="s">
        <v>1554</v>
      </c>
      <c r="Q657" s="21"/>
      <c r="R657" s="21"/>
      <c r="S657" s="3" t="s">
        <v>40</v>
      </c>
      <c r="T657" s="21" t="s">
        <v>41</v>
      </c>
      <c r="U657" s="21"/>
      <c r="V657" s="4" t="s">
        <v>42</v>
      </c>
      <c r="W657" s="4" t="s">
        <v>325</v>
      </c>
      <c r="X657" s="4" t="s">
        <v>319</v>
      </c>
      <c r="Y657" s="21" t="s">
        <v>56</v>
      </c>
      <c r="Z657" s="21"/>
      <c r="AA657" s="4" t="s">
        <v>46</v>
      </c>
      <c r="AB657" s="4" t="s">
        <v>47</v>
      </c>
      <c r="AC657" s="4" t="s">
        <v>139</v>
      </c>
      <c r="AD657" s="4" t="s">
        <v>140</v>
      </c>
      <c r="AE657" s="4" t="s">
        <v>48</v>
      </c>
      <c r="AF657" s="4" t="s">
        <v>41</v>
      </c>
      <c r="AG657" s="4" t="s">
        <v>1330</v>
      </c>
    </row>
    <row r="658" spans="1:33" ht="16.5" customHeight="1" x14ac:dyDescent="0.2">
      <c r="A658" s="2" t="s">
        <v>31</v>
      </c>
      <c r="B658" s="19" t="s">
        <v>50</v>
      </c>
      <c r="C658" s="19"/>
      <c r="D658" s="19"/>
      <c r="E658" s="20" t="s">
        <v>33</v>
      </c>
      <c r="F658" s="20"/>
      <c r="G658" s="21" t="s">
        <v>1327</v>
      </c>
      <c r="H658" s="21"/>
      <c r="I658" s="21"/>
      <c r="J658" s="3" t="s">
        <v>35</v>
      </c>
      <c r="K658" s="4" t="s">
        <v>82</v>
      </c>
      <c r="L658" s="4" t="s">
        <v>179</v>
      </c>
      <c r="N658" s="21" t="s">
        <v>1553</v>
      </c>
      <c r="O658" s="21"/>
      <c r="P658" s="21" t="s">
        <v>1554</v>
      </c>
      <c r="Q658" s="21"/>
      <c r="R658" s="21"/>
      <c r="S658" s="3" t="s">
        <v>40</v>
      </c>
      <c r="T658" s="21" t="s">
        <v>41</v>
      </c>
      <c r="U658" s="21"/>
      <c r="V658" s="4" t="s">
        <v>42</v>
      </c>
      <c r="W658" s="4" t="s">
        <v>325</v>
      </c>
      <c r="X658" s="4" t="s">
        <v>319</v>
      </c>
      <c r="Y658" s="21" t="s">
        <v>56</v>
      </c>
      <c r="Z658" s="21"/>
      <c r="AA658" s="4" t="s">
        <v>46</v>
      </c>
      <c r="AB658" s="4" t="s">
        <v>47</v>
      </c>
      <c r="AC658" s="4" t="s">
        <v>139</v>
      </c>
      <c r="AD658" s="4" t="s">
        <v>1435</v>
      </c>
      <c r="AE658" s="4" t="s">
        <v>48</v>
      </c>
      <c r="AF658" s="4" t="s">
        <v>41</v>
      </c>
      <c r="AG658" s="4" t="s">
        <v>1330</v>
      </c>
    </row>
    <row r="659" spans="1:33" ht="16.5" customHeight="1" x14ac:dyDescent="0.2">
      <c r="A659" s="2" t="s">
        <v>31</v>
      </c>
      <c r="B659" s="19" t="s">
        <v>50</v>
      </c>
      <c r="C659" s="19"/>
      <c r="D659" s="19"/>
      <c r="E659" s="20" t="s">
        <v>33</v>
      </c>
      <c r="F659" s="20"/>
      <c r="G659" s="21" t="s">
        <v>1327</v>
      </c>
      <c r="H659" s="21"/>
      <c r="I659" s="21"/>
      <c r="J659" s="3" t="s">
        <v>35</v>
      </c>
      <c r="K659" s="4" t="s">
        <v>99</v>
      </c>
      <c r="L659" s="4" t="s">
        <v>37</v>
      </c>
      <c r="N659" s="21" t="s">
        <v>1555</v>
      </c>
      <c r="O659" s="21"/>
      <c r="P659" s="21" t="s">
        <v>1556</v>
      </c>
      <c r="Q659" s="21"/>
      <c r="R659" s="21"/>
      <c r="S659" s="3" t="s">
        <v>40</v>
      </c>
      <c r="T659" s="21" t="s">
        <v>41</v>
      </c>
      <c r="U659" s="21"/>
      <c r="V659" s="4" t="s">
        <v>42</v>
      </c>
      <c r="W659" s="4" t="s">
        <v>330</v>
      </c>
      <c r="X659" s="4" t="s">
        <v>320</v>
      </c>
      <c r="Y659" s="21" t="s">
        <v>56</v>
      </c>
      <c r="Z659" s="21"/>
      <c r="AA659" s="4" t="s">
        <v>46</v>
      </c>
      <c r="AB659" s="4" t="s">
        <v>47</v>
      </c>
      <c r="AC659" s="4" t="s">
        <v>139</v>
      </c>
      <c r="AD659" s="4" t="s">
        <v>140</v>
      </c>
      <c r="AE659" s="4" t="s">
        <v>48</v>
      </c>
      <c r="AF659" s="4" t="s">
        <v>41</v>
      </c>
      <c r="AG659" s="4" t="s">
        <v>1330</v>
      </c>
    </row>
    <row r="660" spans="1:33" ht="16.5" customHeight="1" x14ac:dyDescent="0.2">
      <c r="A660" s="2" t="s">
        <v>31</v>
      </c>
      <c r="B660" s="19" t="s">
        <v>50</v>
      </c>
      <c r="C660" s="19"/>
      <c r="D660" s="19"/>
      <c r="E660" s="20" t="s">
        <v>33</v>
      </c>
      <c r="F660" s="20"/>
      <c r="G660" s="21" t="s">
        <v>1327</v>
      </c>
      <c r="H660" s="21"/>
      <c r="I660" s="21"/>
      <c r="J660" s="3" t="s">
        <v>35</v>
      </c>
      <c r="K660" s="4" t="s">
        <v>74</v>
      </c>
      <c r="L660" s="4" t="s">
        <v>278</v>
      </c>
      <c r="N660" s="21" t="s">
        <v>1557</v>
      </c>
      <c r="O660" s="21"/>
      <c r="P660" s="21" t="s">
        <v>1558</v>
      </c>
      <c r="Q660" s="21"/>
      <c r="R660" s="21"/>
      <c r="S660" s="3" t="s">
        <v>40</v>
      </c>
      <c r="T660" s="21" t="s">
        <v>41</v>
      </c>
      <c r="U660" s="21"/>
      <c r="V660" s="4" t="s">
        <v>42</v>
      </c>
      <c r="W660" s="4" t="s">
        <v>299</v>
      </c>
      <c r="X660" s="4" t="s">
        <v>300</v>
      </c>
      <c r="Y660" s="21" t="s">
        <v>65</v>
      </c>
      <c r="Z660" s="21"/>
      <c r="AA660" s="4" t="s">
        <v>46</v>
      </c>
      <c r="AB660" s="4" t="s">
        <v>47</v>
      </c>
      <c r="AC660" s="4" t="s">
        <v>81</v>
      </c>
      <c r="AD660" s="4" t="s">
        <v>41</v>
      </c>
      <c r="AE660" s="4" t="s">
        <v>48</v>
      </c>
      <c r="AF660" s="4" t="s">
        <v>41</v>
      </c>
      <c r="AG660" s="4" t="s">
        <v>1330</v>
      </c>
    </row>
    <row r="661" spans="1:33" ht="16.5" customHeight="1" x14ac:dyDescent="0.2">
      <c r="A661" s="2" t="s">
        <v>31</v>
      </c>
      <c r="B661" s="19" t="s">
        <v>110</v>
      </c>
      <c r="C661" s="19"/>
      <c r="D661" s="19"/>
      <c r="E661" s="20" t="s">
        <v>33</v>
      </c>
      <c r="F661" s="20"/>
      <c r="G661" s="21" t="s">
        <v>1327</v>
      </c>
      <c r="H661" s="21"/>
      <c r="I661" s="21"/>
      <c r="J661" s="3" t="s">
        <v>111</v>
      </c>
      <c r="K661" s="4" t="s">
        <v>561</v>
      </c>
      <c r="N661" s="21" t="s">
        <v>1557</v>
      </c>
      <c r="O661" s="21"/>
      <c r="P661" s="21" t="s">
        <v>1558</v>
      </c>
      <c r="Q661" s="21"/>
      <c r="R661" s="21"/>
      <c r="S661" s="3" t="s">
        <v>40</v>
      </c>
      <c r="T661" s="21" t="s">
        <v>1559</v>
      </c>
      <c r="U661" s="21"/>
      <c r="V661" s="4" t="s">
        <v>42</v>
      </c>
      <c r="W661" s="4" t="s">
        <v>54</v>
      </c>
      <c r="X661" s="4" t="s">
        <v>1009</v>
      </c>
      <c r="Y661" s="21" t="s">
        <v>116</v>
      </c>
      <c r="Z661" s="21"/>
      <c r="AA661" s="4" t="s">
        <v>46</v>
      </c>
      <c r="AB661" s="4" t="s">
        <v>117</v>
      </c>
      <c r="AC661" s="4" t="s">
        <v>48</v>
      </c>
      <c r="AD661" s="4" t="s">
        <v>41</v>
      </c>
      <c r="AE661" s="4" t="s">
        <v>48</v>
      </c>
      <c r="AF661" s="4" t="s">
        <v>41</v>
      </c>
      <c r="AG661" s="4" t="s">
        <v>1330</v>
      </c>
    </row>
    <row r="662" spans="1:33" ht="16.5" customHeight="1" x14ac:dyDescent="0.2">
      <c r="A662" s="2" t="s">
        <v>31</v>
      </c>
      <c r="B662" s="19" t="s">
        <v>50</v>
      </c>
      <c r="C662" s="19"/>
      <c r="D662" s="19"/>
      <c r="E662" s="20" t="s">
        <v>33</v>
      </c>
      <c r="F662" s="20"/>
      <c r="G662" s="21" t="s">
        <v>1327</v>
      </c>
      <c r="H662" s="21"/>
      <c r="I662" s="21"/>
      <c r="J662" s="3" t="s">
        <v>35</v>
      </c>
      <c r="K662" s="4" t="s">
        <v>74</v>
      </c>
      <c r="L662" s="4" t="s">
        <v>37</v>
      </c>
      <c r="N662" s="21" t="s">
        <v>1560</v>
      </c>
      <c r="O662" s="21"/>
      <c r="P662" s="21" t="s">
        <v>1561</v>
      </c>
      <c r="Q662" s="21"/>
      <c r="R662" s="21"/>
      <c r="S662" s="3" t="s">
        <v>40</v>
      </c>
      <c r="T662" s="21" t="s">
        <v>41</v>
      </c>
      <c r="U662" s="21"/>
      <c r="V662" s="4" t="s">
        <v>42</v>
      </c>
      <c r="W662" s="4" t="s">
        <v>268</v>
      </c>
      <c r="X662" s="4" t="s">
        <v>269</v>
      </c>
      <c r="Y662" s="21" t="s">
        <v>65</v>
      </c>
      <c r="Z662" s="21"/>
      <c r="AA662" s="4" t="s">
        <v>46</v>
      </c>
      <c r="AB662" s="4" t="s">
        <v>47</v>
      </c>
      <c r="AC662" s="4" t="s">
        <v>57</v>
      </c>
      <c r="AD662" s="4" t="s">
        <v>58</v>
      </c>
      <c r="AE662" s="4" t="s">
        <v>48</v>
      </c>
      <c r="AF662" s="4" t="s">
        <v>41</v>
      </c>
      <c r="AG662" s="4" t="s">
        <v>1330</v>
      </c>
    </row>
    <row r="663" spans="1:33" ht="16.5" customHeight="1" x14ac:dyDescent="0.2">
      <c r="A663" s="2" t="s">
        <v>31</v>
      </c>
      <c r="B663" s="19" t="s">
        <v>50</v>
      </c>
      <c r="C663" s="19"/>
      <c r="D663" s="19"/>
      <c r="E663" s="20" t="s">
        <v>33</v>
      </c>
      <c r="F663" s="20"/>
      <c r="G663" s="21" t="s">
        <v>1327</v>
      </c>
      <c r="H663" s="21"/>
      <c r="I663" s="21"/>
      <c r="J663" s="3" t="s">
        <v>35</v>
      </c>
      <c r="K663" s="4" t="s">
        <v>99</v>
      </c>
      <c r="L663" s="4" t="s">
        <v>37</v>
      </c>
      <c r="N663" s="21" t="s">
        <v>1562</v>
      </c>
      <c r="O663" s="21"/>
      <c r="P663" s="21" t="s">
        <v>1563</v>
      </c>
      <c r="Q663" s="21"/>
      <c r="R663" s="21"/>
      <c r="S663" s="3" t="s">
        <v>40</v>
      </c>
      <c r="T663" s="21" t="s">
        <v>41</v>
      </c>
      <c r="U663" s="21"/>
      <c r="V663" s="4" t="s">
        <v>42</v>
      </c>
      <c r="W663" s="4" t="s">
        <v>268</v>
      </c>
      <c r="X663" s="4" t="s">
        <v>269</v>
      </c>
      <c r="Y663" s="21" t="s">
        <v>56</v>
      </c>
      <c r="Z663" s="21"/>
      <c r="AA663" s="4" t="s">
        <v>46</v>
      </c>
      <c r="AB663" s="4" t="s">
        <v>47</v>
      </c>
      <c r="AC663" s="4" t="s">
        <v>139</v>
      </c>
      <c r="AD663" s="4" t="s">
        <v>140</v>
      </c>
      <c r="AE663" s="4" t="s">
        <v>48</v>
      </c>
      <c r="AF663" s="4" t="s">
        <v>41</v>
      </c>
      <c r="AG663" s="4" t="s">
        <v>1330</v>
      </c>
    </row>
    <row r="664" spans="1:33" ht="16.5" customHeight="1" x14ac:dyDescent="0.2">
      <c r="A664" s="2" t="s">
        <v>31</v>
      </c>
      <c r="B664" s="19" t="s">
        <v>50</v>
      </c>
      <c r="C664" s="19"/>
      <c r="D664" s="19"/>
      <c r="E664" s="20" t="s">
        <v>33</v>
      </c>
      <c r="F664" s="20"/>
      <c r="G664" s="21" t="s">
        <v>1327</v>
      </c>
      <c r="H664" s="21"/>
      <c r="I664" s="21"/>
      <c r="J664" s="3" t="s">
        <v>35</v>
      </c>
      <c r="K664" s="4" t="s">
        <v>99</v>
      </c>
      <c r="L664" s="4" t="s">
        <v>37</v>
      </c>
      <c r="N664" s="21" t="s">
        <v>1562</v>
      </c>
      <c r="O664" s="21"/>
      <c r="P664" s="21" t="s">
        <v>1563</v>
      </c>
      <c r="Q664" s="21"/>
      <c r="R664" s="21"/>
      <c r="S664" s="3" t="s">
        <v>40</v>
      </c>
      <c r="T664" s="21" t="s">
        <v>41</v>
      </c>
      <c r="U664" s="21"/>
      <c r="V664" s="4" t="s">
        <v>59</v>
      </c>
      <c r="W664" s="4" t="s">
        <v>268</v>
      </c>
      <c r="X664" s="4" t="s">
        <v>577</v>
      </c>
      <c r="Y664" s="21" t="s">
        <v>56</v>
      </c>
      <c r="Z664" s="21"/>
      <c r="AA664" s="4" t="s">
        <v>46</v>
      </c>
      <c r="AB664" s="4" t="s">
        <v>47</v>
      </c>
      <c r="AC664" s="4" t="s">
        <v>139</v>
      </c>
      <c r="AD664" s="4" t="s">
        <v>140</v>
      </c>
      <c r="AE664" s="4" t="s">
        <v>48</v>
      </c>
      <c r="AF664" s="4" t="s">
        <v>41</v>
      </c>
      <c r="AG664" s="4" t="s">
        <v>1330</v>
      </c>
    </row>
    <row r="665" spans="1:33" ht="16.5" customHeight="1" x14ac:dyDescent="0.2">
      <c r="A665" s="2" t="s">
        <v>31</v>
      </c>
      <c r="B665" s="19" t="s">
        <v>50</v>
      </c>
      <c r="C665" s="19"/>
      <c r="D665" s="19"/>
      <c r="E665" s="20" t="s">
        <v>33</v>
      </c>
      <c r="F665" s="20"/>
      <c r="G665" s="21" t="s">
        <v>1327</v>
      </c>
      <c r="H665" s="21"/>
      <c r="I665" s="21"/>
      <c r="J665" s="3" t="s">
        <v>35</v>
      </c>
      <c r="K665" s="4" t="s">
        <v>152</v>
      </c>
      <c r="L665" s="4" t="s">
        <v>278</v>
      </c>
      <c r="N665" s="21" t="s">
        <v>1564</v>
      </c>
      <c r="O665" s="21"/>
      <c r="P665" s="21" t="s">
        <v>1565</v>
      </c>
      <c r="Q665" s="21"/>
      <c r="R665" s="21"/>
      <c r="S665" s="3" t="s">
        <v>40</v>
      </c>
      <c r="T665" s="21" t="s">
        <v>41</v>
      </c>
      <c r="U665" s="21"/>
      <c r="V665" s="4" t="s">
        <v>42</v>
      </c>
      <c r="W665" s="4" t="s">
        <v>268</v>
      </c>
      <c r="X665" s="4" t="s">
        <v>269</v>
      </c>
      <c r="Y665" s="21" t="s">
        <v>56</v>
      </c>
      <c r="Z665" s="21"/>
      <c r="AA665" s="4" t="s">
        <v>46</v>
      </c>
      <c r="AB665" s="4" t="s">
        <v>47</v>
      </c>
      <c r="AC665" s="4" t="s">
        <v>139</v>
      </c>
      <c r="AD665" s="4" t="s">
        <v>69</v>
      </c>
      <c r="AE665" s="4" t="s">
        <v>48</v>
      </c>
      <c r="AF665" s="4" t="s">
        <v>41</v>
      </c>
      <c r="AG665" s="4" t="s">
        <v>1330</v>
      </c>
    </row>
    <row r="666" spans="1:33" ht="16.5" customHeight="1" x14ac:dyDescent="0.2">
      <c r="A666" s="2" t="s">
        <v>31</v>
      </c>
      <c r="B666" s="19" t="s">
        <v>50</v>
      </c>
      <c r="C666" s="19"/>
      <c r="D666" s="19"/>
      <c r="E666" s="20" t="s">
        <v>33</v>
      </c>
      <c r="F666" s="20"/>
      <c r="G666" s="21" t="s">
        <v>1327</v>
      </c>
      <c r="H666" s="21"/>
      <c r="I666" s="21"/>
      <c r="J666" s="3" t="s">
        <v>35</v>
      </c>
      <c r="K666" s="4" t="s">
        <v>265</v>
      </c>
      <c r="L666" s="4" t="s">
        <v>68</v>
      </c>
      <c r="N666" s="21" t="s">
        <v>1566</v>
      </c>
      <c r="O666" s="21"/>
      <c r="P666" s="21" t="s">
        <v>1567</v>
      </c>
      <c r="Q666" s="21"/>
      <c r="R666" s="21"/>
      <c r="S666" s="3" t="s">
        <v>40</v>
      </c>
      <c r="T666" s="21" t="s">
        <v>41</v>
      </c>
      <c r="U666" s="21"/>
      <c r="V666" s="4" t="s">
        <v>42</v>
      </c>
      <c r="W666" s="4" t="s">
        <v>854</v>
      </c>
      <c r="X666" s="4" t="s">
        <v>577</v>
      </c>
      <c r="Y666" s="21" t="s">
        <v>56</v>
      </c>
      <c r="Z666" s="21"/>
      <c r="AA666" s="4" t="s">
        <v>46</v>
      </c>
      <c r="AB666" s="4" t="s">
        <v>47</v>
      </c>
      <c r="AC666" s="4" t="s">
        <v>139</v>
      </c>
      <c r="AD666" s="4" t="s">
        <v>151</v>
      </c>
      <c r="AE666" s="4" t="s">
        <v>48</v>
      </c>
      <c r="AF666" s="4" t="s">
        <v>41</v>
      </c>
      <c r="AG666" s="4" t="s">
        <v>1330</v>
      </c>
    </row>
    <row r="667" spans="1:33" ht="16.5" customHeight="1" x14ac:dyDescent="0.2">
      <c r="A667" s="2" t="s">
        <v>31</v>
      </c>
      <c r="B667" s="19" t="s">
        <v>50</v>
      </c>
      <c r="C667" s="19"/>
      <c r="D667" s="19"/>
      <c r="E667" s="20" t="s">
        <v>33</v>
      </c>
      <c r="F667" s="20"/>
      <c r="G667" s="21" t="s">
        <v>1327</v>
      </c>
      <c r="H667" s="21"/>
      <c r="I667" s="21"/>
      <c r="J667" s="3" t="s">
        <v>35</v>
      </c>
      <c r="K667" s="4" t="s">
        <v>152</v>
      </c>
      <c r="L667" s="4" t="s">
        <v>37</v>
      </c>
      <c r="N667" s="21" t="s">
        <v>1568</v>
      </c>
      <c r="O667" s="21"/>
      <c r="P667" s="21" t="s">
        <v>1569</v>
      </c>
      <c r="Q667" s="21"/>
      <c r="R667" s="21"/>
      <c r="S667" s="3" t="s">
        <v>40</v>
      </c>
      <c r="T667" s="21" t="s">
        <v>41</v>
      </c>
      <c r="U667" s="21"/>
      <c r="V667" s="4" t="s">
        <v>42</v>
      </c>
      <c r="W667" s="4" t="s">
        <v>484</v>
      </c>
      <c r="X667" s="4" t="s">
        <v>485</v>
      </c>
      <c r="Y667" s="21" t="s">
        <v>56</v>
      </c>
      <c r="Z667" s="21"/>
      <c r="AA667" s="4" t="s">
        <v>46</v>
      </c>
      <c r="AB667" s="4" t="s">
        <v>47</v>
      </c>
      <c r="AC667" s="4" t="s">
        <v>139</v>
      </c>
      <c r="AD667" s="4" t="s">
        <v>140</v>
      </c>
      <c r="AE667" s="4" t="s">
        <v>48</v>
      </c>
      <c r="AF667" s="4" t="s">
        <v>41</v>
      </c>
      <c r="AG667" s="4" t="s">
        <v>1330</v>
      </c>
    </row>
    <row r="668" spans="1:33" ht="16.5" customHeight="1" x14ac:dyDescent="0.2">
      <c r="A668" s="2" t="s">
        <v>31</v>
      </c>
      <c r="B668" s="19" t="s">
        <v>50</v>
      </c>
      <c r="C668" s="19"/>
      <c r="D668" s="19"/>
      <c r="E668" s="20" t="s">
        <v>33</v>
      </c>
      <c r="F668" s="20"/>
      <c r="G668" s="21" t="s">
        <v>1327</v>
      </c>
      <c r="H668" s="21"/>
      <c r="I668" s="21"/>
      <c r="J668" s="3" t="s">
        <v>35</v>
      </c>
      <c r="K668" s="4" t="s">
        <v>82</v>
      </c>
      <c r="L668" s="4" t="s">
        <v>37</v>
      </c>
      <c r="N668" s="21" t="s">
        <v>1570</v>
      </c>
      <c r="O668" s="21"/>
      <c r="P668" s="21" t="s">
        <v>1571</v>
      </c>
      <c r="Q668" s="21"/>
      <c r="R668" s="21"/>
      <c r="S668" s="3" t="s">
        <v>40</v>
      </c>
      <c r="T668" s="21" t="s">
        <v>41</v>
      </c>
      <c r="U668" s="21"/>
      <c r="V668" s="4" t="s">
        <v>42</v>
      </c>
      <c r="W668" s="4" t="s">
        <v>863</v>
      </c>
      <c r="X668" s="4" t="s">
        <v>864</v>
      </c>
      <c r="Y668" s="21" t="s">
        <v>56</v>
      </c>
      <c r="Z668" s="21"/>
      <c r="AA668" s="4" t="s">
        <v>46</v>
      </c>
      <c r="AB668" s="4" t="s">
        <v>47</v>
      </c>
      <c r="AC668" s="4" t="s">
        <v>139</v>
      </c>
      <c r="AD668" s="4" t="s">
        <v>140</v>
      </c>
      <c r="AE668" s="4" t="s">
        <v>48</v>
      </c>
      <c r="AF668" s="4" t="s">
        <v>41</v>
      </c>
      <c r="AG668" s="4" t="s">
        <v>1330</v>
      </c>
    </row>
    <row r="669" spans="1:33" ht="16.5" customHeight="1" x14ac:dyDescent="0.2">
      <c r="A669" s="2" t="s">
        <v>31</v>
      </c>
      <c r="B669" s="19" t="s">
        <v>50</v>
      </c>
      <c r="C669" s="19"/>
      <c r="D669" s="19"/>
      <c r="E669" s="20" t="s">
        <v>33</v>
      </c>
      <c r="F669" s="20"/>
      <c r="G669" s="21" t="s">
        <v>1327</v>
      </c>
      <c r="H669" s="21"/>
      <c r="I669" s="21"/>
      <c r="J669" s="3" t="s">
        <v>35</v>
      </c>
      <c r="K669" s="4" t="s">
        <v>82</v>
      </c>
      <c r="L669" s="4" t="s">
        <v>37</v>
      </c>
      <c r="N669" s="21" t="s">
        <v>1572</v>
      </c>
      <c r="O669" s="21"/>
      <c r="P669" s="21" t="s">
        <v>1573</v>
      </c>
      <c r="Q669" s="21"/>
      <c r="R669" s="21"/>
      <c r="S669" s="3" t="s">
        <v>40</v>
      </c>
      <c r="T669" s="21" t="s">
        <v>41</v>
      </c>
      <c r="U669" s="21"/>
      <c r="V669" s="4" t="s">
        <v>42</v>
      </c>
      <c r="W669" s="4" t="s">
        <v>863</v>
      </c>
      <c r="X669" s="4" t="s">
        <v>864</v>
      </c>
      <c r="Y669" s="21" t="s">
        <v>56</v>
      </c>
      <c r="Z669" s="21"/>
      <c r="AA669" s="4" t="s">
        <v>46</v>
      </c>
      <c r="AB669" s="4" t="s">
        <v>47</v>
      </c>
      <c r="AC669" s="4" t="s">
        <v>139</v>
      </c>
      <c r="AD669" s="4" t="s">
        <v>140</v>
      </c>
      <c r="AE669" s="4" t="s">
        <v>48</v>
      </c>
      <c r="AF669" s="4" t="s">
        <v>41</v>
      </c>
      <c r="AG669" s="4" t="s">
        <v>1330</v>
      </c>
    </row>
    <row r="670" spans="1:33" ht="16.5" customHeight="1" x14ac:dyDescent="0.2">
      <c r="A670" s="2" t="s">
        <v>31</v>
      </c>
      <c r="B670" s="19" t="s">
        <v>50</v>
      </c>
      <c r="C670" s="19"/>
      <c r="D670" s="19"/>
      <c r="E670" s="20" t="s">
        <v>33</v>
      </c>
      <c r="F670" s="20"/>
      <c r="G670" s="21" t="s">
        <v>1327</v>
      </c>
      <c r="H670" s="21"/>
      <c r="I670" s="21"/>
      <c r="J670" s="3" t="s">
        <v>35</v>
      </c>
      <c r="K670" s="4" t="s">
        <v>99</v>
      </c>
      <c r="L670" s="4" t="s">
        <v>278</v>
      </c>
      <c r="N670" s="21" t="s">
        <v>1574</v>
      </c>
      <c r="O670" s="21"/>
      <c r="P670" s="21" t="s">
        <v>1575</v>
      </c>
      <c r="Q670" s="21"/>
      <c r="R670" s="21"/>
      <c r="S670" s="3" t="s">
        <v>40</v>
      </c>
      <c r="T670" s="21" t="s">
        <v>41</v>
      </c>
      <c r="U670" s="21"/>
      <c r="V670" s="4" t="s">
        <v>42</v>
      </c>
      <c r="W670" s="4" t="s">
        <v>863</v>
      </c>
      <c r="X670" s="4" t="s">
        <v>864</v>
      </c>
      <c r="Y670" s="21" t="s">
        <v>56</v>
      </c>
      <c r="Z670" s="21"/>
      <c r="AA670" s="4" t="s">
        <v>46</v>
      </c>
      <c r="AB670" s="4" t="s">
        <v>47</v>
      </c>
      <c r="AC670" s="4" t="s">
        <v>139</v>
      </c>
      <c r="AD670" s="4" t="s">
        <v>69</v>
      </c>
      <c r="AE670" s="4" t="s">
        <v>48</v>
      </c>
      <c r="AF670" s="4" t="s">
        <v>41</v>
      </c>
      <c r="AG670" s="4" t="s">
        <v>1330</v>
      </c>
    </row>
    <row r="671" spans="1:33" ht="16.5" customHeight="1" x14ac:dyDescent="0.2">
      <c r="A671" s="2" t="s">
        <v>31</v>
      </c>
      <c r="B671" s="19" t="s">
        <v>50</v>
      </c>
      <c r="C671" s="19"/>
      <c r="D671" s="19"/>
      <c r="E671" s="20" t="s">
        <v>33</v>
      </c>
      <c r="F671" s="20"/>
      <c r="G671" s="21" t="s">
        <v>1327</v>
      </c>
      <c r="H671" s="21"/>
      <c r="I671" s="21"/>
      <c r="J671" s="3" t="s">
        <v>35</v>
      </c>
      <c r="K671" s="4" t="s">
        <v>82</v>
      </c>
      <c r="L671" s="4" t="s">
        <v>278</v>
      </c>
      <c r="N671" s="21" t="s">
        <v>1576</v>
      </c>
      <c r="O671" s="21"/>
      <c r="P671" s="21" t="s">
        <v>1577</v>
      </c>
      <c r="Q671" s="21"/>
      <c r="R671" s="21"/>
      <c r="S671" s="3" t="s">
        <v>40</v>
      </c>
      <c r="T671" s="21" t="s">
        <v>41</v>
      </c>
      <c r="U671" s="21"/>
      <c r="V671" s="4" t="s">
        <v>42</v>
      </c>
      <c r="W671" s="4" t="s">
        <v>863</v>
      </c>
      <c r="X671" s="4" t="s">
        <v>864</v>
      </c>
      <c r="Y671" s="21" t="s">
        <v>56</v>
      </c>
      <c r="Z671" s="21"/>
      <c r="AA671" s="4" t="s">
        <v>46</v>
      </c>
      <c r="AB671" s="4" t="s">
        <v>47</v>
      </c>
      <c r="AC671" s="4" t="s">
        <v>81</v>
      </c>
      <c r="AD671" s="4" t="s">
        <v>41</v>
      </c>
      <c r="AE671" s="4" t="s">
        <v>48</v>
      </c>
      <c r="AF671" s="4" t="s">
        <v>41</v>
      </c>
      <c r="AG671" s="4" t="s">
        <v>1330</v>
      </c>
    </row>
    <row r="672" spans="1:33" ht="16.5" customHeight="1" x14ac:dyDescent="0.2">
      <c r="A672" s="2" t="s">
        <v>31</v>
      </c>
      <c r="B672" s="19" t="s">
        <v>50</v>
      </c>
      <c r="C672" s="19"/>
      <c r="D672" s="19"/>
      <c r="E672" s="20" t="s">
        <v>33</v>
      </c>
      <c r="F672" s="20"/>
      <c r="G672" s="21" t="s">
        <v>1327</v>
      </c>
      <c r="H672" s="21"/>
      <c r="I672" s="21"/>
      <c r="J672" s="3" t="s">
        <v>35</v>
      </c>
      <c r="K672" s="4" t="s">
        <v>82</v>
      </c>
      <c r="L672" s="4" t="s">
        <v>37</v>
      </c>
      <c r="N672" s="21" t="s">
        <v>1578</v>
      </c>
      <c r="O672" s="21"/>
      <c r="P672" s="21" t="s">
        <v>1579</v>
      </c>
      <c r="Q672" s="21"/>
      <c r="R672" s="21"/>
      <c r="S672" s="3" t="s">
        <v>40</v>
      </c>
      <c r="T672" s="21" t="s">
        <v>41</v>
      </c>
      <c r="U672" s="21"/>
      <c r="V672" s="4" t="s">
        <v>42</v>
      </c>
      <c r="W672" s="4" t="s">
        <v>863</v>
      </c>
      <c r="X672" s="4" t="s">
        <v>864</v>
      </c>
      <c r="Y672" s="21" t="s">
        <v>56</v>
      </c>
      <c r="Z672" s="21"/>
      <c r="AA672" s="4" t="s">
        <v>46</v>
      </c>
      <c r="AB672" s="4" t="s">
        <v>47</v>
      </c>
      <c r="AC672" s="4" t="s">
        <v>139</v>
      </c>
      <c r="AD672" s="4" t="s">
        <v>140</v>
      </c>
      <c r="AE672" s="4" t="s">
        <v>48</v>
      </c>
      <c r="AF672" s="4" t="s">
        <v>41</v>
      </c>
      <c r="AG672" s="4" t="s">
        <v>1330</v>
      </c>
    </row>
    <row r="673" spans="1:33" ht="16.5" customHeight="1" x14ac:dyDescent="0.2">
      <c r="A673" s="2" t="s">
        <v>31</v>
      </c>
      <c r="B673" s="19" t="s">
        <v>50</v>
      </c>
      <c r="C673" s="19"/>
      <c r="D673" s="19"/>
      <c r="E673" s="20" t="s">
        <v>33</v>
      </c>
      <c r="F673" s="20"/>
      <c r="G673" s="21" t="s">
        <v>1327</v>
      </c>
      <c r="H673" s="21"/>
      <c r="I673" s="21"/>
      <c r="J673" s="3" t="s">
        <v>35</v>
      </c>
      <c r="K673" s="4" t="s">
        <v>82</v>
      </c>
      <c r="L673" s="4" t="s">
        <v>37</v>
      </c>
      <c r="N673" s="21" t="s">
        <v>1580</v>
      </c>
      <c r="O673" s="21"/>
      <c r="P673" s="21" t="s">
        <v>1581</v>
      </c>
      <c r="Q673" s="21"/>
      <c r="R673" s="21"/>
      <c r="S673" s="3" t="s">
        <v>40</v>
      </c>
      <c r="T673" s="21" t="s">
        <v>41</v>
      </c>
      <c r="U673" s="21"/>
      <c r="V673" s="4" t="s">
        <v>42</v>
      </c>
      <c r="W673" s="4" t="s">
        <v>573</v>
      </c>
      <c r="X673" s="4" t="s">
        <v>574</v>
      </c>
      <c r="Y673" s="21" t="s">
        <v>56</v>
      </c>
      <c r="Z673" s="21"/>
      <c r="AA673" s="4" t="s">
        <v>46</v>
      </c>
      <c r="AB673" s="4" t="s">
        <v>47</v>
      </c>
      <c r="AC673" s="4" t="s">
        <v>139</v>
      </c>
      <c r="AD673" s="4" t="s">
        <v>140</v>
      </c>
      <c r="AE673" s="4" t="s">
        <v>48</v>
      </c>
      <c r="AF673" s="4" t="s">
        <v>41</v>
      </c>
      <c r="AG673" s="4" t="s">
        <v>1330</v>
      </c>
    </row>
    <row r="674" spans="1:33" ht="16.5" customHeight="1" x14ac:dyDescent="0.2">
      <c r="A674" s="2" t="s">
        <v>31</v>
      </c>
      <c r="B674" s="19" t="s">
        <v>50</v>
      </c>
      <c r="C674" s="19"/>
      <c r="D674" s="19"/>
      <c r="E674" s="20" t="s">
        <v>33</v>
      </c>
      <c r="F674" s="20"/>
      <c r="G674" s="21" t="s">
        <v>1327</v>
      </c>
      <c r="H674" s="21"/>
      <c r="I674" s="21"/>
      <c r="J674" s="3" t="s">
        <v>35</v>
      </c>
      <c r="K674" s="4" t="s">
        <v>82</v>
      </c>
      <c r="L674" s="4" t="s">
        <v>37</v>
      </c>
      <c r="N674" s="21" t="s">
        <v>1582</v>
      </c>
      <c r="O674" s="21"/>
      <c r="P674" s="21" t="s">
        <v>1583</v>
      </c>
      <c r="Q674" s="21"/>
      <c r="R674" s="21"/>
      <c r="S674" s="3" t="s">
        <v>40</v>
      </c>
      <c r="T674" s="21" t="s">
        <v>41</v>
      </c>
      <c r="U674" s="21"/>
      <c r="V674" s="4" t="s">
        <v>42</v>
      </c>
      <c r="W674" s="4" t="s">
        <v>234</v>
      </c>
      <c r="X674" s="4" t="s">
        <v>235</v>
      </c>
      <c r="Y674" s="21" t="s">
        <v>56</v>
      </c>
      <c r="Z674" s="21"/>
      <c r="AA674" s="4" t="s">
        <v>46</v>
      </c>
      <c r="AB674" s="4" t="s">
        <v>47</v>
      </c>
      <c r="AC674" s="4" t="s">
        <v>139</v>
      </c>
      <c r="AD674" s="4" t="s">
        <v>140</v>
      </c>
      <c r="AE674" s="4" t="s">
        <v>48</v>
      </c>
      <c r="AF674" s="4" t="s">
        <v>41</v>
      </c>
      <c r="AG674" s="4" t="s">
        <v>1330</v>
      </c>
    </row>
    <row r="675" spans="1:33" ht="16.5" customHeight="1" x14ac:dyDescent="0.2">
      <c r="A675" s="2" t="s">
        <v>31</v>
      </c>
      <c r="B675" s="19" t="s">
        <v>50</v>
      </c>
      <c r="C675" s="19"/>
      <c r="D675" s="19"/>
      <c r="E675" s="20" t="s">
        <v>33</v>
      </c>
      <c r="F675" s="20"/>
      <c r="G675" s="21" t="s">
        <v>1327</v>
      </c>
      <c r="H675" s="21"/>
      <c r="I675" s="21"/>
      <c r="J675" s="3" t="s">
        <v>35</v>
      </c>
      <c r="K675" s="4" t="s">
        <v>82</v>
      </c>
      <c r="L675" s="4" t="s">
        <v>37</v>
      </c>
      <c r="N675" s="21" t="s">
        <v>1584</v>
      </c>
      <c r="O675" s="21"/>
      <c r="P675" s="21" t="s">
        <v>1585</v>
      </c>
      <c r="Q675" s="21"/>
      <c r="R675" s="21"/>
      <c r="S675" s="3" t="s">
        <v>40</v>
      </c>
      <c r="T675" s="21" t="s">
        <v>41</v>
      </c>
      <c r="U675" s="21"/>
      <c r="V675" s="4" t="s">
        <v>42</v>
      </c>
      <c r="W675" s="4" t="s">
        <v>234</v>
      </c>
      <c r="X675" s="4" t="s">
        <v>235</v>
      </c>
      <c r="Y675" s="21" t="s">
        <v>56</v>
      </c>
      <c r="Z675" s="21"/>
      <c r="AA675" s="4" t="s">
        <v>46</v>
      </c>
      <c r="AB675" s="4" t="s">
        <v>47</v>
      </c>
      <c r="AC675" s="4" t="s">
        <v>139</v>
      </c>
      <c r="AD675" s="4" t="s">
        <v>140</v>
      </c>
      <c r="AE675" s="4" t="s">
        <v>48</v>
      </c>
      <c r="AF675" s="4" t="s">
        <v>41</v>
      </c>
      <c r="AG675" s="4" t="s">
        <v>1330</v>
      </c>
    </row>
    <row r="676" spans="1:33" ht="16.5" customHeight="1" x14ac:dyDescent="0.2">
      <c r="A676" s="2" t="s">
        <v>31</v>
      </c>
      <c r="B676" s="19" t="s">
        <v>50</v>
      </c>
      <c r="C676" s="19"/>
      <c r="D676" s="19"/>
      <c r="E676" s="20" t="s">
        <v>33</v>
      </c>
      <c r="F676" s="20"/>
      <c r="G676" s="21" t="s">
        <v>1327</v>
      </c>
      <c r="H676" s="21"/>
      <c r="I676" s="21"/>
      <c r="J676" s="3" t="s">
        <v>35</v>
      </c>
      <c r="K676" s="4" t="s">
        <v>99</v>
      </c>
      <c r="L676" s="4" t="s">
        <v>68</v>
      </c>
      <c r="N676" s="21" t="s">
        <v>1586</v>
      </c>
      <c r="O676" s="21"/>
      <c r="P676" s="21" t="s">
        <v>1587</v>
      </c>
      <c r="Q676" s="21"/>
      <c r="R676" s="21"/>
      <c r="S676" s="3" t="s">
        <v>40</v>
      </c>
      <c r="T676" s="21" t="s">
        <v>41</v>
      </c>
      <c r="U676" s="21"/>
      <c r="V676" s="4" t="s">
        <v>42</v>
      </c>
      <c r="W676" s="4" t="s">
        <v>765</v>
      </c>
      <c r="X676" s="4" t="s">
        <v>766</v>
      </c>
      <c r="Y676" s="21" t="s">
        <v>56</v>
      </c>
      <c r="Z676" s="21"/>
      <c r="AA676" s="4" t="s">
        <v>46</v>
      </c>
      <c r="AB676" s="4" t="s">
        <v>47</v>
      </c>
      <c r="AC676" s="4" t="s">
        <v>139</v>
      </c>
      <c r="AD676" s="4" t="s">
        <v>151</v>
      </c>
      <c r="AE676" s="4" t="s">
        <v>48</v>
      </c>
      <c r="AF676" s="4" t="s">
        <v>41</v>
      </c>
      <c r="AG676" s="4" t="s">
        <v>1330</v>
      </c>
    </row>
    <row r="677" spans="1:33" ht="16.5" customHeight="1" x14ac:dyDescent="0.2">
      <c r="A677" s="2" t="s">
        <v>31</v>
      </c>
      <c r="B677" s="19" t="s">
        <v>50</v>
      </c>
      <c r="C677" s="19"/>
      <c r="D677" s="19"/>
      <c r="E677" s="20" t="s">
        <v>33</v>
      </c>
      <c r="F677" s="20"/>
      <c r="G677" s="21" t="s">
        <v>1327</v>
      </c>
      <c r="H677" s="21"/>
      <c r="I677" s="21"/>
      <c r="J677" s="3" t="s">
        <v>35</v>
      </c>
      <c r="K677" s="4" t="s">
        <v>99</v>
      </c>
      <c r="L677" s="4" t="s">
        <v>37</v>
      </c>
      <c r="N677" s="21" t="s">
        <v>1588</v>
      </c>
      <c r="O677" s="21"/>
      <c r="P677" s="21" t="s">
        <v>1589</v>
      </c>
      <c r="Q677" s="21"/>
      <c r="R677" s="21"/>
      <c r="S677" s="3" t="s">
        <v>40</v>
      </c>
      <c r="T677" s="21" t="s">
        <v>41</v>
      </c>
      <c r="U677" s="21"/>
      <c r="V677" s="4" t="s">
        <v>59</v>
      </c>
      <c r="W677" s="4" t="s">
        <v>234</v>
      </c>
      <c r="X677" s="4" t="s">
        <v>339</v>
      </c>
      <c r="Y677" s="21" t="s">
        <v>56</v>
      </c>
      <c r="Z677" s="21"/>
      <c r="AA677" s="4" t="s">
        <v>46</v>
      </c>
      <c r="AB677" s="4" t="s">
        <v>47</v>
      </c>
      <c r="AC677" s="4" t="s">
        <v>139</v>
      </c>
      <c r="AD677" s="4" t="s">
        <v>140</v>
      </c>
      <c r="AE677" s="4" t="s">
        <v>48</v>
      </c>
      <c r="AF677" s="4" t="s">
        <v>41</v>
      </c>
      <c r="AG677" s="4" t="s">
        <v>1330</v>
      </c>
    </row>
    <row r="678" spans="1:33" ht="16.5" customHeight="1" x14ac:dyDescent="0.2">
      <c r="A678" s="2" t="s">
        <v>31</v>
      </c>
      <c r="B678" s="19" t="s">
        <v>50</v>
      </c>
      <c r="C678" s="19"/>
      <c r="D678" s="19"/>
      <c r="E678" s="20" t="s">
        <v>33</v>
      </c>
      <c r="F678" s="20"/>
      <c r="G678" s="21" t="s">
        <v>1327</v>
      </c>
      <c r="H678" s="21"/>
      <c r="I678" s="21"/>
      <c r="J678" s="3" t="s">
        <v>35</v>
      </c>
      <c r="K678" s="4" t="s">
        <v>82</v>
      </c>
      <c r="L678" s="4" t="s">
        <v>37</v>
      </c>
      <c r="N678" s="21" t="s">
        <v>1590</v>
      </c>
      <c r="O678" s="21"/>
      <c r="P678" s="21" t="s">
        <v>1591</v>
      </c>
      <c r="Q678" s="21"/>
      <c r="R678" s="21"/>
      <c r="S678" s="3" t="s">
        <v>40</v>
      </c>
      <c r="T678" s="21" t="s">
        <v>41</v>
      </c>
      <c r="U678" s="21"/>
      <c r="V678" s="4" t="s">
        <v>42</v>
      </c>
      <c r="W678" s="4" t="s">
        <v>234</v>
      </c>
      <c r="X678" s="4" t="s">
        <v>235</v>
      </c>
      <c r="Y678" s="21" t="s">
        <v>56</v>
      </c>
      <c r="Z678" s="21"/>
      <c r="AA678" s="4" t="s">
        <v>46</v>
      </c>
      <c r="AB678" s="4" t="s">
        <v>47</v>
      </c>
      <c r="AC678" s="4" t="s">
        <v>139</v>
      </c>
      <c r="AD678" s="4" t="s">
        <v>140</v>
      </c>
      <c r="AE678" s="4" t="s">
        <v>48</v>
      </c>
      <c r="AF678" s="4" t="s">
        <v>41</v>
      </c>
      <c r="AG678" s="4" t="s">
        <v>1330</v>
      </c>
    </row>
    <row r="679" spans="1:33" ht="16.5" customHeight="1" x14ac:dyDescent="0.2">
      <c r="A679" s="2" t="s">
        <v>31</v>
      </c>
      <c r="B679" s="19" t="s">
        <v>50</v>
      </c>
      <c r="C679" s="19"/>
      <c r="D679" s="19"/>
      <c r="E679" s="20" t="s">
        <v>33</v>
      </c>
      <c r="F679" s="20"/>
      <c r="G679" s="21" t="s">
        <v>1327</v>
      </c>
      <c r="H679" s="21"/>
      <c r="I679" s="21"/>
      <c r="J679" s="3" t="s">
        <v>35</v>
      </c>
      <c r="K679" s="4" t="s">
        <v>152</v>
      </c>
      <c r="L679" s="4" t="s">
        <v>37</v>
      </c>
      <c r="N679" s="21" t="s">
        <v>1592</v>
      </c>
      <c r="O679" s="21"/>
      <c r="P679" s="21" t="s">
        <v>1593</v>
      </c>
      <c r="Q679" s="21"/>
      <c r="R679" s="21"/>
      <c r="S679" s="3" t="s">
        <v>40</v>
      </c>
      <c r="T679" s="21" t="s">
        <v>41</v>
      </c>
      <c r="U679" s="21"/>
      <c r="V679" s="4" t="s">
        <v>42</v>
      </c>
      <c r="W679" s="4" t="s">
        <v>765</v>
      </c>
      <c r="X679" s="4" t="s">
        <v>766</v>
      </c>
      <c r="Y679" s="21" t="s">
        <v>56</v>
      </c>
      <c r="Z679" s="21"/>
      <c r="AA679" s="4" t="s">
        <v>46</v>
      </c>
      <c r="AB679" s="4" t="s">
        <v>47</v>
      </c>
      <c r="AC679" s="4" t="s">
        <v>139</v>
      </c>
      <c r="AD679" s="4" t="s">
        <v>140</v>
      </c>
      <c r="AE679" s="4" t="s">
        <v>48</v>
      </c>
      <c r="AF679" s="4" t="s">
        <v>41</v>
      </c>
      <c r="AG679" s="4" t="s">
        <v>1330</v>
      </c>
    </row>
    <row r="680" spans="1:33" ht="16.5" customHeight="1" x14ac:dyDescent="0.2">
      <c r="A680" s="2" t="s">
        <v>31</v>
      </c>
      <c r="B680" s="19" t="s">
        <v>50</v>
      </c>
      <c r="C680" s="19"/>
      <c r="D680" s="19"/>
      <c r="E680" s="20" t="s">
        <v>33</v>
      </c>
      <c r="F680" s="20"/>
      <c r="G680" s="21" t="s">
        <v>1327</v>
      </c>
      <c r="H680" s="21"/>
      <c r="I680" s="21"/>
      <c r="J680" s="3" t="s">
        <v>35</v>
      </c>
      <c r="K680" s="4" t="s">
        <v>152</v>
      </c>
      <c r="L680" s="4" t="s">
        <v>37</v>
      </c>
      <c r="N680" s="21" t="s">
        <v>1592</v>
      </c>
      <c r="O680" s="21"/>
      <c r="P680" s="21" t="s">
        <v>1593</v>
      </c>
      <c r="Q680" s="21"/>
      <c r="R680" s="21"/>
      <c r="S680" s="3" t="s">
        <v>40</v>
      </c>
      <c r="T680" s="21" t="s">
        <v>41</v>
      </c>
      <c r="U680" s="21"/>
      <c r="V680" s="4" t="s">
        <v>59</v>
      </c>
      <c r="W680" s="4" t="s">
        <v>765</v>
      </c>
      <c r="X680" s="4" t="s">
        <v>235</v>
      </c>
      <c r="Y680" s="21" t="s">
        <v>56</v>
      </c>
      <c r="Z680" s="21"/>
      <c r="AA680" s="4" t="s">
        <v>46</v>
      </c>
      <c r="AB680" s="4" t="s">
        <v>47</v>
      </c>
      <c r="AC680" s="4" t="s">
        <v>139</v>
      </c>
      <c r="AD680" s="4" t="s">
        <v>140</v>
      </c>
      <c r="AE680" s="4" t="s">
        <v>48</v>
      </c>
      <c r="AF680" s="4" t="s">
        <v>41</v>
      </c>
      <c r="AG680" s="4" t="s">
        <v>1330</v>
      </c>
    </row>
    <row r="681" spans="1:33" ht="16.5" customHeight="1" x14ac:dyDescent="0.2">
      <c r="A681" s="2" t="s">
        <v>31</v>
      </c>
      <c r="B681" s="19" t="s">
        <v>50</v>
      </c>
      <c r="C681" s="19"/>
      <c r="D681" s="19"/>
      <c r="E681" s="20" t="s">
        <v>33</v>
      </c>
      <c r="F681" s="20"/>
      <c r="G681" s="21" t="s">
        <v>1327</v>
      </c>
      <c r="H681" s="21"/>
      <c r="I681" s="21"/>
      <c r="J681" s="3" t="s">
        <v>35</v>
      </c>
      <c r="K681" s="4" t="s">
        <v>152</v>
      </c>
      <c r="L681" s="4" t="s">
        <v>37</v>
      </c>
      <c r="N681" s="21" t="s">
        <v>1592</v>
      </c>
      <c r="O681" s="21"/>
      <c r="P681" s="21" t="s">
        <v>1593</v>
      </c>
      <c r="Q681" s="21"/>
      <c r="R681" s="21"/>
      <c r="S681" s="3" t="s">
        <v>40</v>
      </c>
      <c r="T681" s="21" t="s">
        <v>41</v>
      </c>
      <c r="U681" s="21"/>
      <c r="V681" s="4" t="s">
        <v>130</v>
      </c>
      <c r="W681" s="4" t="s">
        <v>765</v>
      </c>
      <c r="X681" s="4" t="s">
        <v>339</v>
      </c>
      <c r="Y681" s="21" t="s">
        <v>56</v>
      </c>
      <c r="Z681" s="21"/>
      <c r="AA681" s="4" t="s">
        <v>46</v>
      </c>
      <c r="AB681" s="4" t="s">
        <v>47</v>
      </c>
      <c r="AC681" s="4" t="s">
        <v>139</v>
      </c>
      <c r="AD681" s="4" t="s">
        <v>140</v>
      </c>
      <c r="AE681" s="4" t="s">
        <v>48</v>
      </c>
      <c r="AF681" s="4" t="s">
        <v>41</v>
      </c>
      <c r="AG681" s="4" t="s">
        <v>1330</v>
      </c>
    </row>
    <row r="682" spans="1:33" ht="16.5" customHeight="1" x14ac:dyDescent="0.2">
      <c r="A682" s="2" t="s">
        <v>31</v>
      </c>
      <c r="B682" s="19" t="s">
        <v>50</v>
      </c>
      <c r="C682" s="19"/>
      <c r="D682" s="19"/>
      <c r="E682" s="20" t="s">
        <v>33</v>
      </c>
      <c r="F682" s="20"/>
      <c r="G682" s="21" t="s">
        <v>1327</v>
      </c>
      <c r="H682" s="21"/>
      <c r="I682" s="21"/>
      <c r="J682" s="3" t="s">
        <v>35</v>
      </c>
      <c r="K682" s="4" t="s">
        <v>82</v>
      </c>
      <c r="L682" s="4" t="s">
        <v>37</v>
      </c>
      <c r="N682" s="21" t="s">
        <v>1594</v>
      </c>
      <c r="O682" s="21"/>
      <c r="P682" s="21" t="s">
        <v>1595</v>
      </c>
      <c r="Q682" s="21"/>
      <c r="R682" s="21"/>
      <c r="S682" s="3" t="s">
        <v>40</v>
      </c>
      <c r="T682" s="21" t="s">
        <v>41</v>
      </c>
      <c r="U682" s="21"/>
      <c r="V682" s="4" t="s">
        <v>42</v>
      </c>
      <c r="W682" s="4" t="s">
        <v>234</v>
      </c>
      <c r="X682" s="4" t="s">
        <v>235</v>
      </c>
      <c r="Y682" s="21" t="s">
        <v>56</v>
      </c>
      <c r="Z682" s="21"/>
      <c r="AA682" s="4" t="s">
        <v>46</v>
      </c>
      <c r="AB682" s="4" t="s">
        <v>47</v>
      </c>
      <c r="AC682" s="4" t="s">
        <v>139</v>
      </c>
      <c r="AD682" s="4" t="s">
        <v>140</v>
      </c>
      <c r="AE682" s="4" t="s">
        <v>48</v>
      </c>
      <c r="AF682" s="4" t="s">
        <v>41</v>
      </c>
      <c r="AG682" s="4" t="s">
        <v>1330</v>
      </c>
    </row>
    <row r="683" spans="1:33" ht="16.5" customHeight="1" x14ac:dyDescent="0.2">
      <c r="A683" s="2" t="s">
        <v>31</v>
      </c>
      <c r="B683" s="19" t="s">
        <v>50</v>
      </c>
      <c r="C683" s="19"/>
      <c r="D683" s="19"/>
      <c r="E683" s="20" t="s">
        <v>33</v>
      </c>
      <c r="F683" s="20"/>
      <c r="G683" s="21" t="s">
        <v>1327</v>
      </c>
      <c r="H683" s="21"/>
      <c r="I683" s="21"/>
      <c r="J683" s="3" t="s">
        <v>35</v>
      </c>
      <c r="K683" s="4" t="s">
        <v>99</v>
      </c>
      <c r="L683" s="4" t="s">
        <v>37</v>
      </c>
      <c r="N683" s="21" t="s">
        <v>1596</v>
      </c>
      <c r="O683" s="21"/>
      <c r="P683" s="21" t="s">
        <v>1597</v>
      </c>
      <c r="Q683" s="21"/>
      <c r="R683" s="21"/>
      <c r="S683" s="3" t="s">
        <v>40</v>
      </c>
      <c r="T683" s="21" t="s">
        <v>41</v>
      </c>
      <c r="U683" s="21"/>
      <c r="V683" s="4" t="s">
        <v>42</v>
      </c>
      <c r="W683" s="4" t="s">
        <v>234</v>
      </c>
      <c r="X683" s="4" t="s">
        <v>235</v>
      </c>
      <c r="Y683" s="21" t="s">
        <v>56</v>
      </c>
      <c r="Z683" s="21"/>
      <c r="AA683" s="4" t="s">
        <v>46</v>
      </c>
      <c r="AB683" s="4" t="s">
        <v>47</v>
      </c>
      <c r="AC683" s="4" t="s">
        <v>139</v>
      </c>
      <c r="AD683" s="4" t="s">
        <v>140</v>
      </c>
      <c r="AE683" s="4" t="s">
        <v>48</v>
      </c>
      <c r="AF683" s="4" t="s">
        <v>41</v>
      </c>
      <c r="AG683" s="4" t="s">
        <v>1330</v>
      </c>
    </row>
    <row r="684" spans="1:33" ht="16.5" customHeight="1" x14ac:dyDescent="0.2">
      <c r="A684" s="2" t="s">
        <v>31</v>
      </c>
      <c r="B684" s="19" t="s">
        <v>50</v>
      </c>
      <c r="C684" s="19"/>
      <c r="D684" s="19"/>
      <c r="E684" s="20" t="s">
        <v>33</v>
      </c>
      <c r="F684" s="20"/>
      <c r="G684" s="21" t="s">
        <v>1327</v>
      </c>
      <c r="H684" s="21"/>
      <c r="I684" s="21"/>
      <c r="J684" s="3" t="s">
        <v>35</v>
      </c>
      <c r="K684" s="4" t="s">
        <v>82</v>
      </c>
      <c r="L684" s="4" t="s">
        <v>37</v>
      </c>
      <c r="N684" s="21" t="s">
        <v>1598</v>
      </c>
      <c r="O684" s="21"/>
      <c r="P684" s="21" t="s">
        <v>1599</v>
      </c>
      <c r="Q684" s="21"/>
      <c r="R684" s="21"/>
      <c r="S684" s="3" t="s">
        <v>40</v>
      </c>
      <c r="T684" s="21" t="s">
        <v>41</v>
      </c>
      <c r="U684" s="21"/>
      <c r="V684" s="4" t="s">
        <v>42</v>
      </c>
      <c r="W684" s="4" t="s">
        <v>234</v>
      </c>
      <c r="X684" s="4" t="s">
        <v>235</v>
      </c>
      <c r="Y684" s="21" t="s">
        <v>56</v>
      </c>
      <c r="Z684" s="21"/>
      <c r="AA684" s="4" t="s">
        <v>46</v>
      </c>
      <c r="AB684" s="4" t="s">
        <v>47</v>
      </c>
      <c r="AC684" s="4" t="s">
        <v>139</v>
      </c>
      <c r="AD684" s="4" t="s">
        <v>140</v>
      </c>
      <c r="AE684" s="4" t="s">
        <v>48</v>
      </c>
      <c r="AF684" s="4" t="s">
        <v>41</v>
      </c>
      <c r="AG684" s="4" t="s">
        <v>1330</v>
      </c>
    </row>
    <row r="685" spans="1:33" ht="16.5" customHeight="1" x14ac:dyDescent="0.2">
      <c r="A685" s="2" t="s">
        <v>31</v>
      </c>
      <c r="B685" s="19" t="s">
        <v>50</v>
      </c>
      <c r="C685" s="19"/>
      <c r="D685" s="19"/>
      <c r="E685" s="20" t="s">
        <v>33</v>
      </c>
      <c r="F685" s="20"/>
      <c r="G685" s="21" t="s">
        <v>1327</v>
      </c>
      <c r="H685" s="21"/>
      <c r="I685" s="21"/>
      <c r="J685" s="3" t="s">
        <v>35</v>
      </c>
      <c r="K685" s="4" t="s">
        <v>82</v>
      </c>
      <c r="L685" s="4" t="s">
        <v>445</v>
      </c>
      <c r="N685" s="21" t="s">
        <v>1600</v>
      </c>
      <c r="O685" s="21"/>
      <c r="P685" s="21" t="s">
        <v>1601</v>
      </c>
      <c r="Q685" s="21"/>
      <c r="R685" s="21"/>
      <c r="S685" s="3" t="s">
        <v>40</v>
      </c>
      <c r="T685" s="21" t="s">
        <v>41</v>
      </c>
      <c r="U685" s="21"/>
      <c r="V685" s="4" t="s">
        <v>42</v>
      </c>
      <c r="W685" s="4" t="s">
        <v>234</v>
      </c>
      <c r="X685" s="4" t="s">
        <v>235</v>
      </c>
      <c r="Y685" s="21" t="s">
        <v>56</v>
      </c>
      <c r="Z685" s="21"/>
      <c r="AA685" s="4" t="s">
        <v>46</v>
      </c>
      <c r="AB685" s="4" t="s">
        <v>47</v>
      </c>
      <c r="AC685" s="4" t="s">
        <v>139</v>
      </c>
      <c r="AD685" s="4" t="s">
        <v>466</v>
      </c>
      <c r="AE685" s="4" t="s">
        <v>48</v>
      </c>
      <c r="AF685" s="4" t="s">
        <v>41</v>
      </c>
      <c r="AG685" s="4" t="s">
        <v>1330</v>
      </c>
    </row>
    <row r="686" spans="1:33" ht="16.5" customHeight="1" x14ac:dyDescent="0.2">
      <c r="A686" s="2" t="s">
        <v>31</v>
      </c>
      <c r="B686" s="19" t="s">
        <v>50</v>
      </c>
      <c r="C686" s="19"/>
      <c r="D686" s="19"/>
      <c r="E686" s="20" t="s">
        <v>33</v>
      </c>
      <c r="F686" s="20"/>
      <c r="G686" s="21" t="s">
        <v>1327</v>
      </c>
      <c r="H686" s="21"/>
      <c r="I686" s="21"/>
      <c r="J686" s="3" t="s">
        <v>35</v>
      </c>
      <c r="K686" s="4" t="s">
        <v>82</v>
      </c>
      <c r="L686" s="4" t="s">
        <v>37</v>
      </c>
      <c r="N686" s="21" t="s">
        <v>1602</v>
      </c>
      <c r="O686" s="21"/>
      <c r="P686" s="21" t="s">
        <v>1603</v>
      </c>
      <c r="Q686" s="21"/>
      <c r="R686" s="21"/>
      <c r="S686" s="3" t="s">
        <v>40</v>
      </c>
      <c r="T686" s="21" t="s">
        <v>41</v>
      </c>
      <c r="U686" s="21"/>
      <c r="V686" s="4" t="s">
        <v>42</v>
      </c>
      <c r="W686" s="4" t="s">
        <v>234</v>
      </c>
      <c r="X686" s="4" t="s">
        <v>235</v>
      </c>
      <c r="Y686" s="21" t="s">
        <v>56</v>
      </c>
      <c r="Z686" s="21"/>
      <c r="AA686" s="4" t="s">
        <v>46</v>
      </c>
      <c r="AB686" s="4" t="s">
        <v>47</v>
      </c>
      <c r="AC686" s="4" t="s">
        <v>139</v>
      </c>
      <c r="AD686" s="4" t="s">
        <v>140</v>
      </c>
      <c r="AE686" s="4" t="s">
        <v>48</v>
      </c>
      <c r="AF686" s="4" t="s">
        <v>41</v>
      </c>
      <c r="AG686" s="4" t="s">
        <v>1330</v>
      </c>
    </row>
    <row r="687" spans="1:33" ht="16.5" customHeight="1" x14ac:dyDescent="0.2">
      <c r="A687" s="2" t="s">
        <v>31</v>
      </c>
      <c r="B687" s="19" t="s">
        <v>50</v>
      </c>
      <c r="C687" s="19"/>
      <c r="D687" s="19"/>
      <c r="E687" s="20" t="s">
        <v>33</v>
      </c>
      <c r="F687" s="20"/>
      <c r="G687" s="21" t="s">
        <v>1327</v>
      </c>
      <c r="H687" s="21"/>
      <c r="I687" s="21"/>
      <c r="J687" s="3" t="s">
        <v>35</v>
      </c>
      <c r="K687" s="4" t="s">
        <v>82</v>
      </c>
      <c r="L687" s="4" t="s">
        <v>37</v>
      </c>
      <c r="N687" s="21" t="s">
        <v>1604</v>
      </c>
      <c r="O687" s="21"/>
      <c r="P687" s="21" t="s">
        <v>1605</v>
      </c>
      <c r="Q687" s="21"/>
      <c r="R687" s="21"/>
      <c r="S687" s="3" t="s">
        <v>40</v>
      </c>
      <c r="T687" s="21" t="s">
        <v>41</v>
      </c>
      <c r="U687" s="21"/>
      <c r="V687" s="4" t="s">
        <v>59</v>
      </c>
      <c r="W687" s="4" t="s">
        <v>234</v>
      </c>
      <c r="X687" s="4" t="s">
        <v>339</v>
      </c>
      <c r="Y687" s="21" t="s">
        <v>56</v>
      </c>
      <c r="Z687" s="21"/>
      <c r="AA687" s="4" t="s">
        <v>46</v>
      </c>
      <c r="AB687" s="4" t="s">
        <v>47</v>
      </c>
      <c r="AC687" s="4" t="s">
        <v>139</v>
      </c>
      <c r="AD687" s="4" t="s">
        <v>140</v>
      </c>
      <c r="AE687" s="4" t="s">
        <v>48</v>
      </c>
      <c r="AF687" s="4" t="s">
        <v>41</v>
      </c>
      <c r="AG687" s="4" t="s">
        <v>1330</v>
      </c>
    </row>
    <row r="688" spans="1:33" ht="16.5" customHeight="1" x14ac:dyDescent="0.2">
      <c r="A688" s="2" t="s">
        <v>31</v>
      </c>
      <c r="B688" s="19" t="s">
        <v>50</v>
      </c>
      <c r="C688" s="19"/>
      <c r="D688" s="19"/>
      <c r="E688" s="20" t="s">
        <v>33</v>
      </c>
      <c r="F688" s="20"/>
      <c r="G688" s="21" t="s">
        <v>1327</v>
      </c>
      <c r="H688" s="21"/>
      <c r="I688" s="21"/>
      <c r="J688" s="3" t="s">
        <v>35</v>
      </c>
      <c r="K688" s="4" t="s">
        <v>82</v>
      </c>
      <c r="L688" s="4" t="s">
        <v>37</v>
      </c>
      <c r="N688" s="21" t="s">
        <v>1604</v>
      </c>
      <c r="O688" s="21"/>
      <c r="P688" s="21" t="s">
        <v>1605</v>
      </c>
      <c r="Q688" s="21"/>
      <c r="R688" s="21"/>
      <c r="S688" s="3" t="s">
        <v>40</v>
      </c>
      <c r="T688" s="21" t="s">
        <v>41</v>
      </c>
      <c r="U688" s="21"/>
      <c r="V688" s="4" t="s">
        <v>130</v>
      </c>
      <c r="W688" s="4" t="s">
        <v>234</v>
      </c>
      <c r="X688" s="4" t="s">
        <v>356</v>
      </c>
      <c r="Y688" s="21" t="s">
        <v>56</v>
      </c>
      <c r="Z688" s="21"/>
      <c r="AA688" s="4" t="s">
        <v>46</v>
      </c>
      <c r="AB688" s="4" t="s">
        <v>47</v>
      </c>
      <c r="AC688" s="4" t="s">
        <v>139</v>
      </c>
      <c r="AD688" s="4" t="s">
        <v>140</v>
      </c>
      <c r="AE688" s="4" t="s">
        <v>48</v>
      </c>
      <c r="AF688" s="4" t="s">
        <v>41</v>
      </c>
      <c r="AG688" s="4" t="s">
        <v>1330</v>
      </c>
    </row>
    <row r="689" spans="1:33" ht="16.5" customHeight="1" x14ac:dyDescent="0.2">
      <c r="A689" s="2" t="s">
        <v>31</v>
      </c>
      <c r="B689" s="19" t="s">
        <v>50</v>
      </c>
      <c r="C689" s="19"/>
      <c r="D689" s="19"/>
      <c r="E689" s="20" t="s">
        <v>33</v>
      </c>
      <c r="F689" s="20"/>
      <c r="G689" s="21" t="s">
        <v>1327</v>
      </c>
      <c r="H689" s="21"/>
      <c r="I689" s="21"/>
      <c r="J689" s="3" t="s">
        <v>35</v>
      </c>
      <c r="K689" s="4" t="s">
        <v>82</v>
      </c>
      <c r="L689" s="4" t="s">
        <v>37</v>
      </c>
      <c r="N689" s="21" t="s">
        <v>1606</v>
      </c>
      <c r="O689" s="21"/>
      <c r="P689" s="21" t="s">
        <v>1607</v>
      </c>
      <c r="Q689" s="21"/>
      <c r="R689" s="21"/>
      <c r="S689" s="3" t="s">
        <v>40</v>
      </c>
      <c r="T689" s="21" t="s">
        <v>41</v>
      </c>
      <c r="U689" s="21"/>
      <c r="V689" s="4" t="s">
        <v>42</v>
      </c>
      <c r="W689" s="4" t="s">
        <v>234</v>
      </c>
      <c r="X689" s="4" t="s">
        <v>235</v>
      </c>
      <c r="Y689" s="21" t="s">
        <v>56</v>
      </c>
      <c r="Z689" s="21"/>
      <c r="AA689" s="4" t="s">
        <v>46</v>
      </c>
      <c r="AB689" s="4" t="s">
        <v>47</v>
      </c>
      <c r="AC689" s="4" t="s">
        <v>139</v>
      </c>
      <c r="AD689" s="4" t="s">
        <v>140</v>
      </c>
      <c r="AE689" s="4" t="s">
        <v>48</v>
      </c>
      <c r="AF689" s="4" t="s">
        <v>41</v>
      </c>
      <c r="AG689" s="4" t="s">
        <v>1330</v>
      </c>
    </row>
    <row r="690" spans="1:33" ht="16.5" customHeight="1" x14ac:dyDescent="0.2">
      <c r="A690" s="2" t="s">
        <v>31</v>
      </c>
      <c r="B690" s="19" t="s">
        <v>50</v>
      </c>
      <c r="C690" s="19"/>
      <c r="D690" s="19"/>
      <c r="E690" s="20" t="s">
        <v>33</v>
      </c>
      <c r="F690" s="20"/>
      <c r="G690" s="21" t="s">
        <v>1327</v>
      </c>
      <c r="H690" s="21"/>
      <c r="I690" s="21"/>
      <c r="J690" s="3" t="s">
        <v>35</v>
      </c>
      <c r="K690" s="4" t="s">
        <v>152</v>
      </c>
      <c r="L690" s="4" t="s">
        <v>37</v>
      </c>
      <c r="N690" s="21" t="s">
        <v>1608</v>
      </c>
      <c r="O690" s="21"/>
      <c r="P690" s="21" t="s">
        <v>1609</v>
      </c>
      <c r="Q690" s="21"/>
      <c r="R690" s="21"/>
      <c r="S690" s="3" t="s">
        <v>40</v>
      </c>
      <c r="T690" s="21" t="s">
        <v>41</v>
      </c>
      <c r="U690" s="21"/>
      <c r="V690" s="4" t="s">
        <v>42</v>
      </c>
      <c r="W690" s="4" t="s">
        <v>234</v>
      </c>
      <c r="X690" s="4" t="s">
        <v>235</v>
      </c>
      <c r="Y690" s="21" t="s">
        <v>56</v>
      </c>
      <c r="Z690" s="21"/>
      <c r="AA690" s="4" t="s">
        <v>46</v>
      </c>
      <c r="AB690" s="4" t="s">
        <v>47</v>
      </c>
      <c r="AC690" s="4" t="s">
        <v>139</v>
      </c>
      <c r="AD690" s="4" t="s">
        <v>140</v>
      </c>
      <c r="AE690" s="4" t="s">
        <v>48</v>
      </c>
      <c r="AF690" s="4" t="s">
        <v>41</v>
      </c>
      <c r="AG690" s="4" t="s">
        <v>1330</v>
      </c>
    </row>
    <row r="691" spans="1:33" ht="16.5" customHeight="1" x14ac:dyDescent="0.2">
      <c r="A691" s="2" t="s">
        <v>31</v>
      </c>
      <c r="B691" s="19" t="s">
        <v>50</v>
      </c>
      <c r="C691" s="19"/>
      <c r="D691" s="19"/>
      <c r="E691" s="20" t="s">
        <v>33</v>
      </c>
      <c r="F691" s="20"/>
      <c r="G691" s="21" t="s">
        <v>1327</v>
      </c>
      <c r="H691" s="21"/>
      <c r="I691" s="21"/>
      <c r="J691" s="3" t="s">
        <v>35</v>
      </c>
      <c r="K691" s="4" t="s">
        <v>152</v>
      </c>
      <c r="L691" s="4" t="s">
        <v>37</v>
      </c>
      <c r="N691" s="21" t="s">
        <v>1608</v>
      </c>
      <c r="O691" s="21"/>
      <c r="P691" s="21" t="s">
        <v>1609</v>
      </c>
      <c r="Q691" s="21"/>
      <c r="R691" s="21"/>
      <c r="S691" s="3" t="s">
        <v>40</v>
      </c>
      <c r="T691" s="21" t="s">
        <v>41</v>
      </c>
      <c r="U691" s="21"/>
      <c r="V691" s="4" t="s">
        <v>59</v>
      </c>
      <c r="W691" s="4" t="s">
        <v>234</v>
      </c>
      <c r="X691" s="4" t="s">
        <v>339</v>
      </c>
      <c r="Y691" s="21" t="s">
        <v>56</v>
      </c>
      <c r="Z691" s="21"/>
      <c r="AA691" s="4" t="s">
        <v>46</v>
      </c>
      <c r="AB691" s="4" t="s">
        <v>47</v>
      </c>
      <c r="AC691" s="4" t="s">
        <v>139</v>
      </c>
      <c r="AD691" s="4" t="s">
        <v>140</v>
      </c>
      <c r="AE691" s="4" t="s">
        <v>48</v>
      </c>
      <c r="AF691" s="4" t="s">
        <v>41</v>
      </c>
      <c r="AG691" s="4" t="s">
        <v>1330</v>
      </c>
    </row>
    <row r="692" spans="1:33" ht="16.5" customHeight="1" x14ac:dyDescent="0.2">
      <c r="A692" s="2" t="s">
        <v>31</v>
      </c>
      <c r="B692" s="19" t="s">
        <v>50</v>
      </c>
      <c r="C692" s="19"/>
      <c r="D692" s="19"/>
      <c r="E692" s="20" t="s">
        <v>33</v>
      </c>
      <c r="F692" s="20"/>
      <c r="G692" s="21" t="s">
        <v>1327</v>
      </c>
      <c r="H692" s="21"/>
      <c r="I692" s="21"/>
      <c r="J692" s="3" t="s">
        <v>35</v>
      </c>
      <c r="K692" s="4" t="s">
        <v>99</v>
      </c>
      <c r="L692" s="4" t="s">
        <v>445</v>
      </c>
      <c r="N692" s="21" t="s">
        <v>1610</v>
      </c>
      <c r="O692" s="21"/>
      <c r="P692" s="21" t="s">
        <v>1611</v>
      </c>
      <c r="Q692" s="21"/>
      <c r="R692" s="21"/>
      <c r="S692" s="3" t="s">
        <v>40</v>
      </c>
      <c r="T692" s="21" t="s">
        <v>41</v>
      </c>
      <c r="U692" s="21"/>
      <c r="V692" s="4" t="s">
        <v>42</v>
      </c>
      <c r="W692" s="4" t="s">
        <v>234</v>
      </c>
      <c r="X692" s="4" t="s">
        <v>235</v>
      </c>
      <c r="Y692" s="21" t="s">
        <v>56</v>
      </c>
      <c r="Z692" s="21"/>
      <c r="AA692" s="4" t="s">
        <v>46</v>
      </c>
      <c r="AB692" s="4" t="s">
        <v>47</v>
      </c>
      <c r="AC692" s="4" t="s">
        <v>139</v>
      </c>
      <c r="AD692" s="4" t="s">
        <v>466</v>
      </c>
      <c r="AE692" s="4" t="s">
        <v>48</v>
      </c>
      <c r="AF692" s="4" t="s">
        <v>41</v>
      </c>
      <c r="AG692" s="4" t="s">
        <v>1330</v>
      </c>
    </row>
    <row r="693" spans="1:33" ht="16.5" customHeight="1" x14ac:dyDescent="0.2">
      <c r="A693" s="2" t="s">
        <v>31</v>
      </c>
      <c r="B693" s="19" t="s">
        <v>50</v>
      </c>
      <c r="C693" s="19"/>
      <c r="D693" s="19"/>
      <c r="E693" s="20" t="s">
        <v>33</v>
      </c>
      <c r="F693" s="20"/>
      <c r="G693" s="21" t="s">
        <v>1327</v>
      </c>
      <c r="H693" s="21"/>
      <c r="I693" s="21"/>
      <c r="J693" s="3" t="s">
        <v>35</v>
      </c>
      <c r="K693" s="4" t="s">
        <v>82</v>
      </c>
      <c r="L693" s="4" t="s">
        <v>37</v>
      </c>
      <c r="N693" s="21" t="s">
        <v>1612</v>
      </c>
      <c r="O693" s="21"/>
      <c r="P693" s="21" t="s">
        <v>1613</v>
      </c>
      <c r="Q693" s="21"/>
      <c r="R693" s="21"/>
      <c r="S693" s="3" t="s">
        <v>40</v>
      </c>
      <c r="T693" s="21" t="s">
        <v>41</v>
      </c>
      <c r="U693" s="21"/>
      <c r="V693" s="4" t="s">
        <v>42</v>
      </c>
      <c r="W693" s="4" t="s">
        <v>234</v>
      </c>
      <c r="X693" s="4" t="s">
        <v>235</v>
      </c>
      <c r="Y693" s="21" t="s">
        <v>56</v>
      </c>
      <c r="Z693" s="21"/>
      <c r="AA693" s="4" t="s">
        <v>46</v>
      </c>
      <c r="AB693" s="4" t="s">
        <v>47</v>
      </c>
      <c r="AC693" s="4" t="s">
        <v>139</v>
      </c>
      <c r="AD693" s="4" t="s">
        <v>140</v>
      </c>
      <c r="AE693" s="4" t="s">
        <v>48</v>
      </c>
      <c r="AF693" s="4" t="s">
        <v>41</v>
      </c>
      <c r="AG693" s="4" t="s">
        <v>1330</v>
      </c>
    </row>
    <row r="694" spans="1:33" ht="16.5" customHeight="1" x14ac:dyDescent="0.2">
      <c r="A694" s="2" t="s">
        <v>31</v>
      </c>
      <c r="B694" s="19" t="s">
        <v>50</v>
      </c>
      <c r="C694" s="19"/>
      <c r="D694" s="19"/>
      <c r="E694" s="20" t="s">
        <v>33</v>
      </c>
      <c r="F694" s="20"/>
      <c r="G694" s="21" t="s">
        <v>1327</v>
      </c>
      <c r="H694" s="21"/>
      <c r="I694" s="21"/>
      <c r="J694" s="3" t="s">
        <v>35</v>
      </c>
      <c r="K694" s="4" t="s">
        <v>82</v>
      </c>
      <c r="L694" s="4" t="s">
        <v>37</v>
      </c>
      <c r="N694" s="21" t="s">
        <v>1614</v>
      </c>
      <c r="O694" s="21"/>
      <c r="P694" s="21" t="s">
        <v>1615</v>
      </c>
      <c r="Q694" s="21"/>
      <c r="R694" s="21"/>
      <c r="S694" s="3" t="s">
        <v>40</v>
      </c>
      <c r="T694" s="21" t="s">
        <v>41</v>
      </c>
      <c r="U694" s="21"/>
      <c r="V694" s="4" t="s">
        <v>42</v>
      </c>
      <c r="W694" s="4" t="s">
        <v>350</v>
      </c>
      <c r="X694" s="4" t="s">
        <v>339</v>
      </c>
      <c r="Y694" s="21" t="s">
        <v>56</v>
      </c>
      <c r="Z694" s="21"/>
      <c r="AA694" s="4" t="s">
        <v>46</v>
      </c>
      <c r="AB694" s="4" t="s">
        <v>47</v>
      </c>
      <c r="AC694" s="4" t="s">
        <v>139</v>
      </c>
      <c r="AD694" s="4" t="s">
        <v>140</v>
      </c>
      <c r="AE694" s="4" t="s">
        <v>48</v>
      </c>
      <c r="AF694" s="4" t="s">
        <v>41</v>
      </c>
      <c r="AG694" s="4" t="s">
        <v>1330</v>
      </c>
    </row>
    <row r="695" spans="1:33" ht="16.5" customHeight="1" x14ac:dyDescent="0.2">
      <c r="A695" s="2" t="s">
        <v>31</v>
      </c>
      <c r="B695" s="19" t="s">
        <v>50</v>
      </c>
      <c r="C695" s="19"/>
      <c r="D695" s="19"/>
      <c r="E695" s="20" t="s">
        <v>33</v>
      </c>
      <c r="F695" s="20"/>
      <c r="G695" s="21" t="s">
        <v>1327</v>
      </c>
      <c r="H695" s="21"/>
      <c r="I695" s="21"/>
      <c r="J695" s="3" t="s">
        <v>35</v>
      </c>
      <c r="K695" s="4" t="s">
        <v>82</v>
      </c>
      <c r="L695" s="4" t="s">
        <v>37</v>
      </c>
      <c r="N695" s="21" t="s">
        <v>1616</v>
      </c>
      <c r="O695" s="21"/>
      <c r="P695" s="21" t="s">
        <v>1617</v>
      </c>
      <c r="Q695" s="21"/>
      <c r="R695" s="21"/>
      <c r="S695" s="3" t="s">
        <v>40</v>
      </c>
      <c r="T695" s="21" t="s">
        <v>41</v>
      </c>
      <c r="U695" s="21"/>
      <c r="V695" s="4" t="s">
        <v>42</v>
      </c>
      <c r="W695" s="4" t="s">
        <v>234</v>
      </c>
      <c r="X695" s="4" t="s">
        <v>235</v>
      </c>
      <c r="Y695" s="21" t="s">
        <v>56</v>
      </c>
      <c r="Z695" s="21"/>
      <c r="AA695" s="4" t="s">
        <v>46</v>
      </c>
      <c r="AB695" s="4" t="s">
        <v>47</v>
      </c>
      <c r="AC695" s="4" t="s">
        <v>139</v>
      </c>
      <c r="AD695" s="4" t="s">
        <v>140</v>
      </c>
      <c r="AE695" s="4" t="s">
        <v>48</v>
      </c>
      <c r="AF695" s="4" t="s">
        <v>41</v>
      </c>
      <c r="AG695" s="4" t="s">
        <v>1330</v>
      </c>
    </row>
    <row r="696" spans="1:33" ht="16.5" customHeight="1" x14ac:dyDescent="0.2">
      <c r="A696" s="2" t="s">
        <v>31</v>
      </c>
      <c r="B696" s="19" t="s">
        <v>50</v>
      </c>
      <c r="C696" s="19"/>
      <c r="D696" s="19"/>
      <c r="E696" s="20" t="s">
        <v>33</v>
      </c>
      <c r="F696" s="20"/>
      <c r="G696" s="21" t="s">
        <v>1327</v>
      </c>
      <c r="H696" s="21"/>
      <c r="I696" s="21"/>
      <c r="J696" s="3" t="s">
        <v>35</v>
      </c>
      <c r="K696" s="4" t="s">
        <v>82</v>
      </c>
      <c r="L696" s="4" t="s">
        <v>37</v>
      </c>
      <c r="N696" s="21" t="s">
        <v>1618</v>
      </c>
      <c r="O696" s="21"/>
      <c r="P696" s="21" t="s">
        <v>1619</v>
      </c>
      <c r="Q696" s="21"/>
      <c r="R696" s="21"/>
      <c r="S696" s="3" t="s">
        <v>40</v>
      </c>
      <c r="T696" s="21" t="s">
        <v>41</v>
      </c>
      <c r="U696" s="21"/>
      <c r="V696" s="4" t="s">
        <v>42</v>
      </c>
      <c r="W696" s="4" t="s">
        <v>350</v>
      </c>
      <c r="X696" s="4" t="s">
        <v>339</v>
      </c>
      <c r="Y696" s="21" t="s">
        <v>56</v>
      </c>
      <c r="Z696" s="21"/>
      <c r="AA696" s="4" t="s">
        <v>46</v>
      </c>
      <c r="AB696" s="4" t="s">
        <v>47</v>
      </c>
      <c r="AC696" s="4" t="s">
        <v>139</v>
      </c>
      <c r="AD696" s="4" t="s">
        <v>140</v>
      </c>
      <c r="AE696" s="4" t="s">
        <v>48</v>
      </c>
      <c r="AF696" s="4" t="s">
        <v>41</v>
      </c>
      <c r="AG696" s="4" t="s">
        <v>1330</v>
      </c>
    </row>
    <row r="697" spans="1:33" ht="16.5" customHeight="1" x14ac:dyDescent="0.2">
      <c r="A697" s="2" t="s">
        <v>31</v>
      </c>
      <c r="B697" s="19" t="s">
        <v>50</v>
      </c>
      <c r="C697" s="19"/>
      <c r="D697" s="19"/>
      <c r="E697" s="20" t="s">
        <v>33</v>
      </c>
      <c r="F697" s="20"/>
      <c r="G697" s="21" t="s">
        <v>1327</v>
      </c>
      <c r="H697" s="21"/>
      <c r="I697" s="21"/>
      <c r="J697" s="3" t="s">
        <v>35</v>
      </c>
      <c r="K697" s="4" t="s">
        <v>82</v>
      </c>
      <c r="L697" s="4" t="s">
        <v>278</v>
      </c>
      <c r="N697" s="21" t="s">
        <v>1620</v>
      </c>
      <c r="O697" s="21"/>
      <c r="P697" s="21" t="s">
        <v>1621</v>
      </c>
      <c r="Q697" s="21"/>
      <c r="R697" s="21"/>
      <c r="S697" s="3" t="s">
        <v>40</v>
      </c>
      <c r="T697" s="21" t="s">
        <v>41</v>
      </c>
      <c r="U697" s="21"/>
      <c r="V697" s="4" t="s">
        <v>42</v>
      </c>
      <c r="W697" s="4" t="s">
        <v>350</v>
      </c>
      <c r="X697" s="4" t="s">
        <v>339</v>
      </c>
      <c r="Y697" s="21" t="s">
        <v>56</v>
      </c>
      <c r="Z697" s="21"/>
      <c r="AA697" s="4" t="s">
        <v>46</v>
      </c>
      <c r="AB697" s="4" t="s">
        <v>47</v>
      </c>
      <c r="AC697" s="4" t="s">
        <v>139</v>
      </c>
      <c r="AD697" s="4" t="s">
        <v>69</v>
      </c>
      <c r="AE697" s="4" t="s">
        <v>48</v>
      </c>
      <c r="AF697" s="4" t="s">
        <v>41</v>
      </c>
      <c r="AG697" s="4" t="s">
        <v>1330</v>
      </c>
    </row>
    <row r="698" spans="1:33" ht="16.5" customHeight="1" x14ac:dyDescent="0.2">
      <c r="A698" s="2" t="s">
        <v>31</v>
      </c>
      <c r="B698" s="19" t="s">
        <v>50</v>
      </c>
      <c r="C698" s="19"/>
      <c r="D698" s="19"/>
      <c r="E698" s="20" t="s">
        <v>33</v>
      </c>
      <c r="F698" s="20"/>
      <c r="G698" s="21" t="s">
        <v>1327</v>
      </c>
      <c r="H698" s="21"/>
      <c r="I698" s="21"/>
      <c r="J698" s="3" t="s">
        <v>35</v>
      </c>
      <c r="K698" s="4" t="s">
        <v>51</v>
      </c>
      <c r="L698" s="4" t="s">
        <v>37</v>
      </c>
      <c r="N698" s="21" t="s">
        <v>1622</v>
      </c>
      <c r="O698" s="21"/>
      <c r="P698" s="21" t="s">
        <v>1623</v>
      </c>
      <c r="Q698" s="21"/>
      <c r="R698" s="21"/>
      <c r="S698" s="3" t="s">
        <v>40</v>
      </c>
      <c r="T698" s="21" t="s">
        <v>41</v>
      </c>
      <c r="U698" s="21"/>
      <c r="V698" s="4" t="s">
        <v>42</v>
      </c>
      <c r="W698" s="4" t="s">
        <v>350</v>
      </c>
      <c r="X698" s="4" t="s">
        <v>339</v>
      </c>
      <c r="Y698" s="21" t="s">
        <v>56</v>
      </c>
      <c r="Z698" s="21"/>
      <c r="AA698" s="4" t="s">
        <v>46</v>
      </c>
      <c r="AB698" s="4" t="s">
        <v>47</v>
      </c>
      <c r="AC698" s="4" t="s">
        <v>139</v>
      </c>
      <c r="AD698" s="4" t="s">
        <v>140</v>
      </c>
      <c r="AE698" s="4" t="s">
        <v>48</v>
      </c>
      <c r="AF698" s="4" t="s">
        <v>41</v>
      </c>
      <c r="AG698" s="4" t="s">
        <v>1330</v>
      </c>
    </row>
    <row r="699" spans="1:33" ht="16.5" customHeight="1" x14ac:dyDescent="0.2">
      <c r="A699" s="2" t="s">
        <v>31</v>
      </c>
      <c r="B699" s="19" t="s">
        <v>50</v>
      </c>
      <c r="C699" s="19"/>
      <c r="D699" s="19"/>
      <c r="E699" s="20" t="s">
        <v>33</v>
      </c>
      <c r="F699" s="20"/>
      <c r="G699" s="21" t="s">
        <v>1327</v>
      </c>
      <c r="H699" s="21"/>
      <c r="I699" s="21"/>
      <c r="J699" s="3" t="s">
        <v>35</v>
      </c>
      <c r="K699" s="4" t="s">
        <v>152</v>
      </c>
      <c r="L699" s="4" t="s">
        <v>278</v>
      </c>
      <c r="N699" s="21" t="s">
        <v>1624</v>
      </c>
      <c r="O699" s="21"/>
      <c r="P699" s="21" t="s">
        <v>1625</v>
      </c>
      <c r="Q699" s="21"/>
      <c r="R699" s="21"/>
      <c r="S699" s="3" t="s">
        <v>40</v>
      </c>
      <c r="T699" s="21" t="s">
        <v>41</v>
      </c>
      <c r="U699" s="21"/>
      <c r="V699" s="4" t="s">
        <v>42</v>
      </c>
      <c r="W699" s="4" t="s">
        <v>350</v>
      </c>
      <c r="X699" s="4" t="s">
        <v>339</v>
      </c>
      <c r="Y699" s="21" t="s">
        <v>56</v>
      </c>
      <c r="Z699" s="21"/>
      <c r="AA699" s="4" t="s">
        <v>46</v>
      </c>
      <c r="AB699" s="4" t="s">
        <v>47</v>
      </c>
      <c r="AC699" s="4" t="s">
        <v>139</v>
      </c>
      <c r="AD699" s="4" t="s">
        <v>69</v>
      </c>
      <c r="AE699" s="4" t="s">
        <v>48</v>
      </c>
      <c r="AF699" s="4" t="s">
        <v>41</v>
      </c>
      <c r="AG699" s="4" t="s">
        <v>1330</v>
      </c>
    </row>
    <row r="700" spans="1:33" ht="16.5" customHeight="1" x14ac:dyDescent="0.2">
      <c r="A700" s="2" t="s">
        <v>31</v>
      </c>
      <c r="B700" s="19" t="s">
        <v>50</v>
      </c>
      <c r="C700" s="19"/>
      <c r="D700" s="19"/>
      <c r="E700" s="20" t="s">
        <v>33</v>
      </c>
      <c r="F700" s="20"/>
      <c r="G700" s="21" t="s">
        <v>1327</v>
      </c>
      <c r="H700" s="21"/>
      <c r="I700" s="21"/>
      <c r="J700" s="3" t="s">
        <v>35</v>
      </c>
      <c r="K700" s="4" t="s">
        <v>82</v>
      </c>
      <c r="L700" s="4" t="s">
        <v>37</v>
      </c>
      <c r="N700" s="21" t="s">
        <v>1626</v>
      </c>
      <c r="O700" s="21"/>
      <c r="P700" s="21" t="s">
        <v>1627</v>
      </c>
      <c r="Q700" s="21"/>
      <c r="R700" s="21"/>
      <c r="S700" s="3" t="s">
        <v>40</v>
      </c>
      <c r="T700" s="21" t="s">
        <v>41</v>
      </c>
      <c r="U700" s="21"/>
      <c r="V700" s="4" t="s">
        <v>42</v>
      </c>
      <c r="W700" s="4" t="s">
        <v>299</v>
      </c>
      <c r="X700" s="4" t="s">
        <v>300</v>
      </c>
      <c r="Y700" s="21" t="s">
        <v>56</v>
      </c>
      <c r="Z700" s="21"/>
      <c r="AA700" s="4" t="s">
        <v>46</v>
      </c>
      <c r="AB700" s="4" t="s">
        <v>47</v>
      </c>
      <c r="AC700" s="4" t="s">
        <v>57</v>
      </c>
      <c r="AD700" s="4" t="s">
        <v>58</v>
      </c>
      <c r="AE700" s="4" t="s">
        <v>48</v>
      </c>
      <c r="AF700" s="4" t="s">
        <v>41</v>
      </c>
      <c r="AG700" s="4" t="s">
        <v>1330</v>
      </c>
    </row>
    <row r="701" spans="1:33" ht="16.5" customHeight="1" x14ac:dyDescent="0.2">
      <c r="A701" s="2" t="s">
        <v>31</v>
      </c>
      <c r="B701" s="19" t="s">
        <v>50</v>
      </c>
      <c r="C701" s="19"/>
      <c r="D701" s="19"/>
      <c r="E701" s="20" t="s">
        <v>33</v>
      </c>
      <c r="F701" s="20"/>
      <c r="G701" s="21" t="s">
        <v>1327</v>
      </c>
      <c r="H701" s="21"/>
      <c r="I701" s="21"/>
      <c r="J701" s="3" t="s">
        <v>35</v>
      </c>
      <c r="K701" s="4" t="s">
        <v>82</v>
      </c>
      <c r="L701" s="4" t="s">
        <v>37</v>
      </c>
      <c r="N701" s="21" t="s">
        <v>1628</v>
      </c>
      <c r="O701" s="21"/>
      <c r="P701" s="21" t="s">
        <v>1629</v>
      </c>
      <c r="Q701" s="21"/>
      <c r="R701" s="21"/>
      <c r="S701" s="3" t="s">
        <v>40</v>
      </c>
      <c r="T701" s="21" t="s">
        <v>41</v>
      </c>
      <c r="U701" s="21"/>
      <c r="V701" s="4" t="s">
        <v>42</v>
      </c>
      <c r="W701" s="4" t="s">
        <v>299</v>
      </c>
      <c r="X701" s="4" t="s">
        <v>300</v>
      </c>
      <c r="Y701" s="21" t="s">
        <v>56</v>
      </c>
      <c r="Z701" s="21"/>
      <c r="AA701" s="4" t="s">
        <v>46</v>
      </c>
      <c r="AB701" s="4" t="s">
        <v>47</v>
      </c>
      <c r="AC701" s="4" t="s">
        <v>57</v>
      </c>
      <c r="AD701" s="4" t="s">
        <v>58</v>
      </c>
      <c r="AE701" s="4" t="s">
        <v>48</v>
      </c>
      <c r="AF701" s="4" t="s">
        <v>41</v>
      </c>
      <c r="AG701" s="4" t="s">
        <v>1330</v>
      </c>
    </row>
    <row r="702" spans="1:33" ht="16.5" customHeight="1" x14ac:dyDescent="0.2">
      <c r="A702" s="2" t="s">
        <v>31</v>
      </c>
      <c r="B702" s="19" t="s">
        <v>50</v>
      </c>
      <c r="C702" s="19"/>
      <c r="D702" s="19"/>
      <c r="E702" s="20" t="s">
        <v>33</v>
      </c>
      <c r="F702" s="20"/>
      <c r="G702" s="21" t="s">
        <v>1327</v>
      </c>
      <c r="H702" s="21"/>
      <c r="I702" s="21"/>
      <c r="J702" s="3" t="s">
        <v>35</v>
      </c>
      <c r="K702" s="4" t="s">
        <v>82</v>
      </c>
      <c r="L702" s="4" t="s">
        <v>68</v>
      </c>
      <c r="N702" s="21" t="s">
        <v>1630</v>
      </c>
      <c r="O702" s="21"/>
      <c r="P702" s="21" t="s">
        <v>1631</v>
      </c>
      <c r="Q702" s="21"/>
      <c r="R702" s="21"/>
      <c r="S702" s="3" t="s">
        <v>40</v>
      </c>
      <c r="T702" s="21" t="s">
        <v>41</v>
      </c>
      <c r="U702" s="21"/>
      <c r="V702" s="4" t="s">
        <v>42</v>
      </c>
      <c r="W702" s="4" t="s">
        <v>182</v>
      </c>
      <c r="X702" s="4" t="s">
        <v>294</v>
      </c>
      <c r="Y702" s="21" t="s">
        <v>56</v>
      </c>
      <c r="Z702" s="21"/>
      <c r="AA702" s="4" t="s">
        <v>46</v>
      </c>
      <c r="AB702" s="4" t="s">
        <v>47</v>
      </c>
      <c r="AC702" s="4" t="s">
        <v>57</v>
      </c>
      <c r="AD702" s="4" t="s">
        <v>98</v>
      </c>
      <c r="AE702" s="4" t="s">
        <v>48</v>
      </c>
      <c r="AF702" s="4" t="s">
        <v>41</v>
      </c>
      <c r="AG702" s="4" t="s">
        <v>1330</v>
      </c>
    </row>
    <row r="703" spans="1:33" ht="16.5" customHeight="1" x14ac:dyDescent="0.2">
      <c r="A703" s="2" t="s">
        <v>31</v>
      </c>
      <c r="B703" s="19" t="s">
        <v>50</v>
      </c>
      <c r="C703" s="19"/>
      <c r="D703" s="19"/>
      <c r="E703" s="20" t="s">
        <v>33</v>
      </c>
      <c r="F703" s="20"/>
      <c r="G703" s="21" t="s">
        <v>1327</v>
      </c>
      <c r="H703" s="21"/>
      <c r="I703" s="21"/>
      <c r="J703" s="3" t="s">
        <v>35</v>
      </c>
      <c r="K703" s="4" t="s">
        <v>82</v>
      </c>
      <c r="L703" s="4" t="s">
        <v>68</v>
      </c>
      <c r="N703" s="21" t="s">
        <v>1632</v>
      </c>
      <c r="O703" s="21"/>
      <c r="P703" s="21" t="s">
        <v>1633</v>
      </c>
      <c r="Q703" s="21"/>
      <c r="R703" s="21"/>
      <c r="S703" s="3" t="s">
        <v>40</v>
      </c>
      <c r="T703" s="21" t="s">
        <v>41</v>
      </c>
      <c r="U703" s="21"/>
      <c r="V703" s="4" t="s">
        <v>42</v>
      </c>
      <c r="W703" s="4" t="s">
        <v>299</v>
      </c>
      <c r="X703" s="4" t="s">
        <v>300</v>
      </c>
      <c r="Y703" s="21" t="s">
        <v>56</v>
      </c>
      <c r="Z703" s="21"/>
      <c r="AA703" s="4" t="s">
        <v>46</v>
      </c>
      <c r="AB703" s="4" t="s">
        <v>47</v>
      </c>
      <c r="AC703" s="4" t="s">
        <v>57</v>
      </c>
      <c r="AD703" s="4" t="s">
        <v>98</v>
      </c>
      <c r="AE703" s="4" t="s">
        <v>48</v>
      </c>
      <c r="AF703" s="4" t="s">
        <v>41</v>
      </c>
      <c r="AG703" s="4" t="s">
        <v>1330</v>
      </c>
    </row>
    <row r="704" spans="1:33" ht="16.5" customHeight="1" x14ac:dyDescent="0.2">
      <c r="A704" s="2" t="s">
        <v>31</v>
      </c>
      <c r="B704" s="19" t="s">
        <v>50</v>
      </c>
      <c r="C704" s="19"/>
      <c r="D704" s="19"/>
      <c r="E704" s="20" t="s">
        <v>33</v>
      </c>
      <c r="F704" s="20"/>
      <c r="G704" s="21" t="s">
        <v>1327</v>
      </c>
      <c r="H704" s="21"/>
      <c r="I704" s="21"/>
      <c r="J704" s="3" t="s">
        <v>35</v>
      </c>
      <c r="K704" s="4" t="s">
        <v>82</v>
      </c>
      <c r="L704" s="4" t="s">
        <v>68</v>
      </c>
      <c r="N704" s="21" t="s">
        <v>1632</v>
      </c>
      <c r="O704" s="21"/>
      <c r="P704" s="21" t="s">
        <v>1633</v>
      </c>
      <c r="Q704" s="21"/>
      <c r="R704" s="21"/>
      <c r="S704" s="3" t="s">
        <v>40</v>
      </c>
      <c r="T704" s="21" t="s">
        <v>41</v>
      </c>
      <c r="U704" s="21"/>
      <c r="V704" s="4" t="s">
        <v>59</v>
      </c>
      <c r="W704" s="4" t="s">
        <v>299</v>
      </c>
      <c r="X704" s="4" t="s">
        <v>294</v>
      </c>
      <c r="Y704" s="21" t="s">
        <v>56</v>
      </c>
      <c r="Z704" s="21"/>
      <c r="AA704" s="4" t="s">
        <v>46</v>
      </c>
      <c r="AB704" s="4" t="s">
        <v>47</v>
      </c>
      <c r="AC704" s="4" t="s">
        <v>57</v>
      </c>
      <c r="AD704" s="4" t="s">
        <v>98</v>
      </c>
      <c r="AE704" s="4" t="s">
        <v>48</v>
      </c>
      <c r="AF704" s="4" t="s">
        <v>41</v>
      </c>
      <c r="AG704" s="4" t="s">
        <v>1330</v>
      </c>
    </row>
    <row r="705" spans="1:33" ht="16.5" customHeight="1" x14ac:dyDescent="0.2">
      <c r="A705" s="2" t="s">
        <v>31</v>
      </c>
      <c r="B705" s="19" t="s">
        <v>50</v>
      </c>
      <c r="C705" s="19"/>
      <c r="D705" s="19"/>
      <c r="E705" s="20" t="s">
        <v>33</v>
      </c>
      <c r="F705" s="20"/>
      <c r="G705" s="21" t="s">
        <v>1327</v>
      </c>
      <c r="H705" s="21"/>
      <c r="I705" s="21"/>
      <c r="J705" s="3" t="s">
        <v>35</v>
      </c>
      <c r="K705" s="4" t="s">
        <v>99</v>
      </c>
      <c r="L705" s="4" t="s">
        <v>68</v>
      </c>
      <c r="N705" s="21" t="s">
        <v>1634</v>
      </c>
      <c r="O705" s="21"/>
      <c r="P705" s="21" t="s">
        <v>1635</v>
      </c>
      <c r="Q705" s="21"/>
      <c r="R705" s="21"/>
      <c r="S705" s="3" t="s">
        <v>40</v>
      </c>
      <c r="T705" s="21" t="s">
        <v>41</v>
      </c>
      <c r="U705" s="21"/>
      <c r="V705" s="4" t="s">
        <v>42</v>
      </c>
      <c r="W705" s="4" t="s">
        <v>182</v>
      </c>
      <c r="X705" s="4" t="s">
        <v>294</v>
      </c>
      <c r="Y705" s="21" t="s">
        <v>56</v>
      </c>
      <c r="Z705" s="21"/>
      <c r="AA705" s="4" t="s">
        <v>46</v>
      </c>
      <c r="AB705" s="4" t="s">
        <v>47</v>
      </c>
      <c r="AC705" s="4" t="s">
        <v>57</v>
      </c>
      <c r="AD705" s="4" t="s">
        <v>98</v>
      </c>
      <c r="AE705" s="4" t="s">
        <v>48</v>
      </c>
      <c r="AF705" s="4" t="s">
        <v>41</v>
      </c>
      <c r="AG705" s="4" t="s">
        <v>1330</v>
      </c>
    </row>
    <row r="706" spans="1:33" ht="16.5" customHeight="1" x14ac:dyDescent="0.2">
      <c r="A706" s="2" t="s">
        <v>31</v>
      </c>
      <c r="B706" s="19" t="s">
        <v>50</v>
      </c>
      <c r="C706" s="19"/>
      <c r="D706" s="19"/>
      <c r="E706" s="20" t="s">
        <v>33</v>
      </c>
      <c r="F706" s="20"/>
      <c r="G706" s="21" t="s">
        <v>1327</v>
      </c>
      <c r="H706" s="21"/>
      <c r="I706" s="21"/>
      <c r="J706" s="3" t="s">
        <v>35</v>
      </c>
      <c r="K706" s="4" t="s">
        <v>99</v>
      </c>
      <c r="L706" s="4" t="s">
        <v>445</v>
      </c>
      <c r="N706" s="21" t="s">
        <v>1636</v>
      </c>
      <c r="O706" s="21"/>
      <c r="P706" s="21" t="s">
        <v>1637</v>
      </c>
      <c r="Q706" s="21"/>
      <c r="R706" s="21"/>
      <c r="S706" s="3" t="s">
        <v>40</v>
      </c>
      <c r="T706" s="21" t="s">
        <v>41</v>
      </c>
      <c r="U706" s="21"/>
      <c r="V706" s="4" t="s">
        <v>42</v>
      </c>
      <c r="W706" s="4" t="s">
        <v>299</v>
      </c>
      <c r="X706" s="4" t="s">
        <v>300</v>
      </c>
      <c r="Y706" s="21" t="s">
        <v>56</v>
      </c>
      <c r="Z706" s="21"/>
      <c r="AA706" s="4" t="s">
        <v>46</v>
      </c>
      <c r="AB706" s="4" t="s">
        <v>47</v>
      </c>
      <c r="AC706" s="4" t="s">
        <v>57</v>
      </c>
      <c r="AD706" s="4" t="s">
        <v>449</v>
      </c>
      <c r="AE706" s="4" t="s">
        <v>48</v>
      </c>
      <c r="AF706" s="4" t="s">
        <v>41</v>
      </c>
      <c r="AG706" s="4" t="s">
        <v>1330</v>
      </c>
    </row>
    <row r="707" spans="1:33" ht="16.5" customHeight="1" x14ac:dyDescent="0.2">
      <c r="A707" s="2" t="s">
        <v>31</v>
      </c>
      <c r="B707" s="19" t="s">
        <v>50</v>
      </c>
      <c r="C707" s="19"/>
      <c r="D707" s="19"/>
      <c r="E707" s="20" t="s">
        <v>33</v>
      </c>
      <c r="F707" s="20"/>
      <c r="G707" s="21" t="s">
        <v>1327</v>
      </c>
      <c r="H707" s="21"/>
      <c r="I707" s="21"/>
      <c r="J707" s="3" t="s">
        <v>35</v>
      </c>
      <c r="K707" s="4" t="s">
        <v>99</v>
      </c>
      <c r="L707" s="4" t="s">
        <v>37</v>
      </c>
      <c r="N707" s="21" t="s">
        <v>1638</v>
      </c>
      <c r="O707" s="21"/>
      <c r="P707" s="21" t="s">
        <v>1639</v>
      </c>
      <c r="Q707" s="21"/>
      <c r="R707" s="21"/>
      <c r="S707" s="3" t="s">
        <v>40</v>
      </c>
      <c r="T707" s="21" t="s">
        <v>41</v>
      </c>
      <c r="U707" s="21"/>
      <c r="V707" s="4" t="s">
        <v>42</v>
      </c>
      <c r="W707" s="4" t="s">
        <v>381</v>
      </c>
      <c r="X707" s="4" t="s">
        <v>382</v>
      </c>
      <c r="Y707" s="21" t="s">
        <v>56</v>
      </c>
      <c r="Z707" s="21"/>
      <c r="AA707" s="4" t="s">
        <v>46</v>
      </c>
      <c r="AB707" s="4" t="s">
        <v>47</v>
      </c>
      <c r="AC707" s="4" t="s">
        <v>57</v>
      </c>
      <c r="AD707" s="4" t="s">
        <v>58</v>
      </c>
      <c r="AE707" s="4" t="s">
        <v>48</v>
      </c>
      <c r="AF707" s="4" t="s">
        <v>41</v>
      </c>
      <c r="AG707" s="4" t="s">
        <v>1330</v>
      </c>
    </row>
    <row r="708" spans="1:33" ht="16.5" customHeight="1" x14ac:dyDescent="0.2">
      <c r="A708" s="2" t="s">
        <v>31</v>
      </c>
      <c r="B708" s="19" t="s">
        <v>50</v>
      </c>
      <c r="C708" s="19"/>
      <c r="D708" s="19"/>
      <c r="E708" s="20" t="s">
        <v>33</v>
      </c>
      <c r="F708" s="20"/>
      <c r="G708" s="21" t="s">
        <v>1327</v>
      </c>
      <c r="H708" s="21"/>
      <c r="I708" s="21"/>
      <c r="J708" s="3" t="s">
        <v>35</v>
      </c>
      <c r="K708" s="4" t="s">
        <v>82</v>
      </c>
      <c r="L708" s="4" t="s">
        <v>37</v>
      </c>
      <c r="N708" s="21" t="s">
        <v>1640</v>
      </c>
      <c r="O708" s="21"/>
      <c r="P708" s="21" t="s">
        <v>1641</v>
      </c>
      <c r="Q708" s="21"/>
      <c r="R708" s="21"/>
      <c r="S708" s="3" t="s">
        <v>40</v>
      </c>
      <c r="T708" s="21" t="s">
        <v>41</v>
      </c>
      <c r="U708" s="21"/>
      <c r="V708" s="4" t="s">
        <v>42</v>
      </c>
      <c r="W708" s="4" t="s">
        <v>182</v>
      </c>
      <c r="X708" s="4" t="s">
        <v>294</v>
      </c>
      <c r="Y708" s="21" t="s">
        <v>56</v>
      </c>
      <c r="Z708" s="21"/>
      <c r="AA708" s="4" t="s">
        <v>46</v>
      </c>
      <c r="AB708" s="4" t="s">
        <v>47</v>
      </c>
      <c r="AC708" s="4" t="s">
        <v>57</v>
      </c>
      <c r="AD708" s="4" t="s">
        <v>58</v>
      </c>
      <c r="AE708" s="4" t="s">
        <v>48</v>
      </c>
      <c r="AF708" s="4" t="s">
        <v>41</v>
      </c>
      <c r="AG708" s="4" t="s">
        <v>1330</v>
      </c>
    </row>
    <row r="709" spans="1:33" ht="16.5" customHeight="1" x14ac:dyDescent="0.2">
      <c r="A709" s="2" t="s">
        <v>31</v>
      </c>
      <c r="B709" s="19" t="s">
        <v>50</v>
      </c>
      <c r="C709" s="19"/>
      <c r="D709" s="19"/>
      <c r="E709" s="20" t="s">
        <v>33</v>
      </c>
      <c r="F709" s="20"/>
      <c r="G709" s="21" t="s">
        <v>1327</v>
      </c>
      <c r="H709" s="21"/>
      <c r="I709" s="21"/>
      <c r="J709" s="3" t="s">
        <v>35</v>
      </c>
      <c r="K709" s="4" t="s">
        <v>99</v>
      </c>
      <c r="L709" s="4" t="s">
        <v>68</v>
      </c>
      <c r="N709" s="21" t="s">
        <v>1642</v>
      </c>
      <c r="O709" s="21"/>
      <c r="P709" s="21" t="s">
        <v>1643</v>
      </c>
      <c r="Q709" s="21"/>
      <c r="R709" s="21"/>
      <c r="S709" s="3" t="s">
        <v>40</v>
      </c>
      <c r="T709" s="21" t="s">
        <v>41</v>
      </c>
      <c r="U709" s="21"/>
      <c r="V709" s="4" t="s">
        <v>42</v>
      </c>
      <c r="W709" s="4" t="s">
        <v>77</v>
      </c>
      <c r="X709" s="4" t="s">
        <v>78</v>
      </c>
      <c r="Y709" s="21" t="s">
        <v>56</v>
      </c>
      <c r="Z709" s="21"/>
      <c r="AA709" s="4" t="s">
        <v>46</v>
      </c>
      <c r="AB709" s="4" t="s">
        <v>47</v>
      </c>
      <c r="AC709" s="4" t="s">
        <v>57</v>
      </c>
      <c r="AD709" s="4" t="s">
        <v>98</v>
      </c>
      <c r="AE709" s="4" t="s">
        <v>48</v>
      </c>
      <c r="AF709" s="4" t="s">
        <v>41</v>
      </c>
      <c r="AG709" s="4" t="s">
        <v>1330</v>
      </c>
    </row>
    <row r="710" spans="1:33" ht="16.5" customHeight="1" x14ac:dyDescent="0.2">
      <c r="A710" s="2" t="s">
        <v>31</v>
      </c>
      <c r="B710" s="19" t="s">
        <v>50</v>
      </c>
      <c r="C710" s="19"/>
      <c r="D710" s="19"/>
      <c r="E710" s="20" t="s">
        <v>33</v>
      </c>
      <c r="F710" s="20"/>
      <c r="G710" s="21" t="s">
        <v>1327</v>
      </c>
      <c r="H710" s="21"/>
      <c r="I710" s="21"/>
      <c r="J710" s="3" t="s">
        <v>35</v>
      </c>
      <c r="K710" s="4" t="s">
        <v>82</v>
      </c>
      <c r="L710" s="4" t="s">
        <v>37</v>
      </c>
      <c r="N710" s="21" t="s">
        <v>1644</v>
      </c>
      <c r="O710" s="21"/>
      <c r="P710" s="21" t="s">
        <v>1645</v>
      </c>
      <c r="Q710" s="21"/>
      <c r="R710" s="21"/>
      <c r="S710" s="3" t="s">
        <v>40</v>
      </c>
      <c r="T710" s="21" t="s">
        <v>41</v>
      </c>
      <c r="U710" s="21"/>
      <c r="V710" s="4" t="s">
        <v>42</v>
      </c>
      <c r="W710" s="4" t="s">
        <v>77</v>
      </c>
      <c r="X710" s="4" t="s">
        <v>78</v>
      </c>
      <c r="Y710" s="21" t="s">
        <v>56</v>
      </c>
      <c r="Z710" s="21"/>
      <c r="AA710" s="4" t="s">
        <v>46</v>
      </c>
      <c r="AB710" s="4" t="s">
        <v>47</v>
      </c>
      <c r="AC710" s="4" t="s">
        <v>57</v>
      </c>
      <c r="AD710" s="4" t="s">
        <v>58</v>
      </c>
      <c r="AE710" s="4" t="s">
        <v>48</v>
      </c>
      <c r="AF710" s="4" t="s">
        <v>41</v>
      </c>
      <c r="AG710" s="4" t="s">
        <v>1330</v>
      </c>
    </row>
    <row r="711" spans="1:33" ht="16.5" customHeight="1" x14ac:dyDescent="0.2">
      <c r="A711" s="2" t="s">
        <v>31</v>
      </c>
      <c r="B711" s="19" t="s">
        <v>50</v>
      </c>
      <c r="C711" s="19"/>
      <c r="D711" s="19"/>
      <c r="E711" s="20" t="s">
        <v>33</v>
      </c>
      <c r="F711" s="20"/>
      <c r="G711" s="21" t="s">
        <v>1327</v>
      </c>
      <c r="H711" s="21"/>
      <c r="I711" s="21"/>
      <c r="J711" s="3" t="s">
        <v>35</v>
      </c>
      <c r="K711" s="4" t="s">
        <v>87</v>
      </c>
      <c r="L711" s="4" t="s">
        <v>37</v>
      </c>
      <c r="N711" s="21" t="s">
        <v>1646</v>
      </c>
      <c r="O711" s="21"/>
      <c r="P711" s="21" t="s">
        <v>1647</v>
      </c>
      <c r="Q711" s="21"/>
      <c r="R711" s="21"/>
      <c r="S711" s="3" t="s">
        <v>40</v>
      </c>
      <c r="T711" s="21" t="s">
        <v>41</v>
      </c>
      <c r="U711" s="21"/>
      <c r="V711" s="4" t="s">
        <v>42</v>
      </c>
      <c r="W711" s="4" t="s">
        <v>77</v>
      </c>
      <c r="X711" s="4" t="s">
        <v>78</v>
      </c>
      <c r="Y711" s="21" t="s">
        <v>56</v>
      </c>
      <c r="Z711" s="21"/>
      <c r="AA711" s="4" t="s">
        <v>46</v>
      </c>
      <c r="AB711" s="4" t="s">
        <v>47</v>
      </c>
      <c r="AC711" s="4" t="s">
        <v>57</v>
      </c>
      <c r="AD711" s="4" t="s">
        <v>58</v>
      </c>
      <c r="AE711" s="4" t="s">
        <v>48</v>
      </c>
      <c r="AF711" s="4" t="s">
        <v>41</v>
      </c>
      <c r="AG711" s="4" t="s">
        <v>1330</v>
      </c>
    </row>
    <row r="712" spans="1:33" ht="16.5" customHeight="1" x14ac:dyDescent="0.2">
      <c r="A712" s="2" t="s">
        <v>31</v>
      </c>
      <c r="B712" s="19" t="s">
        <v>50</v>
      </c>
      <c r="C712" s="19"/>
      <c r="D712" s="19"/>
      <c r="E712" s="20" t="s">
        <v>33</v>
      </c>
      <c r="F712" s="20"/>
      <c r="G712" s="21" t="s">
        <v>1327</v>
      </c>
      <c r="H712" s="21"/>
      <c r="I712" s="21"/>
      <c r="J712" s="3" t="s">
        <v>35</v>
      </c>
      <c r="K712" s="4" t="s">
        <v>82</v>
      </c>
      <c r="L712" s="4" t="s">
        <v>37</v>
      </c>
      <c r="N712" s="21" t="s">
        <v>1648</v>
      </c>
      <c r="O712" s="21"/>
      <c r="P712" s="21" t="s">
        <v>1649</v>
      </c>
      <c r="Q712" s="21"/>
      <c r="R712" s="21"/>
      <c r="S712" s="3" t="s">
        <v>40</v>
      </c>
      <c r="T712" s="21" t="s">
        <v>41</v>
      </c>
      <c r="U712" s="21"/>
      <c r="V712" s="4" t="s">
        <v>42</v>
      </c>
      <c r="W712" s="4" t="s">
        <v>310</v>
      </c>
      <c r="X712" s="4" t="s">
        <v>311</v>
      </c>
      <c r="Y712" s="21" t="s">
        <v>56</v>
      </c>
      <c r="Z712" s="21"/>
      <c r="AA712" s="4" t="s">
        <v>46</v>
      </c>
      <c r="AB712" s="4" t="s">
        <v>47</v>
      </c>
      <c r="AC712" s="4" t="s">
        <v>57</v>
      </c>
      <c r="AD712" s="4" t="s">
        <v>58</v>
      </c>
      <c r="AE712" s="4" t="s">
        <v>48</v>
      </c>
      <c r="AF712" s="4" t="s">
        <v>41</v>
      </c>
      <c r="AG712" s="4" t="s">
        <v>1330</v>
      </c>
    </row>
    <row r="713" spans="1:33" ht="16.5" customHeight="1" x14ac:dyDescent="0.2">
      <c r="A713" s="2" t="s">
        <v>31</v>
      </c>
      <c r="B713" s="19" t="s">
        <v>50</v>
      </c>
      <c r="C713" s="19"/>
      <c r="D713" s="19"/>
      <c r="E713" s="20" t="s">
        <v>33</v>
      </c>
      <c r="F713" s="20"/>
      <c r="G713" s="21" t="s">
        <v>1327</v>
      </c>
      <c r="H713" s="21"/>
      <c r="I713" s="21"/>
      <c r="J713" s="3" t="s">
        <v>35</v>
      </c>
      <c r="K713" s="4" t="s">
        <v>99</v>
      </c>
      <c r="L713" s="4" t="s">
        <v>37</v>
      </c>
      <c r="N713" s="21" t="s">
        <v>1650</v>
      </c>
      <c r="O713" s="21"/>
      <c r="P713" s="21" t="s">
        <v>1651</v>
      </c>
      <c r="Q713" s="21"/>
      <c r="R713" s="21"/>
      <c r="S713" s="3" t="s">
        <v>40</v>
      </c>
      <c r="T713" s="21" t="s">
        <v>41</v>
      </c>
      <c r="U713" s="21"/>
      <c r="V713" s="4" t="s">
        <v>42</v>
      </c>
      <c r="W713" s="4" t="s">
        <v>310</v>
      </c>
      <c r="X713" s="4" t="s">
        <v>311</v>
      </c>
      <c r="Y713" s="21" t="s">
        <v>56</v>
      </c>
      <c r="Z713" s="21"/>
      <c r="AA713" s="4" t="s">
        <v>46</v>
      </c>
      <c r="AB713" s="4" t="s">
        <v>47</v>
      </c>
      <c r="AC713" s="4" t="s">
        <v>57</v>
      </c>
      <c r="AD713" s="4" t="s">
        <v>58</v>
      </c>
      <c r="AE713" s="4" t="s">
        <v>48</v>
      </c>
      <c r="AF713" s="4" t="s">
        <v>41</v>
      </c>
      <c r="AG713" s="4" t="s">
        <v>1330</v>
      </c>
    </row>
    <row r="714" spans="1:33" ht="16.5" customHeight="1" x14ac:dyDescent="0.2">
      <c r="A714" s="2" t="s">
        <v>31</v>
      </c>
      <c r="B714" s="19" t="s">
        <v>50</v>
      </c>
      <c r="C714" s="19"/>
      <c r="D714" s="19"/>
      <c r="E714" s="20" t="s">
        <v>33</v>
      </c>
      <c r="F714" s="20"/>
      <c r="G714" s="21" t="s">
        <v>1327</v>
      </c>
      <c r="H714" s="21"/>
      <c r="I714" s="21"/>
      <c r="J714" s="3" t="s">
        <v>35</v>
      </c>
      <c r="K714" s="4" t="s">
        <v>82</v>
      </c>
      <c r="L714" s="4" t="s">
        <v>37</v>
      </c>
      <c r="N714" s="21" t="s">
        <v>1652</v>
      </c>
      <c r="O714" s="21"/>
      <c r="P714" s="21" t="s">
        <v>1653</v>
      </c>
      <c r="Q714" s="21"/>
      <c r="R714" s="21"/>
      <c r="S714" s="3" t="s">
        <v>40</v>
      </c>
      <c r="T714" s="21" t="s">
        <v>41</v>
      </c>
      <c r="U714" s="21"/>
      <c r="V714" s="4" t="s">
        <v>42</v>
      </c>
      <c r="W714" s="4" t="s">
        <v>310</v>
      </c>
      <c r="X714" s="4" t="s">
        <v>311</v>
      </c>
      <c r="Y714" s="21" t="s">
        <v>56</v>
      </c>
      <c r="Z714" s="21"/>
      <c r="AA714" s="4" t="s">
        <v>46</v>
      </c>
      <c r="AB714" s="4" t="s">
        <v>47</v>
      </c>
      <c r="AC714" s="4" t="s">
        <v>57</v>
      </c>
      <c r="AD714" s="4" t="s">
        <v>58</v>
      </c>
      <c r="AE714" s="4" t="s">
        <v>48</v>
      </c>
      <c r="AF714" s="4" t="s">
        <v>41</v>
      </c>
      <c r="AG714" s="4" t="s">
        <v>1330</v>
      </c>
    </row>
    <row r="715" spans="1:33" ht="16.5" customHeight="1" x14ac:dyDescent="0.2">
      <c r="A715" s="2" t="s">
        <v>31</v>
      </c>
      <c r="B715" s="19" t="s">
        <v>50</v>
      </c>
      <c r="C715" s="19"/>
      <c r="D715" s="19"/>
      <c r="E715" s="20" t="s">
        <v>33</v>
      </c>
      <c r="F715" s="20"/>
      <c r="G715" s="21" t="s">
        <v>1327</v>
      </c>
      <c r="H715" s="21"/>
      <c r="I715" s="21"/>
      <c r="J715" s="3" t="s">
        <v>35</v>
      </c>
      <c r="K715" s="4" t="s">
        <v>99</v>
      </c>
      <c r="L715" s="4" t="s">
        <v>179</v>
      </c>
      <c r="N715" s="21" t="s">
        <v>1654</v>
      </c>
      <c r="O715" s="21"/>
      <c r="P715" s="21" t="s">
        <v>1655</v>
      </c>
      <c r="Q715" s="21"/>
      <c r="R715" s="21"/>
      <c r="S715" s="3" t="s">
        <v>40</v>
      </c>
      <c r="T715" s="21" t="s">
        <v>41</v>
      </c>
      <c r="U715" s="21"/>
      <c r="V715" s="4" t="s">
        <v>59</v>
      </c>
      <c r="W715" s="4" t="s">
        <v>85</v>
      </c>
      <c r="X715" s="4" t="s">
        <v>95</v>
      </c>
      <c r="Y715" s="21" t="s">
        <v>56</v>
      </c>
      <c r="Z715" s="21"/>
      <c r="AA715" s="4" t="s">
        <v>46</v>
      </c>
      <c r="AB715" s="4" t="s">
        <v>47</v>
      </c>
      <c r="AC715" s="4" t="s">
        <v>57</v>
      </c>
      <c r="AD715" s="4" t="s">
        <v>752</v>
      </c>
      <c r="AE715" s="4" t="s">
        <v>48</v>
      </c>
      <c r="AF715" s="4" t="s">
        <v>41</v>
      </c>
      <c r="AG715" s="4" t="s">
        <v>1330</v>
      </c>
    </row>
    <row r="716" spans="1:33" ht="16.5" customHeight="1" x14ac:dyDescent="0.2">
      <c r="A716" s="2" t="s">
        <v>31</v>
      </c>
      <c r="B716" s="19" t="s">
        <v>50</v>
      </c>
      <c r="C716" s="19"/>
      <c r="D716" s="19"/>
      <c r="E716" s="20" t="s">
        <v>33</v>
      </c>
      <c r="F716" s="20"/>
      <c r="G716" s="21" t="s">
        <v>1327</v>
      </c>
      <c r="H716" s="21"/>
      <c r="I716" s="21"/>
      <c r="J716" s="3" t="s">
        <v>35</v>
      </c>
      <c r="K716" s="4" t="s">
        <v>82</v>
      </c>
      <c r="L716" s="4" t="s">
        <v>37</v>
      </c>
      <c r="N716" s="21" t="s">
        <v>1656</v>
      </c>
      <c r="O716" s="21"/>
      <c r="P716" s="21" t="s">
        <v>1657</v>
      </c>
      <c r="Q716" s="21"/>
      <c r="R716" s="21"/>
      <c r="S716" s="3" t="s">
        <v>40</v>
      </c>
      <c r="T716" s="21" t="s">
        <v>41</v>
      </c>
      <c r="U716" s="21"/>
      <c r="V716" s="4" t="s">
        <v>42</v>
      </c>
      <c r="W716" s="4" t="s">
        <v>94</v>
      </c>
      <c r="X716" s="4" t="s">
        <v>95</v>
      </c>
      <c r="Y716" s="21" t="s">
        <v>56</v>
      </c>
      <c r="Z716" s="21"/>
      <c r="AA716" s="4" t="s">
        <v>46</v>
      </c>
      <c r="AB716" s="4" t="s">
        <v>47</v>
      </c>
      <c r="AC716" s="4" t="s">
        <v>57</v>
      </c>
      <c r="AD716" s="4" t="s">
        <v>58</v>
      </c>
      <c r="AE716" s="4" t="s">
        <v>48</v>
      </c>
      <c r="AF716" s="4" t="s">
        <v>41</v>
      </c>
      <c r="AG716" s="4" t="s">
        <v>1330</v>
      </c>
    </row>
    <row r="717" spans="1:33" ht="16.5" customHeight="1" x14ac:dyDescent="0.2">
      <c r="A717" s="2" t="s">
        <v>31</v>
      </c>
      <c r="B717" s="19" t="s">
        <v>50</v>
      </c>
      <c r="C717" s="19"/>
      <c r="D717" s="19"/>
      <c r="E717" s="20" t="s">
        <v>33</v>
      </c>
      <c r="F717" s="20"/>
      <c r="G717" s="21" t="s">
        <v>1327</v>
      </c>
      <c r="H717" s="21"/>
      <c r="I717" s="21"/>
      <c r="J717" s="3" t="s">
        <v>35</v>
      </c>
      <c r="K717" s="4" t="s">
        <v>82</v>
      </c>
      <c r="L717" s="4" t="s">
        <v>37</v>
      </c>
      <c r="N717" s="21" t="s">
        <v>1658</v>
      </c>
      <c r="O717" s="21"/>
      <c r="P717" s="21" t="s">
        <v>1659</v>
      </c>
      <c r="Q717" s="21"/>
      <c r="R717" s="21"/>
      <c r="S717" s="3" t="s">
        <v>40</v>
      </c>
      <c r="T717" s="21" t="s">
        <v>41</v>
      </c>
      <c r="U717" s="21"/>
      <c r="V717" s="4" t="s">
        <v>42</v>
      </c>
      <c r="W717" s="4" t="s">
        <v>104</v>
      </c>
      <c r="X717" s="4" t="s">
        <v>105</v>
      </c>
      <c r="Y717" s="21" t="s">
        <v>56</v>
      </c>
      <c r="Z717" s="21"/>
      <c r="AA717" s="4" t="s">
        <v>46</v>
      </c>
      <c r="AB717" s="4" t="s">
        <v>47</v>
      </c>
      <c r="AC717" s="4" t="s">
        <v>57</v>
      </c>
      <c r="AD717" s="4" t="s">
        <v>58</v>
      </c>
      <c r="AE717" s="4" t="s">
        <v>48</v>
      </c>
      <c r="AF717" s="4" t="s">
        <v>41</v>
      </c>
      <c r="AG717" s="4" t="s">
        <v>1330</v>
      </c>
    </row>
    <row r="718" spans="1:33" ht="16.5" customHeight="1" x14ac:dyDescent="0.2">
      <c r="A718" s="2" t="s">
        <v>31</v>
      </c>
      <c r="B718" s="19" t="s">
        <v>50</v>
      </c>
      <c r="C718" s="19"/>
      <c r="D718" s="19"/>
      <c r="E718" s="20" t="s">
        <v>33</v>
      </c>
      <c r="F718" s="20"/>
      <c r="G718" s="21" t="s">
        <v>1327</v>
      </c>
      <c r="H718" s="21"/>
      <c r="I718" s="21"/>
      <c r="J718" s="3" t="s">
        <v>35</v>
      </c>
      <c r="K718" s="4" t="s">
        <v>82</v>
      </c>
      <c r="L718" s="4" t="s">
        <v>37</v>
      </c>
      <c r="N718" s="21" t="s">
        <v>1660</v>
      </c>
      <c r="O718" s="21"/>
      <c r="P718" s="21" t="s">
        <v>1661</v>
      </c>
      <c r="Q718" s="21"/>
      <c r="R718" s="21"/>
      <c r="S718" s="3" t="s">
        <v>40</v>
      </c>
      <c r="T718" s="21" t="s">
        <v>41</v>
      </c>
      <c r="U718" s="21"/>
      <c r="V718" s="4" t="s">
        <v>42</v>
      </c>
      <c r="W718" s="4" t="s">
        <v>54</v>
      </c>
      <c r="X718" s="4" t="s">
        <v>55</v>
      </c>
      <c r="Y718" s="21" t="s">
        <v>56</v>
      </c>
      <c r="Z718" s="21"/>
      <c r="AA718" s="4" t="s">
        <v>46</v>
      </c>
      <c r="AB718" s="4" t="s">
        <v>47</v>
      </c>
      <c r="AC718" s="4" t="s">
        <v>57</v>
      </c>
      <c r="AD718" s="4" t="s">
        <v>58</v>
      </c>
      <c r="AE718" s="4" t="s">
        <v>48</v>
      </c>
      <c r="AF718" s="4" t="s">
        <v>41</v>
      </c>
      <c r="AG718" s="4" t="s">
        <v>1330</v>
      </c>
    </row>
    <row r="719" spans="1:33" ht="16.5" customHeight="1" x14ac:dyDescent="0.2">
      <c r="A719" s="2" t="s">
        <v>31</v>
      </c>
      <c r="B719" s="19" t="s">
        <v>50</v>
      </c>
      <c r="C719" s="19"/>
      <c r="D719" s="19"/>
      <c r="E719" s="20" t="s">
        <v>33</v>
      </c>
      <c r="F719" s="20"/>
      <c r="G719" s="21" t="s">
        <v>1327</v>
      </c>
      <c r="H719" s="21"/>
      <c r="I719" s="21"/>
      <c r="J719" s="3" t="s">
        <v>35</v>
      </c>
      <c r="K719" s="4" t="s">
        <v>82</v>
      </c>
      <c r="L719" s="4" t="s">
        <v>37</v>
      </c>
      <c r="N719" s="21" t="s">
        <v>1662</v>
      </c>
      <c r="O719" s="21"/>
      <c r="P719" s="21" t="s">
        <v>1663</v>
      </c>
      <c r="Q719" s="21"/>
      <c r="R719" s="21"/>
      <c r="S719" s="3" t="s">
        <v>40</v>
      </c>
      <c r="T719" s="21" t="s">
        <v>41</v>
      </c>
      <c r="U719" s="21"/>
      <c r="V719" s="4" t="s">
        <v>42</v>
      </c>
      <c r="W719" s="4" t="s">
        <v>54</v>
      </c>
      <c r="X719" s="4" t="s">
        <v>55</v>
      </c>
      <c r="Y719" s="21" t="s">
        <v>56</v>
      </c>
      <c r="Z719" s="21"/>
      <c r="AA719" s="4" t="s">
        <v>46</v>
      </c>
      <c r="AB719" s="4" t="s">
        <v>47</v>
      </c>
      <c r="AC719" s="4" t="s">
        <v>57</v>
      </c>
      <c r="AD719" s="4" t="s">
        <v>58</v>
      </c>
      <c r="AE719" s="4" t="s">
        <v>48</v>
      </c>
      <c r="AF719" s="4" t="s">
        <v>41</v>
      </c>
      <c r="AG719" s="4" t="s">
        <v>1330</v>
      </c>
    </row>
    <row r="720" spans="1:33" ht="16.5" customHeight="1" x14ac:dyDescent="0.2">
      <c r="A720" s="2" t="s">
        <v>31</v>
      </c>
      <c r="B720" s="19" t="s">
        <v>50</v>
      </c>
      <c r="C720" s="19"/>
      <c r="D720" s="19"/>
      <c r="E720" s="20" t="s">
        <v>33</v>
      </c>
      <c r="F720" s="20"/>
      <c r="G720" s="21" t="s">
        <v>1327</v>
      </c>
      <c r="H720" s="21"/>
      <c r="I720" s="21"/>
      <c r="J720" s="3" t="s">
        <v>35</v>
      </c>
      <c r="K720" s="4" t="s">
        <v>123</v>
      </c>
      <c r="L720" s="4" t="s">
        <v>37</v>
      </c>
      <c r="N720" s="21" t="s">
        <v>1664</v>
      </c>
      <c r="O720" s="21"/>
      <c r="P720" s="21" t="s">
        <v>1665</v>
      </c>
      <c r="Q720" s="21"/>
      <c r="R720" s="21"/>
      <c r="S720" s="3" t="s">
        <v>40</v>
      </c>
      <c r="T720" s="21" t="s">
        <v>41</v>
      </c>
      <c r="U720" s="21"/>
      <c r="V720" s="4" t="s">
        <v>42</v>
      </c>
      <c r="W720" s="4" t="s">
        <v>54</v>
      </c>
      <c r="X720" s="4" t="s">
        <v>55</v>
      </c>
      <c r="Y720" s="21" t="s">
        <v>65</v>
      </c>
      <c r="Z720" s="21"/>
      <c r="AA720" s="4" t="s">
        <v>46</v>
      </c>
      <c r="AB720" s="4" t="s">
        <v>47</v>
      </c>
      <c r="AC720" s="4" t="s">
        <v>66</v>
      </c>
      <c r="AD720" s="4" t="s">
        <v>73</v>
      </c>
      <c r="AE720" s="4" t="s">
        <v>48</v>
      </c>
      <c r="AF720" s="4" t="s">
        <v>41</v>
      </c>
      <c r="AG720" s="4" t="s">
        <v>1330</v>
      </c>
    </row>
    <row r="721" spans="1:33" ht="16.5" customHeight="1" x14ac:dyDescent="0.2">
      <c r="A721" s="2" t="s">
        <v>31</v>
      </c>
      <c r="B721" s="19" t="s">
        <v>50</v>
      </c>
      <c r="C721" s="19"/>
      <c r="D721" s="19"/>
      <c r="E721" s="20" t="s">
        <v>33</v>
      </c>
      <c r="F721" s="20"/>
      <c r="G721" s="21" t="s">
        <v>1327</v>
      </c>
      <c r="H721" s="21"/>
      <c r="I721" s="21"/>
      <c r="J721" s="3" t="s">
        <v>35</v>
      </c>
      <c r="K721" s="4" t="s">
        <v>82</v>
      </c>
      <c r="L721" s="4" t="s">
        <v>37</v>
      </c>
      <c r="N721" s="21" t="s">
        <v>1666</v>
      </c>
      <c r="O721" s="21"/>
      <c r="P721" s="21" t="s">
        <v>1667</v>
      </c>
      <c r="Q721" s="21"/>
      <c r="R721" s="21"/>
      <c r="S721" s="3" t="s">
        <v>40</v>
      </c>
      <c r="T721" s="21" t="s">
        <v>41</v>
      </c>
      <c r="U721" s="21"/>
      <c r="V721" s="4" t="s">
        <v>42</v>
      </c>
      <c r="W721" s="4" t="s">
        <v>54</v>
      </c>
      <c r="X721" s="4" t="s">
        <v>55</v>
      </c>
      <c r="Y721" s="21" t="s">
        <v>56</v>
      </c>
      <c r="Z721" s="21"/>
      <c r="AA721" s="4" t="s">
        <v>46</v>
      </c>
      <c r="AB721" s="4" t="s">
        <v>47</v>
      </c>
      <c r="AC721" s="4" t="s">
        <v>57</v>
      </c>
      <c r="AD721" s="4" t="s">
        <v>58</v>
      </c>
      <c r="AE721" s="4" t="s">
        <v>48</v>
      </c>
      <c r="AF721" s="4" t="s">
        <v>41</v>
      </c>
      <c r="AG721" s="4" t="s">
        <v>1330</v>
      </c>
    </row>
    <row r="722" spans="1:33" ht="16.5" customHeight="1" x14ac:dyDescent="0.2">
      <c r="A722" s="2" t="s">
        <v>31</v>
      </c>
      <c r="B722" s="19" t="s">
        <v>50</v>
      </c>
      <c r="C722" s="19"/>
      <c r="D722" s="19"/>
      <c r="E722" s="20" t="s">
        <v>33</v>
      </c>
      <c r="F722" s="20"/>
      <c r="G722" s="21" t="s">
        <v>1327</v>
      </c>
      <c r="H722" s="21"/>
      <c r="I722" s="21"/>
      <c r="J722" s="3" t="s">
        <v>35</v>
      </c>
      <c r="K722" s="4" t="s">
        <v>82</v>
      </c>
      <c r="L722" s="4" t="s">
        <v>37</v>
      </c>
      <c r="N722" s="21" t="s">
        <v>1666</v>
      </c>
      <c r="O722" s="21"/>
      <c r="P722" s="21" t="s">
        <v>1667</v>
      </c>
      <c r="Q722" s="21"/>
      <c r="R722" s="21"/>
      <c r="S722" s="3" t="s">
        <v>40</v>
      </c>
      <c r="T722" s="21" t="s">
        <v>41</v>
      </c>
      <c r="U722" s="21"/>
      <c r="V722" s="4" t="s">
        <v>59</v>
      </c>
      <c r="W722" s="4" t="s">
        <v>54</v>
      </c>
      <c r="X722" s="4" t="s">
        <v>60</v>
      </c>
      <c r="Y722" s="21" t="s">
        <v>56</v>
      </c>
      <c r="Z722" s="21"/>
      <c r="AA722" s="4" t="s">
        <v>46</v>
      </c>
      <c r="AB722" s="4" t="s">
        <v>47</v>
      </c>
      <c r="AC722" s="4" t="s">
        <v>57</v>
      </c>
      <c r="AD722" s="4" t="s">
        <v>58</v>
      </c>
      <c r="AE722" s="4" t="s">
        <v>48</v>
      </c>
      <c r="AF722" s="4" t="s">
        <v>41</v>
      </c>
      <c r="AG722" s="4" t="s">
        <v>1330</v>
      </c>
    </row>
    <row r="723" spans="1:33" ht="16.5" customHeight="1" x14ac:dyDescent="0.2">
      <c r="A723" s="2" t="s">
        <v>31</v>
      </c>
      <c r="B723" s="19" t="s">
        <v>50</v>
      </c>
      <c r="C723" s="19"/>
      <c r="D723" s="19"/>
      <c r="E723" s="20" t="s">
        <v>33</v>
      </c>
      <c r="F723" s="20"/>
      <c r="G723" s="21" t="s">
        <v>1327</v>
      </c>
      <c r="H723" s="21"/>
      <c r="I723" s="21"/>
      <c r="J723" s="3" t="s">
        <v>35</v>
      </c>
      <c r="K723" s="4" t="s">
        <v>82</v>
      </c>
      <c r="L723" s="4" t="s">
        <v>179</v>
      </c>
      <c r="N723" s="21" t="s">
        <v>1666</v>
      </c>
      <c r="O723" s="21"/>
      <c r="P723" s="21" t="s">
        <v>1667</v>
      </c>
      <c r="Q723" s="21"/>
      <c r="R723" s="21"/>
      <c r="S723" s="3" t="s">
        <v>40</v>
      </c>
      <c r="T723" s="21" t="s">
        <v>41</v>
      </c>
      <c r="U723" s="21"/>
      <c r="V723" s="4" t="s">
        <v>59</v>
      </c>
      <c r="W723" s="4" t="s">
        <v>54</v>
      </c>
      <c r="X723" s="4" t="s">
        <v>60</v>
      </c>
      <c r="Y723" s="21" t="s">
        <v>56</v>
      </c>
      <c r="Z723" s="21"/>
      <c r="AA723" s="4" t="s">
        <v>46</v>
      </c>
      <c r="AB723" s="4" t="s">
        <v>47</v>
      </c>
      <c r="AC723" s="4" t="s">
        <v>57</v>
      </c>
      <c r="AD723" s="4" t="s">
        <v>752</v>
      </c>
      <c r="AE723" s="4" t="s">
        <v>48</v>
      </c>
      <c r="AF723" s="4" t="s">
        <v>41</v>
      </c>
      <c r="AG723" s="4" t="s">
        <v>1330</v>
      </c>
    </row>
    <row r="724" spans="1:33" ht="16.5" customHeight="1" x14ac:dyDescent="0.2">
      <c r="A724" s="2" t="s">
        <v>31</v>
      </c>
      <c r="B724" s="19" t="s">
        <v>50</v>
      </c>
      <c r="C724" s="19"/>
      <c r="D724" s="19"/>
      <c r="E724" s="20" t="s">
        <v>33</v>
      </c>
      <c r="F724" s="20"/>
      <c r="G724" s="21" t="s">
        <v>1327</v>
      </c>
      <c r="H724" s="21"/>
      <c r="I724" s="21"/>
      <c r="J724" s="3" t="s">
        <v>35</v>
      </c>
      <c r="K724" s="4" t="s">
        <v>661</v>
      </c>
      <c r="L724" s="4" t="s">
        <v>37</v>
      </c>
      <c r="N724" s="21" t="s">
        <v>1668</v>
      </c>
      <c r="O724" s="21"/>
      <c r="P724" s="21" t="s">
        <v>1669</v>
      </c>
      <c r="Q724" s="21"/>
      <c r="R724" s="21"/>
      <c r="S724" s="3" t="s">
        <v>40</v>
      </c>
      <c r="T724" s="21" t="s">
        <v>41</v>
      </c>
      <c r="U724" s="21"/>
      <c r="V724" s="4" t="s">
        <v>42</v>
      </c>
      <c r="W724" s="4" t="s">
        <v>381</v>
      </c>
      <c r="X724" s="4" t="s">
        <v>382</v>
      </c>
      <c r="Y724" s="21" t="s">
        <v>198</v>
      </c>
      <c r="Z724" s="21"/>
      <c r="AA724" s="4" t="s">
        <v>46</v>
      </c>
      <c r="AB724" s="4" t="s">
        <v>47</v>
      </c>
      <c r="AC724" s="4" t="s">
        <v>139</v>
      </c>
      <c r="AD724" s="4" t="s">
        <v>140</v>
      </c>
      <c r="AE724" s="4" t="s">
        <v>48</v>
      </c>
      <c r="AF724" s="4" t="s">
        <v>41</v>
      </c>
      <c r="AG724" s="4" t="s">
        <v>1330</v>
      </c>
    </row>
    <row r="725" spans="1:33" ht="16.5" customHeight="1" x14ac:dyDescent="0.2">
      <c r="A725" s="2" t="s">
        <v>31</v>
      </c>
      <c r="B725" s="19" t="s">
        <v>50</v>
      </c>
      <c r="C725" s="19"/>
      <c r="D725" s="19"/>
      <c r="E725" s="20" t="s">
        <v>33</v>
      </c>
      <c r="F725" s="20"/>
      <c r="G725" s="21" t="s">
        <v>1327</v>
      </c>
      <c r="H725" s="21"/>
      <c r="I725" s="21"/>
      <c r="J725" s="3" t="s">
        <v>35</v>
      </c>
      <c r="K725" s="4" t="s">
        <v>82</v>
      </c>
      <c r="L725" s="4" t="s">
        <v>68</v>
      </c>
      <c r="N725" s="21" t="s">
        <v>1670</v>
      </c>
      <c r="O725" s="21"/>
      <c r="P725" s="21" t="s">
        <v>1671</v>
      </c>
      <c r="Q725" s="21"/>
      <c r="R725" s="21"/>
      <c r="S725" s="3" t="s">
        <v>40</v>
      </c>
      <c r="T725" s="21" t="s">
        <v>41</v>
      </c>
      <c r="U725" s="21"/>
      <c r="V725" s="4" t="s">
        <v>59</v>
      </c>
      <c r="W725" s="4" t="s">
        <v>54</v>
      </c>
      <c r="X725" s="4" t="s">
        <v>60</v>
      </c>
      <c r="Y725" s="21" t="s">
        <v>56</v>
      </c>
      <c r="Z725" s="21"/>
      <c r="AA725" s="4" t="s">
        <v>46</v>
      </c>
      <c r="AB725" s="4" t="s">
        <v>47</v>
      </c>
      <c r="AC725" s="4" t="s">
        <v>57</v>
      </c>
      <c r="AD725" s="4" t="s">
        <v>98</v>
      </c>
      <c r="AE725" s="4" t="s">
        <v>48</v>
      </c>
      <c r="AF725" s="4" t="s">
        <v>41</v>
      </c>
      <c r="AG725" s="4" t="s">
        <v>1330</v>
      </c>
    </row>
    <row r="726" spans="1:33" ht="16.5" customHeight="1" x14ac:dyDescent="0.2">
      <c r="A726" s="2" t="s">
        <v>31</v>
      </c>
      <c r="B726" s="19" t="s">
        <v>50</v>
      </c>
      <c r="C726" s="19"/>
      <c r="D726" s="19"/>
      <c r="E726" s="20" t="s">
        <v>33</v>
      </c>
      <c r="F726" s="20"/>
      <c r="G726" s="21" t="s">
        <v>1327</v>
      </c>
      <c r="H726" s="21"/>
      <c r="I726" s="21"/>
      <c r="J726" s="3" t="s">
        <v>35</v>
      </c>
      <c r="K726" s="4" t="s">
        <v>82</v>
      </c>
      <c r="L726" s="4" t="s">
        <v>37</v>
      </c>
      <c r="N726" s="21" t="s">
        <v>1672</v>
      </c>
      <c r="O726" s="21"/>
      <c r="P726" s="21" t="s">
        <v>1673</v>
      </c>
      <c r="Q726" s="21"/>
      <c r="R726" s="21"/>
      <c r="S726" s="3" t="s">
        <v>40</v>
      </c>
      <c r="T726" s="21" t="s">
        <v>41</v>
      </c>
      <c r="U726" s="21"/>
      <c r="V726" s="4" t="s">
        <v>42</v>
      </c>
      <c r="W726" s="4" t="s">
        <v>381</v>
      </c>
      <c r="X726" s="4" t="s">
        <v>382</v>
      </c>
      <c r="Y726" s="21" t="s">
        <v>56</v>
      </c>
      <c r="Z726" s="21"/>
      <c r="AA726" s="4" t="s">
        <v>46</v>
      </c>
      <c r="AB726" s="4" t="s">
        <v>47</v>
      </c>
      <c r="AC726" s="4" t="s">
        <v>57</v>
      </c>
      <c r="AD726" s="4" t="s">
        <v>58</v>
      </c>
      <c r="AE726" s="4" t="s">
        <v>48</v>
      </c>
      <c r="AF726" s="4" t="s">
        <v>41</v>
      </c>
      <c r="AG726" s="4" t="s">
        <v>1330</v>
      </c>
    </row>
    <row r="727" spans="1:33" ht="16.5" customHeight="1" x14ac:dyDescent="0.2">
      <c r="A727" s="2" t="s">
        <v>31</v>
      </c>
      <c r="B727" s="19" t="s">
        <v>50</v>
      </c>
      <c r="C727" s="19"/>
      <c r="D727" s="19"/>
      <c r="E727" s="20" t="s">
        <v>33</v>
      </c>
      <c r="F727" s="20"/>
      <c r="G727" s="21" t="s">
        <v>1327</v>
      </c>
      <c r="H727" s="21"/>
      <c r="I727" s="21"/>
      <c r="J727" s="3" t="s">
        <v>35</v>
      </c>
      <c r="K727" s="4" t="s">
        <v>82</v>
      </c>
      <c r="L727" s="4" t="s">
        <v>37</v>
      </c>
      <c r="N727" s="21" t="s">
        <v>1674</v>
      </c>
      <c r="O727" s="21"/>
      <c r="P727" s="21" t="s">
        <v>1675</v>
      </c>
      <c r="Q727" s="21"/>
      <c r="R727" s="21"/>
      <c r="S727" s="3" t="s">
        <v>40</v>
      </c>
      <c r="T727" s="21" t="s">
        <v>41</v>
      </c>
      <c r="U727" s="21"/>
      <c r="V727" s="4" t="s">
        <v>42</v>
      </c>
      <c r="W727" s="4" t="s">
        <v>54</v>
      </c>
      <c r="X727" s="4" t="s">
        <v>55</v>
      </c>
      <c r="Y727" s="21" t="s">
        <v>56</v>
      </c>
      <c r="Z727" s="21"/>
      <c r="AA727" s="4" t="s">
        <v>46</v>
      </c>
      <c r="AB727" s="4" t="s">
        <v>47</v>
      </c>
      <c r="AC727" s="4" t="s">
        <v>57</v>
      </c>
      <c r="AD727" s="4" t="s">
        <v>58</v>
      </c>
      <c r="AE727" s="4" t="s">
        <v>48</v>
      </c>
      <c r="AF727" s="4" t="s">
        <v>41</v>
      </c>
      <c r="AG727" s="4" t="s">
        <v>1330</v>
      </c>
    </row>
    <row r="728" spans="1:33" ht="16.5" customHeight="1" x14ac:dyDescent="0.2">
      <c r="A728" s="2" t="s">
        <v>31</v>
      </c>
      <c r="B728" s="19" t="s">
        <v>50</v>
      </c>
      <c r="C728" s="19"/>
      <c r="D728" s="19"/>
      <c r="E728" s="20" t="s">
        <v>33</v>
      </c>
      <c r="F728" s="20"/>
      <c r="G728" s="21" t="s">
        <v>1327</v>
      </c>
      <c r="H728" s="21"/>
      <c r="I728" s="21"/>
      <c r="J728" s="3" t="s">
        <v>35</v>
      </c>
      <c r="K728" s="4" t="s">
        <v>99</v>
      </c>
      <c r="L728" s="4" t="s">
        <v>37</v>
      </c>
      <c r="N728" s="21" t="s">
        <v>1676</v>
      </c>
      <c r="O728" s="21"/>
      <c r="P728" s="21" t="s">
        <v>1677</v>
      </c>
      <c r="Q728" s="21"/>
      <c r="R728" s="21"/>
      <c r="S728" s="3" t="s">
        <v>40</v>
      </c>
      <c r="T728" s="21" t="s">
        <v>41</v>
      </c>
      <c r="U728" s="21"/>
      <c r="V728" s="4" t="s">
        <v>42</v>
      </c>
      <c r="W728" s="4" t="s">
        <v>54</v>
      </c>
      <c r="X728" s="4" t="s">
        <v>55</v>
      </c>
      <c r="Y728" s="21" t="s">
        <v>56</v>
      </c>
      <c r="Z728" s="21"/>
      <c r="AA728" s="4" t="s">
        <v>46</v>
      </c>
      <c r="AB728" s="4" t="s">
        <v>47</v>
      </c>
      <c r="AC728" s="4" t="s">
        <v>57</v>
      </c>
      <c r="AD728" s="4" t="s">
        <v>58</v>
      </c>
      <c r="AE728" s="4" t="s">
        <v>48</v>
      </c>
      <c r="AF728" s="4" t="s">
        <v>41</v>
      </c>
      <c r="AG728" s="4" t="s">
        <v>1330</v>
      </c>
    </row>
    <row r="729" spans="1:33" ht="16.5" customHeight="1" x14ac:dyDescent="0.2">
      <c r="A729" s="2" t="s">
        <v>31</v>
      </c>
      <c r="B729" s="19" t="s">
        <v>50</v>
      </c>
      <c r="C729" s="19"/>
      <c r="D729" s="19"/>
      <c r="E729" s="20" t="s">
        <v>33</v>
      </c>
      <c r="F729" s="20"/>
      <c r="G729" s="21" t="s">
        <v>1327</v>
      </c>
      <c r="H729" s="21"/>
      <c r="I729" s="21"/>
      <c r="J729" s="3" t="s">
        <v>35</v>
      </c>
      <c r="K729" s="4" t="s">
        <v>82</v>
      </c>
      <c r="L729" s="4" t="s">
        <v>68</v>
      </c>
      <c r="N729" s="21" t="s">
        <v>1678</v>
      </c>
      <c r="O729" s="21"/>
      <c r="P729" s="21" t="s">
        <v>1679</v>
      </c>
      <c r="Q729" s="21"/>
      <c r="R729" s="21"/>
      <c r="S729" s="3" t="s">
        <v>40</v>
      </c>
      <c r="T729" s="21" t="s">
        <v>41</v>
      </c>
      <c r="U729" s="21"/>
      <c r="V729" s="4" t="s">
        <v>42</v>
      </c>
      <c r="W729" s="4" t="s">
        <v>54</v>
      </c>
      <c r="X729" s="4" t="s">
        <v>55</v>
      </c>
      <c r="Y729" s="21" t="s">
        <v>56</v>
      </c>
      <c r="Z729" s="21"/>
      <c r="AA729" s="4" t="s">
        <v>46</v>
      </c>
      <c r="AB729" s="4" t="s">
        <v>47</v>
      </c>
      <c r="AC729" s="4" t="s">
        <v>57</v>
      </c>
      <c r="AD729" s="4" t="s">
        <v>98</v>
      </c>
      <c r="AE729" s="4" t="s">
        <v>48</v>
      </c>
      <c r="AF729" s="4" t="s">
        <v>41</v>
      </c>
      <c r="AG729" s="4" t="s">
        <v>1330</v>
      </c>
    </row>
    <row r="730" spans="1:33" ht="16.5" customHeight="1" x14ac:dyDescent="0.2">
      <c r="A730" s="2" t="s">
        <v>31</v>
      </c>
      <c r="B730" s="19" t="s">
        <v>50</v>
      </c>
      <c r="C730" s="19"/>
      <c r="D730" s="19"/>
      <c r="E730" s="20" t="s">
        <v>33</v>
      </c>
      <c r="F730" s="20"/>
      <c r="G730" s="21" t="s">
        <v>1327</v>
      </c>
      <c r="H730" s="21"/>
      <c r="I730" s="21"/>
      <c r="J730" s="3" t="s">
        <v>35</v>
      </c>
      <c r="K730" s="4" t="s">
        <v>82</v>
      </c>
      <c r="L730" s="4" t="s">
        <v>37</v>
      </c>
      <c r="N730" s="21" t="s">
        <v>1680</v>
      </c>
      <c r="O730" s="21"/>
      <c r="P730" s="21" t="s">
        <v>1681</v>
      </c>
      <c r="Q730" s="21"/>
      <c r="R730" s="21"/>
      <c r="S730" s="3" t="s">
        <v>40</v>
      </c>
      <c r="T730" s="21" t="s">
        <v>41</v>
      </c>
      <c r="U730" s="21"/>
      <c r="V730" s="4" t="s">
        <v>42</v>
      </c>
      <c r="W730" s="4" t="s">
        <v>54</v>
      </c>
      <c r="X730" s="4" t="s">
        <v>55</v>
      </c>
      <c r="Y730" s="21" t="s">
        <v>56</v>
      </c>
      <c r="Z730" s="21"/>
      <c r="AA730" s="4" t="s">
        <v>46</v>
      </c>
      <c r="AB730" s="4" t="s">
        <v>47</v>
      </c>
      <c r="AC730" s="4" t="s">
        <v>57</v>
      </c>
      <c r="AD730" s="4" t="s">
        <v>58</v>
      </c>
      <c r="AE730" s="4" t="s">
        <v>48</v>
      </c>
      <c r="AF730" s="4" t="s">
        <v>41</v>
      </c>
      <c r="AG730" s="4" t="s">
        <v>1330</v>
      </c>
    </row>
    <row r="731" spans="1:33" ht="16.5" customHeight="1" x14ac:dyDescent="0.2">
      <c r="A731" s="2" t="s">
        <v>31</v>
      </c>
      <c r="B731" s="19" t="s">
        <v>50</v>
      </c>
      <c r="C731" s="19"/>
      <c r="D731" s="19"/>
      <c r="E731" s="20" t="s">
        <v>33</v>
      </c>
      <c r="F731" s="20"/>
      <c r="G731" s="21" t="s">
        <v>1327</v>
      </c>
      <c r="H731" s="21"/>
      <c r="I731" s="21"/>
      <c r="J731" s="3" t="s">
        <v>35</v>
      </c>
      <c r="K731" s="4" t="s">
        <v>247</v>
      </c>
      <c r="L731" s="4" t="s">
        <v>231</v>
      </c>
      <c r="N731" s="21" t="s">
        <v>1682</v>
      </c>
      <c r="O731" s="21"/>
      <c r="P731" s="21" t="s">
        <v>1683</v>
      </c>
      <c r="Q731" s="21"/>
      <c r="R731" s="21"/>
      <c r="S731" s="3" t="s">
        <v>40</v>
      </c>
      <c r="T731" s="21" t="s">
        <v>41</v>
      </c>
      <c r="U731" s="21"/>
      <c r="V731" s="4" t="s">
        <v>42</v>
      </c>
      <c r="W731" s="4" t="s">
        <v>54</v>
      </c>
      <c r="X731" s="4" t="s">
        <v>55</v>
      </c>
      <c r="Y731" s="21" t="s">
        <v>65</v>
      </c>
      <c r="Z731" s="21"/>
      <c r="AA731" s="4" t="s">
        <v>46</v>
      </c>
      <c r="AB731" s="4" t="s">
        <v>47</v>
      </c>
      <c r="AC731" s="4" t="s">
        <v>66</v>
      </c>
      <c r="AD731" s="4" t="s">
        <v>1205</v>
      </c>
      <c r="AE731" s="4" t="s">
        <v>48</v>
      </c>
      <c r="AF731" s="4" t="s">
        <v>41</v>
      </c>
      <c r="AG731" s="4" t="s">
        <v>1330</v>
      </c>
    </row>
    <row r="732" spans="1:33" ht="16.5" customHeight="1" x14ac:dyDescent="0.2">
      <c r="A732" s="2" t="s">
        <v>31</v>
      </c>
      <c r="B732" s="19" t="s">
        <v>50</v>
      </c>
      <c r="C732" s="19"/>
      <c r="D732" s="19"/>
      <c r="E732" s="20" t="s">
        <v>33</v>
      </c>
      <c r="F732" s="20"/>
      <c r="G732" s="21" t="s">
        <v>1327</v>
      </c>
      <c r="H732" s="21"/>
      <c r="I732" s="21"/>
      <c r="J732" s="3" t="s">
        <v>35</v>
      </c>
      <c r="K732" s="4" t="s">
        <v>82</v>
      </c>
      <c r="L732" s="4" t="s">
        <v>37</v>
      </c>
      <c r="N732" s="21" t="s">
        <v>1684</v>
      </c>
      <c r="O732" s="21"/>
      <c r="P732" s="21" t="s">
        <v>1685</v>
      </c>
      <c r="Q732" s="21"/>
      <c r="R732" s="21"/>
      <c r="S732" s="3" t="s">
        <v>40</v>
      </c>
      <c r="T732" s="21" t="s">
        <v>41</v>
      </c>
      <c r="U732" s="21"/>
      <c r="V732" s="4" t="s">
        <v>42</v>
      </c>
      <c r="W732" s="4" t="s">
        <v>54</v>
      </c>
      <c r="X732" s="4" t="s">
        <v>55</v>
      </c>
      <c r="Y732" s="21" t="s">
        <v>56</v>
      </c>
      <c r="Z732" s="21"/>
      <c r="AA732" s="4" t="s">
        <v>46</v>
      </c>
      <c r="AB732" s="4" t="s">
        <v>47</v>
      </c>
      <c r="AC732" s="4" t="s">
        <v>57</v>
      </c>
      <c r="AD732" s="4" t="s">
        <v>58</v>
      </c>
      <c r="AE732" s="4" t="s">
        <v>48</v>
      </c>
      <c r="AF732" s="4" t="s">
        <v>41</v>
      </c>
      <c r="AG732" s="4" t="s">
        <v>1330</v>
      </c>
    </row>
    <row r="733" spans="1:33" ht="16.5" customHeight="1" x14ac:dyDescent="0.2">
      <c r="A733" s="2" t="s">
        <v>31</v>
      </c>
      <c r="B733" s="19" t="s">
        <v>50</v>
      </c>
      <c r="C733" s="19"/>
      <c r="D733" s="19"/>
      <c r="E733" s="20" t="s">
        <v>33</v>
      </c>
      <c r="F733" s="20"/>
      <c r="G733" s="21" t="s">
        <v>1327</v>
      </c>
      <c r="H733" s="21"/>
      <c r="I733" s="21"/>
      <c r="J733" s="3" t="s">
        <v>35</v>
      </c>
      <c r="K733" s="4" t="s">
        <v>82</v>
      </c>
      <c r="L733" s="4" t="s">
        <v>37</v>
      </c>
      <c r="N733" s="21" t="s">
        <v>1686</v>
      </c>
      <c r="O733" s="21"/>
      <c r="P733" s="21" t="s">
        <v>1687</v>
      </c>
      <c r="Q733" s="21"/>
      <c r="R733" s="21"/>
      <c r="S733" s="3" t="s">
        <v>40</v>
      </c>
      <c r="T733" s="21" t="s">
        <v>41</v>
      </c>
      <c r="U733" s="21"/>
      <c r="V733" s="4" t="s">
        <v>42</v>
      </c>
      <c r="W733" s="4" t="s">
        <v>54</v>
      </c>
      <c r="X733" s="4" t="s">
        <v>55</v>
      </c>
      <c r="Y733" s="21" t="s">
        <v>56</v>
      </c>
      <c r="Z733" s="21"/>
      <c r="AA733" s="4" t="s">
        <v>46</v>
      </c>
      <c r="AB733" s="4" t="s">
        <v>47</v>
      </c>
      <c r="AC733" s="4" t="s">
        <v>57</v>
      </c>
      <c r="AD733" s="4" t="s">
        <v>58</v>
      </c>
      <c r="AE733" s="4" t="s">
        <v>48</v>
      </c>
      <c r="AF733" s="4" t="s">
        <v>41</v>
      </c>
      <c r="AG733" s="4" t="s">
        <v>1330</v>
      </c>
    </row>
    <row r="734" spans="1:33" ht="0.75" customHeight="1" x14ac:dyDescent="0.2"/>
    <row r="735" spans="1:33" ht="12" customHeight="1" x14ac:dyDescent="0.2"/>
    <row r="736" spans="1:33" ht="16.5" customHeight="1" x14ac:dyDescent="0.2">
      <c r="A736" s="2" t="s">
        <v>31</v>
      </c>
      <c r="B736" s="19" t="s">
        <v>50</v>
      </c>
      <c r="C736" s="19"/>
      <c r="D736" s="19"/>
      <c r="E736" s="20" t="s">
        <v>33</v>
      </c>
      <c r="F736" s="20"/>
      <c r="G736" s="21" t="s">
        <v>1327</v>
      </c>
      <c r="H736" s="21"/>
      <c r="I736" s="21"/>
      <c r="J736" s="3" t="s">
        <v>35</v>
      </c>
      <c r="K736" s="4" t="s">
        <v>82</v>
      </c>
      <c r="L736" s="4" t="s">
        <v>37</v>
      </c>
      <c r="N736" s="21" t="s">
        <v>1688</v>
      </c>
      <c r="O736" s="21"/>
      <c r="P736" s="21" t="s">
        <v>1689</v>
      </c>
      <c r="Q736" s="21"/>
      <c r="R736" s="21"/>
      <c r="S736" s="3" t="s">
        <v>40</v>
      </c>
      <c r="T736" s="21" t="s">
        <v>41</v>
      </c>
      <c r="U736" s="21"/>
      <c r="V736" s="4" t="s">
        <v>42</v>
      </c>
      <c r="W736" s="4" t="s">
        <v>54</v>
      </c>
      <c r="X736" s="4" t="s">
        <v>55</v>
      </c>
      <c r="Y736" s="21" t="s">
        <v>56</v>
      </c>
      <c r="Z736" s="21"/>
      <c r="AA736" s="4" t="s">
        <v>46</v>
      </c>
      <c r="AB736" s="4" t="s">
        <v>47</v>
      </c>
      <c r="AC736" s="4" t="s">
        <v>57</v>
      </c>
      <c r="AD736" s="4" t="s">
        <v>58</v>
      </c>
      <c r="AE736" s="4" t="s">
        <v>48</v>
      </c>
      <c r="AF736" s="4" t="s">
        <v>41</v>
      </c>
      <c r="AG736" s="4" t="s">
        <v>1330</v>
      </c>
    </row>
    <row r="737" spans="1:33" ht="16.5" customHeight="1" x14ac:dyDescent="0.2">
      <c r="A737" s="2" t="s">
        <v>31</v>
      </c>
      <c r="B737" s="19" t="s">
        <v>50</v>
      </c>
      <c r="C737" s="19"/>
      <c r="D737" s="19"/>
      <c r="E737" s="20" t="s">
        <v>33</v>
      </c>
      <c r="F737" s="20"/>
      <c r="G737" s="21" t="s">
        <v>1327</v>
      </c>
      <c r="H737" s="21"/>
      <c r="I737" s="21"/>
      <c r="J737" s="3" t="s">
        <v>35</v>
      </c>
      <c r="K737" s="4" t="s">
        <v>82</v>
      </c>
      <c r="L737" s="4" t="s">
        <v>37</v>
      </c>
      <c r="N737" s="21" t="s">
        <v>1690</v>
      </c>
      <c r="O737" s="21"/>
      <c r="P737" s="21" t="s">
        <v>1691</v>
      </c>
      <c r="Q737" s="21"/>
      <c r="R737" s="21"/>
      <c r="S737" s="3" t="s">
        <v>40</v>
      </c>
      <c r="T737" s="21" t="s">
        <v>41</v>
      </c>
      <c r="U737" s="21"/>
      <c r="V737" s="4" t="s">
        <v>42</v>
      </c>
      <c r="W737" s="4" t="s">
        <v>54</v>
      </c>
      <c r="X737" s="4" t="s">
        <v>55</v>
      </c>
      <c r="Y737" s="21" t="s">
        <v>56</v>
      </c>
      <c r="Z737" s="21"/>
      <c r="AA737" s="4" t="s">
        <v>46</v>
      </c>
      <c r="AB737" s="4" t="s">
        <v>47</v>
      </c>
      <c r="AC737" s="4" t="s">
        <v>57</v>
      </c>
      <c r="AD737" s="4" t="s">
        <v>58</v>
      </c>
      <c r="AE737" s="4" t="s">
        <v>48</v>
      </c>
      <c r="AF737" s="4" t="s">
        <v>41</v>
      </c>
      <c r="AG737" s="4" t="s">
        <v>1330</v>
      </c>
    </row>
    <row r="738" spans="1:33" ht="16.5" customHeight="1" x14ac:dyDescent="0.2">
      <c r="A738" s="2" t="s">
        <v>31</v>
      </c>
      <c r="B738" s="19" t="s">
        <v>50</v>
      </c>
      <c r="C738" s="19"/>
      <c r="D738" s="19"/>
      <c r="E738" s="20" t="s">
        <v>33</v>
      </c>
      <c r="F738" s="20"/>
      <c r="G738" s="21" t="s">
        <v>1327</v>
      </c>
      <c r="H738" s="21"/>
      <c r="I738" s="21"/>
      <c r="J738" s="3" t="s">
        <v>35</v>
      </c>
      <c r="K738" s="4" t="s">
        <v>82</v>
      </c>
      <c r="L738" s="4" t="s">
        <v>37</v>
      </c>
      <c r="N738" s="21" t="s">
        <v>1692</v>
      </c>
      <c r="O738" s="21"/>
      <c r="P738" s="21" t="s">
        <v>1693</v>
      </c>
      <c r="Q738" s="21"/>
      <c r="R738" s="21"/>
      <c r="S738" s="3" t="s">
        <v>40</v>
      </c>
      <c r="T738" s="21" t="s">
        <v>41</v>
      </c>
      <c r="U738" s="21"/>
      <c r="V738" s="4" t="s">
        <v>42</v>
      </c>
      <c r="W738" s="4" t="s">
        <v>54</v>
      </c>
      <c r="X738" s="4" t="s">
        <v>55</v>
      </c>
      <c r="Y738" s="21" t="s">
        <v>56</v>
      </c>
      <c r="Z738" s="21"/>
      <c r="AA738" s="4" t="s">
        <v>46</v>
      </c>
      <c r="AB738" s="4" t="s">
        <v>47</v>
      </c>
      <c r="AC738" s="4" t="s">
        <v>57</v>
      </c>
      <c r="AD738" s="4" t="s">
        <v>58</v>
      </c>
      <c r="AE738" s="4" t="s">
        <v>48</v>
      </c>
      <c r="AF738" s="4" t="s">
        <v>41</v>
      </c>
      <c r="AG738" s="4" t="s">
        <v>1330</v>
      </c>
    </row>
    <row r="739" spans="1:33" ht="16.5" customHeight="1" x14ac:dyDescent="0.2">
      <c r="A739" s="2" t="s">
        <v>31</v>
      </c>
      <c r="B739" s="19" t="s">
        <v>50</v>
      </c>
      <c r="C739" s="19"/>
      <c r="D739" s="19"/>
      <c r="E739" s="20" t="s">
        <v>33</v>
      </c>
      <c r="F739" s="20"/>
      <c r="G739" s="21" t="s">
        <v>1327</v>
      </c>
      <c r="H739" s="21"/>
      <c r="I739" s="21"/>
      <c r="J739" s="3" t="s">
        <v>35</v>
      </c>
      <c r="K739" s="4" t="s">
        <v>99</v>
      </c>
      <c r="L739" s="4" t="s">
        <v>68</v>
      </c>
      <c r="N739" s="21" t="s">
        <v>1694</v>
      </c>
      <c r="O739" s="21"/>
      <c r="P739" s="21" t="s">
        <v>1695</v>
      </c>
      <c r="Q739" s="21"/>
      <c r="R739" s="21"/>
      <c r="S739" s="3" t="s">
        <v>40</v>
      </c>
      <c r="T739" s="21" t="s">
        <v>41</v>
      </c>
      <c r="U739" s="21"/>
      <c r="V739" s="4" t="s">
        <v>42</v>
      </c>
      <c r="W739" s="4" t="s">
        <v>54</v>
      </c>
      <c r="X739" s="4" t="s">
        <v>55</v>
      </c>
      <c r="Y739" s="21" t="s">
        <v>56</v>
      </c>
      <c r="Z739" s="21"/>
      <c r="AA739" s="4" t="s">
        <v>46</v>
      </c>
      <c r="AB739" s="4" t="s">
        <v>47</v>
      </c>
      <c r="AC739" s="4" t="s">
        <v>57</v>
      </c>
      <c r="AD739" s="4" t="s">
        <v>98</v>
      </c>
      <c r="AE739" s="4" t="s">
        <v>48</v>
      </c>
      <c r="AF739" s="4" t="s">
        <v>41</v>
      </c>
      <c r="AG739" s="4" t="s">
        <v>1330</v>
      </c>
    </row>
    <row r="740" spans="1:33" ht="16.5" customHeight="1" x14ac:dyDescent="0.2">
      <c r="A740" s="2" t="s">
        <v>31</v>
      </c>
      <c r="B740" s="19" t="s">
        <v>50</v>
      </c>
      <c r="C740" s="19"/>
      <c r="D740" s="19"/>
      <c r="E740" s="20" t="s">
        <v>33</v>
      </c>
      <c r="F740" s="20"/>
      <c r="G740" s="21" t="s">
        <v>1327</v>
      </c>
      <c r="H740" s="21"/>
      <c r="I740" s="21"/>
      <c r="J740" s="3" t="s">
        <v>35</v>
      </c>
      <c r="K740" s="4" t="s">
        <v>82</v>
      </c>
      <c r="L740" s="4" t="s">
        <v>37</v>
      </c>
      <c r="N740" s="21" t="s">
        <v>1696</v>
      </c>
      <c r="O740" s="21"/>
      <c r="P740" s="21" t="s">
        <v>1697</v>
      </c>
      <c r="Q740" s="21"/>
      <c r="R740" s="21"/>
      <c r="S740" s="3" t="s">
        <v>40</v>
      </c>
      <c r="T740" s="21" t="s">
        <v>41</v>
      </c>
      <c r="U740" s="21"/>
      <c r="V740" s="4" t="s">
        <v>42</v>
      </c>
      <c r="W740" s="4" t="s">
        <v>54</v>
      </c>
      <c r="X740" s="4" t="s">
        <v>55</v>
      </c>
      <c r="Y740" s="21" t="s">
        <v>56</v>
      </c>
      <c r="Z740" s="21"/>
      <c r="AA740" s="4" t="s">
        <v>46</v>
      </c>
      <c r="AB740" s="4" t="s">
        <v>47</v>
      </c>
      <c r="AC740" s="4" t="s">
        <v>57</v>
      </c>
      <c r="AD740" s="4" t="s">
        <v>58</v>
      </c>
      <c r="AE740" s="4" t="s">
        <v>48</v>
      </c>
      <c r="AF740" s="4" t="s">
        <v>41</v>
      </c>
      <c r="AG740" s="4" t="s">
        <v>1330</v>
      </c>
    </row>
    <row r="741" spans="1:33" ht="16.5" customHeight="1" x14ac:dyDescent="0.2">
      <c r="A741" s="2" t="s">
        <v>31</v>
      </c>
      <c r="B741" s="19" t="s">
        <v>50</v>
      </c>
      <c r="C741" s="19"/>
      <c r="D741" s="19"/>
      <c r="E741" s="20" t="s">
        <v>33</v>
      </c>
      <c r="F741" s="20"/>
      <c r="G741" s="21" t="s">
        <v>1327</v>
      </c>
      <c r="H741" s="21"/>
      <c r="I741" s="21"/>
      <c r="J741" s="3" t="s">
        <v>35</v>
      </c>
      <c r="K741" s="4" t="s">
        <v>82</v>
      </c>
      <c r="L741" s="4" t="s">
        <v>37</v>
      </c>
      <c r="N741" s="21" t="s">
        <v>1698</v>
      </c>
      <c r="O741" s="21"/>
      <c r="P741" s="21" t="s">
        <v>1699</v>
      </c>
      <c r="Q741" s="21"/>
      <c r="R741" s="21"/>
      <c r="S741" s="3" t="s">
        <v>40</v>
      </c>
      <c r="T741" s="21" t="s">
        <v>41</v>
      </c>
      <c r="U741" s="21"/>
      <c r="V741" s="4" t="s">
        <v>42</v>
      </c>
      <c r="W741" s="4" t="s">
        <v>54</v>
      </c>
      <c r="X741" s="4" t="s">
        <v>55</v>
      </c>
      <c r="Y741" s="21" t="s">
        <v>56</v>
      </c>
      <c r="Z741" s="21"/>
      <c r="AA741" s="4" t="s">
        <v>46</v>
      </c>
      <c r="AB741" s="4" t="s">
        <v>47</v>
      </c>
      <c r="AC741" s="4" t="s">
        <v>57</v>
      </c>
      <c r="AD741" s="4" t="s">
        <v>58</v>
      </c>
      <c r="AE741" s="4" t="s">
        <v>48</v>
      </c>
      <c r="AF741" s="4" t="s">
        <v>41</v>
      </c>
      <c r="AG741" s="4" t="s">
        <v>1330</v>
      </c>
    </row>
    <row r="742" spans="1:33" ht="16.5" customHeight="1" x14ac:dyDescent="0.2">
      <c r="A742" s="2" t="s">
        <v>31</v>
      </c>
      <c r="B742" s="19" t="s">
        <v>50</v>
      </c>
      <c r="C742" s="19"/>
      <c r="D742" s="19"/>
      <c r="E742" s="20" t="s">
        <v>33</v>
      </c>
      <c r="F742" s="20"/>
      <c r="G742" s="21" t="s">
        <v>1327</v>
      </c>
      <c r="H742" s="21"/>
      <c r="I742" s="21"/>
      <c r="J742" s="3" t="s">
        <v>35</v>
      </c>
      <c r="K742" s="4" t="s">
        <v>82</v>
      </c>
      <c r="L742" s="4" t="s">
        <v>68</v>
      </c>
      <c r="N742" s="21" t="s">
        <v>1700</v>
      </c>
      <c r="O742" s="21"/>
      <c r="P742" s="21" t="s">
        <v>1701</v>
      </c>
      <c r="Q742" s="21"/>
      <c r="R742" s="21"/>
      <c r="S742" s="3" t="s">
        <v>40</v>
      </c>
      <c r="T742" s="21" t="s">
        <v>41</v>
      </c>
      <c r="U742" s="21"/>
      <c r="V742" s="4" t="s">
        <v>42</v>
      </c>
      <c r="W742" s="4" t="s">
        <v>54</v>
      </c>
      <c r="X742" s="4" t="s">
        <v>55</v>
      </c>
      <c r="Y742" s="21" t="s">
        <v>56</v>
      </c>
      <c r="Z742" s="21"/>
      <c r="AA742" s="4" t="s">
        <v>46</v>
      </c>
      <c r="AB742" s="4" t="s">
        <v>47</v>
      </c>
      <c r="AC742" s="4" t="s">
        <v>57</v>
      </c>
      <c r="AD742" s="4" t="s">
        <v>98</v>
      </c>
      <c r="AE742" s="4" t="s">
        <v>48</v>
      </c>
      <c r="AF742" s="4" t="s">
        <v>41</v>
      </c>
      <c r="AG742" s="4" t="s">
        <v>1330</v>
      </c>
    </row>
    <row r="743" spans="1:33" ht="16.5" customHeight="1" x14ac:dyDescent="0.2">
      <c r="A743" s="2" t="s">
        <v>31</v>
      </c>
      <c r="B743" s="19" t="s">
        <v>50</v>
      </c>
      <c r="C743" s="19"/>
      <c r="D743" s="19"/>
      <c r="E743" s="20" t="s">
        <v>33</v>
      </c>
      <c r="F743" s="20"/>
      <c r="G743" s="21" t="s">
        <v>1327</v>
      </c>
      <c r="H743" s="21"/>
      <c r="I743" s="21"/>
      <c r="J743" s="3" t="s">
        <v>35</v>
      </c>
      <c r="K743" s="4" t="s">
        <v>82</v>
      </c>
      <c r="L743" s="4" t="s">
        <v>37</v>
      </c>
      <c r="N743" s="21" t="s">
        <v>1702</v>
      </c>
      <c r="O743" s="21"/>
      <c r="P743" s="21" t="s">
        <v>1703</v>
      </c>
      <c r="Q743" s="21"/>
      <c r="R743" s="21"/>
      <c r="S743" s="3" t="s">
        <v>40</v>
      </c>
      <c r="T743" s="21" t="s">
        <v>41</v>
      </c>
      <c r="U743" s="21"/>
      <c r="V743" s="4" t="s">
        <v>42</v>
      </c>
      <c r="W743" s="4" t="s">
        <v>54</v>
      </c>
      <c r="X743" s="4" t="s">
        <v>55</v>
      </c>
      <c r="Y743" s="21" t="s">
        <v>56</v>
      </c>
      <c r="Z743" s="21"/>
      <c r="AA743" s="4" t="s">
        <v>46</v>
      </c>
      <c r="AB743" s="4" t="s">
        <v>47</v>
      </c>
      <c r="AC743" s="4" t="s">
        <v>57</v>
      </c>
      <c r="AD743" s="4" t="s">
        <v>58</v>
      </c>
      <c r="AE743" s="4" t="s">
        <v>48</v>
      </c>
      <c r="AF743" s="4" t="s">
        <v>41</v>
      </c>
      <c r="AG743" s="4" t="s">
        <v>1330</v>
      </c>
    </row>
    <row r="744" spans="1:33" ht="16.5" customHeight="1" x14ac:dyDescent="0.2">
      <c r="A744" s="2" t="s">
        <v>31</v>
      </c>
      <c r="B744" s="19" t="s">
        <v>50</v>
      </c>
      <c r="C744" s="19"/>
      <c r="D744" s="19"/>
      <c r="E744" s="20" t="s">
        <v>33</v>
      </c>
      <c r="F744" s="20"/>
      <c r="G744" s="21" t="s">
        <v>1327</v>
      </c>
      <c r="H744" s="21"/>
      <c r="I744" s="21"/>
      <c r="J744" s="3" t="s">
        <v>35</v>
      </c>
      <c r="K744" s="4" t="s">
        <v>82</v>
      </c>
      <c r="L744" s="4" t="s">
        <v>37</v>
      </c>
      <c r="N744" s="21" t="s">
        <v>1704</v>
      </c>
      <c r="O744" s="21"/>
      <c r="P744" s="21" t="s">
        <v>1705</v>
      </c>
      <c r="Q744" s="21"/>
      <c r="R744" s="21"/>
      <c r="S744" s="3" t="s">
        <v>40</v>
      </c>
      <c r="T744" s="21" t="s">
        <v>41</v>
      </c>
      <c r="U744" s="21"/>
      <c r="V744" s="4" t="s">
        <v>42</v>
      </c>
      <c r="W744" s="4" t="s">
        <v>54</v>
      </c>
      <c r="X744" s="4" t="s">
        <v>55</v>
      </c>
      <c r="Y744" s="21" t="s">
        <v>56</v>
      </c>
      <c r="Z744" s="21"/>
      <c r="AA744" s="4" t="s">
        <v>46</v>
      </c>
      <c r="AB744" s="4" t="s">
        <v>47</v>
      </c>
      <c r="AC744" s="4" t="s">
        <v>57</v>
      </c>
      <c r="AD744" s="4" t="s">
        <v>58</v>
      </c>
      <c r="AE744" s="4" t="s">
        <v>48</v>
      </c>
      <c r="AF744" s="4" t="s">
        <v>41</v>
      </c>
      <c r="AG744" s="4" t="s">
        <v>1330</v>
      </c>
    </row>
    <row r="745" spans="1:33" ht="16.5" customHeight="1" x14ac:dyDescent="0.2">
      <c r="A745" s="2" t="s">
        <v>31</v>
      </c>
      <c r="B745" s="19" t="s">
        <v>50</v>
      </c>
      <c r="C745" s="19"/>
      <c r="D745" s="19"/>
      <c r="E745" s="20" t="s">
        <v>33</v>
      </c>
      <c r="F745" s="20"/>
      <c r="G745" s="21" t="s">
        <v>1327</v>
      </c>
      <c r="H745" s="21"/>
      <c r="I745" s="21"/>
      <c r="J745" s="3" t="s">
        <v>35</v>
      </c>
      <c r="K745" s="4" t="s">
        <v>82</v>
      </c>
      <c r="L745" s="4" t="s">
        <v>37</v>
      </c>
      <c r="N745" s="21" t="s">
        <v>1706</v>
      </c>
      <c r="O745" s="21"/>
      <c r="P745" s="21" t="s">
        <v>1707</v>
      </c>
      <c r="Q745" s="21"/>
      <c r="R745" s="21"/>
      <c r="S745" s="3" t="s">
        <v>40</v>
      </c>
      <c r="T745" s="21" t="s">
        <v>41</v>
      </c>
      <c r="U745" s="21"/>
      <c r="V745" s="4" t="s">
        <v>59</v>
      </c>
      <c r="W745" s="4" t="s">
        <v>54</v>
      </c>
      <c r="X745" s="4" t="s">
        <v>60</v>
      </c>
      <c r="Y745" s="21" t="s">
        <v>56</v>
      </c>
      <c r="Z745" s="21"/>
      <c r="AA745" s="4" t="s">
        <v>46</v>
      </c>
      <c r="AB745" s="4" t="s">
        <v>47</v>
      </c>
      <c r="AC745" s="4" t="s">
        <v>57</v>
      </c>
      <c r="AD745" s="4" t="s">
        <v>58</v>
      </c>
      <c r="AE745" s="4" t="s">
        <v>48</v>
      </c>
      <c r="AF745" s="4" t="s">
        <v>41</v>
      </c>
      <c r="AG745" s="4" t="s">
        <v>1330</v>
      </c>
    </row>
    <row r="746" spans="1:33" ht="16.5" customHeight="1" x14ac:dyDescent="0.2">
      <c r="A746" s="2" t="s">
        <v>31</v>
      </c>
      <c r="B746" s="19" t="s">
        <v>50</v>
      </c>
      <c r="C746" s="19"/>
      <c r="D746" s="19"/>
      <c r="E746" s="20" t="s">
        <v>33</v>
      </c>
      <c r="F746" s="20"/>
      <c r="G746" s="21" t="s">
        <v>1327</v>
      </c>
      <c r="H746" s="21"/>
      <c r="I746" s="21"/>
      <c r="J746" s="3" t="s">
        <v>35</v>
      </c>
      <c r="K746" s="4" t="s">
        <v>82</v>
      </c>
      <c r="L746" s="4" t="s">
        <v>37</v>
      </c>
      <c r="N746" s="21" t="s">
        <v>1708</v>
      </c>
      <c r="O746" s="21"/>
      <c r="P746" s="21" t="s">
        <v>1709</v>
      </c>
      <c r="Q746" s="21"/>
      <c r="R746" s="21"/>
      <c r="S746" s="3" t="s">
        <v>40</v>
      </c>
      <c r="T746" s="21" t="s">
        <v>41</v>
      </c>
      <c r="U746" s="21"/>
      <c r="V746" s="4" t="s">
        <v>42</v>
      </c>
      <c r="W746" s="4" t="s">
        <v>54</v>
      </c>
      <c r="X746" s="4" t="s">
        <v>55</v>
      </c>
      <c r="Y746" s="21" t="s">
        <v>56</v>
      </c>
      <c r="Z746" s="21"/>
      <c r="AA746" s="4" t="s">
        <v>46</v>
      </c>
      <c r="AB746" s="4" t="s">
        <v>47</v>
      </c>
      <c r="AC746" s="4" t="s">
        <v>57</v>
      </c>
      <c r="AD746" s="4" t="s">
        <v>58</v>
      </c>
      <c r="AE746" s="4" t="s">
        <v>48</v>
      </c>
      <c r="AF746" s="4" t="s">
        <v>41</v>
      </c>
      <c r="AG746" s="4" t="s">
        <v>1330</v>
      </c>
    </row>
    <row r="747" spans="1:33" ht="16.5" customHeight="1" x14ac:dyDescent="0.2">
      <c r="A747" s="2" t="s">
        <v>31</v>
      </c>
      <c r="B747" s="19" t="s">
        <v>50</v>
      </c>
      <c r="C747" s="19"/>
      <c r="D747" s="19"/>
      <c r="E747" s="20" t="s">
        <v>33</v>
      </c>
      <c r="F747" s="20"/>
      <c r="G747" s="21" t="s">
        <v>1327</v>
      </c>
      <c r="H747" s="21"/>
      <c r="I747" s="21"/>
      <c r="J747" s="3" t="s">
        <v>35</v>
      </c>
      <c r="K747" s="4" t="s">
        <v>82</v>
      </c>
      <c r="L747" s="4" t="s">
        <v>231</v>
      </c>
      <c r="N747" s="21" t="s">
        <v>1710</v>
      </c>
      <c r="O747" s="21"/>
      <c r="P747" s="21" t="s">
        <v>1711</v>
      </c>
      <c r="Q747" s="21"/>
      <c r="R747" s="21"/>
      <c r="S747" s="3" t="s">
        <v>40</v>
      </c>
      <c r="T747" s="21" t="s">
        <v>41</v>
      </c>
      <c r="U747" s="21"/>
      <c r="V747" s="4" t="s">
        <v>42</v>
      </c>
      <c r="W747" s="4" t="s">
        <v>54</v>
      </c>
      <c r="X747" s="4" t="s">
        <v>55</v>
      </c>
      <c r="Y747" s="21" t="s">
        <v>56</v>
      </c>
      <c r="Z747" s="21"/>
      <c r="AA747" s="4" t="s">
        <v>46</v>
      </c>
      <c r="AB747" s="4" t="s">
        <v>47</v>
      </c>
      <c r="AC747" s="4" t="s">
        <v>57</v>
      </c>
      <c r="AD747" s="4" t="s">
        <v>236</v>
      </c>
      <c r="AE747" s="4" t="s">
        <v>48</v>
      </c>
      <c r="AF747" s="4" t="s">
        <v>41</v>
      </c>
      <c r="AG747" s="4" t="s">
        <v>1330</v>
      </c>
    </row>
    <row r="748" spans="1:33" ht="16.5" customHeight="1" x14ac:dyDescent="0.2">
      <c r="A748" s="2" t="s">
        <v>31</v>
      </c>
      <c r="B748" s="19" t="s">
        <v>50</v>
      </c>
      <c r="C748" s="19"/>
      <c r="D748" s="19"/>
      <c r="E748" s="20" t="s">
        <v>33</v>
      </c>
      <c r="F748" s="20"/>
      <c r="G748" s="21" t="s">
        <v>1327</v>
      </c>
      <c r="H748" s="21"/>
      <c r="I748" s="21"/>
      <c r="J748" s="3" t="s">
        <v>35</v>
      </c>
      <c r="K748" s="4" t="s">
        <v>82</v>
      </c>
      <c r="L748" s="4" t="s">
        <v>278</v>
      </c>
      <c r="N748" s="21" t="s">
        <v>1712</v>
      </c>
      <c r="O748" s="21"/>
      <c r="P748" s="21" t="s">
        <v>1713</v>
      </c>
      <c r="Q748" s="21"/>
      <c r="R748" s="21"/>
      <c r="S748" s="3" t="s">
        <v>40</v>
      </c>
      <c r="T748" s="21" t="s">
        <v>41</v>
      </c>
      <c r="U748" s="21"/>
      <c r="V748" s="4" t="s">
        <v>42</v>
      </c>
      <c r="W748" s="4" t="s">
        <v>54</v>
      </c>
      <c r="X748" s="4" t="s">
        <v>55</v>
      </c>
      <c r="Y748" s="21" t="s">
        <v>56</v>
      </c>
      <c r="Z748" s="21"/>
      <c r="AA748" s="4" t="s">
        <v>46</v>
      </c>
      <c r="AB748" s="4" t="s">
        <v>47</v>
      </c>
      <c r="AC748" s="4" t="s">
        <v>57</v>
      </c>
      <c r="AD748" s="4" t="s">
        <v>283</v>
      </c>
      <c r="AE748" s="4" t="s">
        <v>48</v>
      </c>
      <c r="AF748" s="4" t="s">
        <v>41</v>
      </c>
      <c r="AG748" s="4" t="s">
        <v>1330</v>
      </c>
    </row>
    <row r="749" spans="1:33" ht="16.5" customHeight="1" x14ac:dyDescent="0.2">
      <c r="A749" s="2" t="s">
        <v>31</v>
      </c>
      <c r="B749" s="19" t="s">
        <v>50</v>
      </c>
      <c r="C749" s="19"/>
      <c r="D749" s="19"/>
      <c r="E749" s="20" t="s">
        <v>33</v>
      </c>
      <c r="F749" s="20"/>
      <c r="G749" s="21" t="s">
        <v>1327</v>
      </c>
      <c r="H749" s="21"/>
      <c r="I749" s="21"/>
      <c r="J749" s="3" t="s">
        <v>35</v>
      </c>
      <c r="K749" s="4" t="s">
        <v>82</v>
      </c>
      <c r="L749" s="4" t="s">
        <v>1714</v>
      </c>
      <c r="N749" s="21" t="s">
        <v>1715</v>
      </c>
      <c r="O749" s="21"/>
      <c r="P749" s="21" t="s">
        <v>1716</v>
      </c>
      <c r="Q749" s="21"/>
      <c r="R749" s="21"/>
      <c r="S749" s="3" t="s">
        <v>40</v>
      </c>
      <c r="T749" s="21" t="s">
        <v>41</v>
      </c>
      <c r="U749" s="21"/>
      <c r="V749" s="4" t="s">
        <v>42</v>
      </c>
      <c r="W749" s="4" t="s">
        <v>54</v>
      </c>
      <c r="X749" s="4" t="s">
        <v>55</v>
      </c>
      <c r="Y749" s="21" t="s">
        <v>56</v>
      </c>
      <c r="Z749" s="21"/>
      <c r="AA749" s="4" t="s">
        <v>46</v>
      </c>
      <c r="AB749" s="4" t="s">
        <v>47</v>
      </c>
      <c r="AC749" s="4" t="s">
        <v>57</v>
      </c>
      <c r="AD749" s="4" t="s">
        <v>1717</v>
      </c>
      <c r="AE749" s="4" t="s">
        <v>48</v>
      </c>
      <c r="AF749" s="4" t="s">
        <v>41</v>
      </c>
      <c r="AG749" s="4" t="s">
        <v>1330</v>
      </c>
    </row>
    <row r="750" spans="1:33" ht="16.5" customHeight="1" x14ac:dyDescent="0.2">
      <c r="A750" s="2" t="s">
        <v>31</v>
      </c>
      <c r="B750" s="19" t="s">
        <v>50</v>
      </c>
      <c r="C750" s="19"/>
      <c r="D750" s="19"/>
      <c r="E750" s="20" t="s">
        <v>33</v>
      </c>
      <c r="F750" s="20"/>
      <c r="G750" s="21" t="s">
        <v>1327</v>
      </c>
      <c r="H750" s="21"/>
      <c r="I750" s="21"/>
      <c r="J750" s="3" t="s">
        <v>35</v>
      </c>
      <c r="K750" s="4" t="s">
        <v>82</v>
      </c>
      <c r="L750" s="4" t="s">
        <v>278</v>
      </c>
      <c r="N750" s="21" t="s">
        <v>1715</v>
      </c>
      <c r="O750" s="21"/>
      <c r="P750" s="21" t="s">
        <v>1716</v>
      </c>
      <c r="Q750" s="21"/>
      <c r="R750" s="21"/>
      <c r="S750" s="3" t="s">
        <v>40</v>
      </c>
      <c r="T750" s="21" t="s">
        <v>41</v>
      </c>
      <c r="U750" s="21"/>
      <c r="V750" s="4" t="s">
        <v>42</v>
      </c>
      <c r="W750" s="4" t="s">
        <v>54</v>
      </c>
      <c r="X750" s="4" t="s">
        <v>55</v>
      </c>
      <c r="Y750" s="21" t="s">
        <v>56</v>
      </c>
      <c r="Z750" s="21"/>
      <c r="AA750" s="4" t="s">
        <v>46</v>
      </c>
      <c r="AB750" s="4" t="s">
        <v>47</v>
      </c>
      <c r="AC750" s="4" t="s">
        <v>57</v>
      </c>
      <c r="AD750" s="4" t="s">
        <v>283</v>
      </c>
      <c r="AE750" s="4" t="s">
        <v>48</v>
      </c>
      <c r="AF750" s="4" t="s">
        <v>41</v>
      </c>
      <c r="AG750" s="4" t="s">
        <v>1330</v>
      </c>
    </row>
    <row r="751" spans="1:33" ht="16.5" customHeight="1" x14ac:dyDescent="0.2">
      <c r="A751" s="2" t="s">
        <v>31</v>
      </c>
      <c r="B751" s="19" t="s">
        <v>50</v>
      </c>
      <c r="C751" s="19"/>
      <c r="D751" s="19"/>
      <c r="E751" s="20" t="s">
        <v>33</v>
      </c>
      <c r="F751" s="20"/>
      <c r="G751" s="21" t="s">
        <v>1327</v>
      </c>
      <c r="H751" s="21"/>
      <c r="I751" s="21"/>
      <c r="J751" s="3" t="s">
        <v>35</v>
      </c>
      <c r="K751" s="4" t="s">
        <v>82</v>
      </c>
      <c r="L751" s="4" t="s">
        <v>37</v>
      </c>
      <c r="N751" s="21" t="s">
        <v>1718</v>
      </c>
      <c r="O751" s="21"/>
      <c r="P751" s="21" t="s">
        <v>1719</v>
      </c>
      <c r="Q751" s="21"/>
      <c r="R751" s="21"/>
      <c r="S751" s="3" t="s">
        <v>40</v>
      </c>
      <c r="T751" s="21" t="s">
        <v>41</v>
      </c>
      <c r="U751" s="21"/>
      <c r="V751" s="4" t="s">
        <v>42</v>
      </c>
      <c r="W751" s="4" t="s">
        <v>54</v>
      </c>
      <c r="X751" s="4" t="s">
        <v>55</v>
      </c>
      <c r="Y751" s="21" t="s">
        <v>56</v>
      </c>
      <c r="Z751" s="21"/>
      <c r="AA751" s="4" t="s">
        <v>46</v>
      </c>
      <c r="AB751" s="4" t="s">
        <v>47</v>
      </c>
      <c r="AC751" s="4" t="s">
        <v>57</v>
      </c>
      <c r="AD751" s="4" t="s">
        <v>58</v>
      </c>
      <c r="AE751" s="4" t="s">
        <v>48</v>
      </c>
      <c r="AF751" s="4" t="s">
        <v>41</v>
      </c>
      <c r="AG751" s="4" t="s">
        <v>1330</v>
      </c>
    </row>
    <row r="752" spans="1:33" ht="16.5" customHeight="1" x14ac:dyDescent="0.2">
      <c r="A752" s="2" t="s">
        <v>31</v>
      </c>
      <c r="B752" s="19" t="s">
        <v>50</v>
      </c>
      <c r="C752" s="19"/>
      <c r="D752" s="19"/>
      <c r="E752" s="20" t="s">
        <v>33</v>
      </c>
      <c r="F752" s="20"/>
      <c r="G752" s="21" t="s">
        <v>1327</v>
      </c>
      <c r="H752" s="21"/>
      <c r="I752" s="21"/>
      <c r="J752" s="3" t="s">
        <v>35</v>
      </c>
      <c r="K752" s="4" t="s">
        <v>152</v>
      </c>
      <c r="L752" s="4" t="s">
        <v>37</v>
      </c>
      <c r="N752" s="21" t="s">
        <v>1720</v>
      </c>
      <c r="O752" s="21"/>
      <c r="P752" s="21" t="s">
        <v>1721</v>
      </c>
      <c r="Q752" s="21"/>
      <c r="R752" s="21"/>
      <c r="S752" s="3" t="s">
        <v>40</v>
      </c>
      <c r="T752" s="21" t="s">
        <v>41</v>
      </c>
      <c r="U752" s="21"/>
      <c r="V752" s="4" t="s">
        <v>42</v>
      </c>
      <c r="W752" s="4" t="s">
        <v>54</v>
      </c>
      <c r="X752" s="4" t="s">
        <v>55</v>
      </c>
      <c r="Y752" s="21" t="s">
        <v>56</v>
      </c>
      <c r="Z752" s="21"/>
      <c r="AA752" s="4" t="s">
        <v>46</v>
      </c>
      <c r="AB752" s="4" t="s">
        <v>47</v>
      </c>
      <c r="AC752" s="4" t="s">
        <v>57</v>
      </c>
      <c r="AD752" s="4" t="s">
        <v>58</v>
      </c>
      <c r="AE752" s="4" t="s">
        <v>48</v>
      </c>
      <c r="AF752" s="4" t="s">
        <v>41</v>
      </c>
      <c r="AG752" s="4" t="s">
        <v>1330</v>
      </c>
    </row>
    <row r="753" spans="1:33" ht="16.5" customHeight="1" x14ac:dyDescent="0.2">
      <c r="A753" s="2" t="s">
        <v>31</v>
      </c>
      <c r="B753" s="19" t="s">
        <v>50</v>
      </c>
      <c r="C753" s="19"/>
      <c r="D753" s="19"/>
      <c r="E753" s="20" t="s">
        <v>33</v>
      </c>
      <c r="F753" s="20"/>
      <c r="G753" s="21" t="s">
        <v>1327</v>
      </c>
      <c r="H753" s="21"/>
      <c r="I753" s="21"/>
      <c r="J753" s="3" t="s">
        <v>35</v>
      </c>
      <c r="K753" s="4" t="s">
        <v>152</v>
      </c>
      <c r="L753" s="4" t="s">
        <v>37</v>
      </c>
      <c r="N753" s="21" t="s">
        <v>1720</v>
      </c>
      <c r="O753" s="21"/>
      <c r="P753" s="21" t="s">
        <v>1721</v>
      </c>
      <c r="Q753" s="21"/>
      <c r="R753" s="21"/>
      <c r="S753" s="3" t="s">
        <v>40</v>
      </c>
      <c r="T753" s="21" t="s">
        <v>41</v>
      </c>
      <c r="U753" s="21"/>
      <c r="V753" s="4" t="s">
        <v>59</v>
      </c>
      <c r="W753" s="4" t="s">
        <v>54</v>
      </c>
      <c r="X753" s="4" t="s">
        <v>60</v>
      </c>
      <c r="Y753" s="21" t="s">
        <v>56</v>
      </c>
      <c r="Z753" s="21"/>
      <c r="AA753" s="4" t="s">
        <v>46</v>
      </c>
      <c r="AB753" s="4" t="s">
        <v>47</v>
      </c>
      <c r="AC753" s="4" t="s">
        <v>57</v>
      </c>
      <c r="AD753" s="4" t="s">
        <v>58</v>
      </c>
      <c r="AE753" s="4" t="s">
        <v>48</v>
      </c>
      <c r="AF753" s="4" t="s">
        <v>41</v>
      </c>
      <c r="AG753" s="4" t="s">
        <v>1330</v>
      </c>
    </row>
    <row r="754" spans="1:33" ht="16.5" customHeight="1" x14ac:dyDescent="0.2">
      <c r="A754" s="2" t="s">
        <v>31</v>
      </c>
      <c r="B754" s="19" t="s">
        <v>50</v>
      </c>
      <c r="C754" s="19"/>
      <c r="D754" s="19"/>
      <c r="E754" s="20" t="s">
        <v>33</v>
      </c>
      <c r="F754" s="20"/>
      <c r="G754" s="21" t="s">
        <v>1327</v>
      </c>
      <c r="H754" s="21"/>
      <c r="I754" s="21"/>
      <c r="J754" s="3" t="s">
        <v>35</v>
      </c>
      <c r="K754" s="4" t="s">
        <v>82</v>
      </c>
      <c r="L754" s="4" t="s">
        <v>68</v>
      </c>
      <c r="N754" s="21" t="s">
        <v>1722</v>
      </c>
      <c r="O754" s="21"/>
      <c r="P754" s="21" t="s">
        <v>1723</v>
      </c>
      <c r="Q754" s="21"/>
      <c r="R754" s="21"/>
      <c r="S754" s="3" t="s">
        <v>40</v>
      </c>
      <c r="T754" s="21" t="s">
        <v>41</v>
      </c>
      <c r="U754" s="21"/>
      <c r="V754" s="4" t="s">
        <v>42</v>
      </c>
      <c r="W754" s="4" t="s">
        <v>54</v>
      </c>
      <c r="X754" s="4" t="s">
        <v>55</v>
      </c>
      <c r="Y754" s="21" t="s">
        <v>56</v>
      </c>
      <c r="Z754" s="21"/>
      <c r="AA754" s="4" t="s">
        <v>46</v>
      </c>
      <c r="AB754" s="4" t="s">
        <v>47</v>
      </c>
      <c r="AC754" s="4" t="s">
        <v>57</v>
      </c>
      <c r="AD754" s="4" t="s">
        <v>98</v>
      </c>
      <c r="AE754" s="4" t="s">
        <v>48</v>
      </c>
      <c r="AF754" s="4" t="s">
        <v>41</v>
      </c>
      <c r="AG754" s="4" t="s">
        <v>1330</v>
      </c>
    </row>
    <row r="755" spans="1:33" ht="16.5" customHeight="1" x14ac:dyDescent="0.2">
      <c r="A755" s="2" t="s">
        <v>31</v>
      </c>
      <c r="B755" s="19" t="s">
        <v>50</v>
      </c>
      <c r="C755" s="19"/>
      <c r="D755" s="19"/>
      <c r="E755" s="20" t="s">
        <v>33</v>
      </c>
      <c r="F755" s="20"/>
      <c r="G755" s="21" t="s">
        <v>1327</v>
      </c>
      <c r="H755" s="21"/>
      <c r="I755" s="21"/>
      <c r="J755" s="3" t="s">
        <v>35</v>
      </c>
      <c r="K755" s="4" t="s">
        <v>82</v>
      </c>
      <c r="L755" s="4" t="s">
        <v>37</v>
      </c>
      <c r="N755" s="21" t="s">
        <v>1724</v>
      </c>
      <c r="O755" s="21"/>
      <c r="P755" s="21" t="s">
        <v>1725</v>
      </c>
      <c r="Q755" s="21"/>
      <c r="R755" s="21"/>
      <c r="S755" s="3" t="s">
        <v>40</v>
      </c>
      <c r="T755" s="21" t="s">
        <v>41</v>
      </c>
      <c r="U755" s="21"/>
      <c r="V755" s="4" t="s">
        <v>42</v>
      </c>
      <c r="W755" s="4" t="s">
        <v>54</v>
      </c>
      <c r="X755" s="4" t="s">
        <v>55</v>
      </c>
      <c r="Y755" s="21" t="s">
        <v>56</v>
      </c>
      <c r="Z755" s="21"/>
      <c r="AA755" s="4" t="s">
        <v>46</v>
      </c>
      <c r="AB755" s="4" t="s">
        <v>47</v>
      </c>
      <c r="AC755" s="4" t="s">
        <v>57</v>
      </c>
      <c r="AD755" s="4" t="s">
        <v>58</v>
      </c>
      <c r="AE755" s="4" t="s">
        <v>48</v>
      </c>
      <c r="AF755" s="4" t="s">
        <v>41</v>
      </c>
      <c r="AG755" s="4" t="s">
        <v>1330</v>
      </c>
    </row>
    <row r="756" spans="1:33" ht="16.5" customHeight="1" x14ac:dyDescent="0.2">
      <c r="A756" s="2" t="s">
        <v>31</v>
      </c>
      <c r="B756" s="19" t="s">
        <v>50</v>
      </c>
      <c r="C756" s="19"/>
      <c r="D756" s="19"/>
      <c r="E756" s="20" t="s">
        <v>33</v>
      </c>
      <c r="F756" s="20"/>
      <c r="G756" s="21" t="s">
        <v>1327</v>
      </c>
      <c r="H756" s="21"/>
      <c r="I756" s="21"/>
      <c r="J756" s="3" t="s">
        <v>35</v>
      </c>
      <c r="K756" s="4" t="s">
        <v>82</v>
      </c>
      <c r="L756" s="4" t="s">
        <v>37</v>
      </c>
      <c r="N756" s="21" t="s">
        <v>1726</v>
      </c>
      <c r="O756" s="21"/>
      <c r="P756" s="21" t="s">
        <v>1727</v>
      </c>
      <c r="Q756" s="21"/>
      <c r="R756" s="21"/>
      <c r="S756" s="3" t="s">
        <v>40</v>
      </c>
      <c r="T756" s="21" t="s">
        <v>41</v>
      </c>
      <c r="U756" s="21"/>
      <c r="V756" s="4" t="s">
        <v>42</v>
      </c>
      <c r="W756" s="4" t="s">
        <v>54</v>
      </c>
      <c r="X756" s="4" t="s">
        <v>55</v>
      </c>
      <c r="Y756" s="21" t="s">
        <v>56</v>
      </c>
      <c r="Z756" s="21"/>
      <c r="AA756" s="4" t="s">
        <v>46</v>
      </c>
      <c r="AB756" s="4" t="s">
        <v>47</v>
      </c>
      <c r="AC756" s="4" t="s">
        <v>57</v>
      </c>
      <c r="AD756" s="4" t="s">
        <v>58</v>
      </c>
      <c r="AE756" s="4" t="s">
        <v>48</v>
      </c>
      <c r="AF756" s="4" t="s">
        <v>41</v>
      </c>
      <c r="AG756" s="4" t="s">
        <v>1330</v>
      </c>
    </row>
    <row r="757" spans="1:33" ht="16.5" customHeight="1" x14ac:dyDescent="0.2">
      <c r="A757" s="2" t="s">
        <v>31</v>
      </c>
      <c r="B757" s="19" t="s">
        <v>50</v>
      </c>
      <c r="C757" s="19"/>
      <c r="D757" s="19"/>
      <c r="E757" s="20" t="s">
        <v>33</v>
      </c>
      <c r="F757" s="20"/>
      <c r="G757" s="21" t="s">
        <v>1327</v>
      </c>
      <c r="H757" s="21"/>
      <c r="I757" s="21"/>
      <c r="J757" s="3" t="s">
        <v>35</v>
      </c>
      <c r="K757" s="4" t="s">
        <v>82</v>
      </c>
      <c r="L757" s="4" t="s">
        <v>37</v>
      </c>
      <c r="N757" s="21" t="s">
        <v>1726</v>
      </c>
      <c r="O757" s="21"/>
      <c r="P757" s="21" t="s">
        <v>1727</v>
      </c>
      <c r="Q757" s="21"/>
      <c r="R757" s="21"/>
      <c r="S757" s="3" t="s">
        <v>40</v>
      </c>
      <c r="T757" s="21" t="s">
        <v>41</v>
      </c>
      <c r="U757" s="21"/>
      <c r="V757" s="4" t="s">
        <v>59</v>
      </c>
      <c r="W757" s="4" t="s">
        <v>54</v>
      </c>
      <c r="X757" s="4" t="s">
        <v>60</v>
      </c>
      <c r="Y757" s="21" t="s">
        <v>56</v>
      </c>
      <c r="Z757" s="21"/>
      <c r="AA757" s="4" t="s">
        <v>46</v>
      </c>
      <c r="AB757" s="4" t="s">
        <v>47</v>
      </c>
      <c r="AC757" s="4" t="s">
        <v>57</v>
      </c>
      <c r="AD757" s="4" t="s">
        <v>58</v>
      </c>
      <c r="AE757" s="4" t="s">
        <v>48</v>
      </c>
      <c r="AF757" s="4" t="s">
        <v>41</v>
      </c>
      <c r="AG757" s="4" t="s">
        <v>1330</v>
      </c>
    </row>
    <row r="758" spans="1:33" ht="16.5" customHeight="1" x14ac:dyDescent="0.2">
      <c r="A758" s="2" t="s">
        <v>31</v>
      </c>
      <c r="B758" s="19" t="s">
        <v>50</v>
      </c>
      <c r="C758" s="19"/>
      <c r="D758" s="19"/>
      <c r="E758" s="20" t="s">
        <v>33</v>
      </c>
      <c r="F758" s="20"/>
      <c r="G758" s="21" t="s">
        <v>1327</v>
      </c>
      <c r="H758" s="21"/>
      <c r="I758" s="21"/>
      <c r="J758" s="3" t="s">
        <v>35</v>
      </c>
      <c r="K758" s="4" t="s">
        <v>99</v>
      </c>
      <c r="L758" s="4" t="s">
        <v>37</v>
      </c>
      <c r="N758" s="21" t="s">
        <v>1728</v>
      </c>
      <c r="O758" s="21"/>
      <c r="P758" s="21" t="s">
        <v>1729</v>
      </c>
      <c r="Q758" s="21"/>
      <c r="R758" s="21"/>
      <c r="S758" s="3" t="s">
        <v>40</v>
      </c>
      <c r="T758" s="21" t="s">
        <v>41</v>
      </c>
      <c r="U758" s="21"/>
      <c r="V758" s="4" t="s">
        <v>59</v>
      </c>
      <c r="W758" s="4" t="s">
        <v>54</v>
      </c>
      <c r="X758" s="4" t="s">
        <v>60</v>
      </c>
      <c r="Y758" s="21" t="s">
        <v>56</v>
      </c>
      <c r="Z758" s="21"/>
      <c r="AA758" s="4" t="s">
        <v>46</v>
      </c>
      <c r="AB758" s="4" t="s">
        <v>47</v>
      </c>
      <c r="AC758" s="4" t="s">
        <v>57</v>
      </c>
      <c r="AD758" s="4" t="s">
        <v>58</v>
      </c>
      <c r="AE758" s="4" t="s">
        <v>48</v>
      </c>
      <c r="AF758" s="4" t="s">
        <v>41</v>
      </c>
      <c r="AG758" s="4" t="s">
        <v>1330</v>
      </c>
    </row>
    <row r="759" spans="1:33" ht="16.5" customHeight="1" x14ac:dyDescent="0.2">
      <c r="A759" s="2" t="s">
        <v>31</v>
      </c>
      <c r="B759" s="19" t="s">
        <v>50</v>
      </c>
      <c r="C759" s="19"/>
      <c r="D759" s="19"/>
      <c r="E759" s="20" t="s">
        <v>33</v>
      </c>
      <c r="F759" s="20"/>
      <c r="G759" s="21" t="s">
        <v>1327</v>
      </c>
      <c r="H759" s="21"/>
      <c r="I759" s="21"/>
      <c r="J759" s="3" t="s">
        <v>35</v>
      </c>
      <c r="K759" s="4" t="s">
        <v>82</v>
      </c>
      <c r="L759" s="4" t="s">
        <v>37</v>
      </c>
      <c r="N759" s="21" t="s">
        <v>1730</v>
      </c>
      <c r="O759" s="21"/>
      <c r="P759" s="21" t="s">
        <v>1731</v>
      </c>
      <c r="Q759" s="21"/>
      <c r="R759" s="21"/>
      <c r="S759" s="3" t="s">
        <v>40</v>
      </c>
      <c r="T759" s="21" t="s">
        <v>41</v>
      </c>
      <c r="U759" s="21"/>
      <c r="V759" s="4" t="s">
        <v>42</v>
      </c>
      <c r="W759" s="4" t="s">
        <v>54</v>
      </c>
      <c r="X759" s="4" t="s">
        <v>55</v>
      </c>
      <c r="Y759" s="21" t="s">
        <v>56</v>
      </c>
      <c r="Z759" s="21"/>
      <c r="AA759" s="4" t="s">
        <v>46</v>
      </c>
      <c r="AB759" s="4" t="s">
        <v>47</v>
      </c>
      <c r="AC759" s="4" t="s">
        <v>57</v>
      </c>
      <c r="AD759" s="4" t="s">
        <v>58</v>
      </c>
      <c r="AE759" s="4" t="s">
        <v>48</v>
      </c>
      <c r="AF759" s="4" t="s">
        <v>41</v>
      </c>
      <c r="AG759" s="4" t="s">
        <v>1330</v>
      </c>
    </row>
    <row r="760" spans="1:33" ht="16.5" customHeight="1" x14ac:dyDescent="0.2">
      <c r="A760" s="2" t="s">
        <v>31</v>
      </c>
      <c r="B760" s="19" t="s">
        <v>50</v>
      </c>
      <c r="C760" s="19"/>
      <c r="D760" s="19"/>
      <c r="E760" s="20" t="s">
        <v>33</v>
      </c>
      <c r="F760" s="20"/>
      <c r="G760" s="21" t="s">
        <v>1327</v>
      </c>
      <c r="H760" s="21"/>
      <c r="I760" s="21"/>
      <c r="J760" s="3" t="s">
        <v>35</v>
      </c>
      <c r="K760" s="4" t="s">
        <v>82</v>
      </c>
      <c r="L760" s="4" t="s">
        <v>37</v>
      </c>
      <c r="N760" s="21" t="s">
        <v>1732</v>
      </c>
      <c r="O760" s="21"/>
      <c r="P760" s="21" t="s">
        <v>1733</v>
      </c>
      <c r="Q760" s="21"/>
      <c r="R760" s="21"/>
      <c r="S760" s="3" t="s">
        <v>40</v>
      </c>
      <c r="T760" s="21" t="s">
        <v>41</v>
      </c>
      <c r="U760" s="21"/>
      <c r="V760" s="4" t="s">
        <v>59</v>
      </c>
      <c r="W760" s="4" t="s">
        <v>54</v>
      </c>
      <c r="X760" s="4" t="s">
        <v>60</v>
      </c>
      <c r="Y760" s="21" t="s">
        <v>56</v>
      </c>
      <c r="Z760" s="21"/>
      <c r="AA760" s="4" t="s">
        <v>46</v>
      </c>
      <c r="AB760" s="4" t="s">
        <v>47</v>
      </c>
      <c r="AC760" s="4" t="s">
        <v>57</v>
      </c>
      <c r="AD760" s="4" t="s">
        <v>58</v>
      </c>
      <c r="AE760" s="4" t="s">
        <v>48</v>
      </c>
      <c r="AF760" s="4" t="s">
        <v>41</v>
      </c>
      <c r="AG760" s="4" t="s">
        <v>1330</v>
      </c>
    </row>
    <row r="761" spans="1:33" ht="16.5" customHeight="1" x14ac:dyDescent="0.2">
      <c r="A761" s="2" t="s">
        <v>31</v>
      </c>
      <c r="B761" s="19" t="s">
        <v>50</v>
      </c>
      <c r="C761" s="19"/>
      <c r="D761" s="19"/>
      <c r="E761" s="20" t="s">
        <v>33</v>
      </c>
      <c r="F761" s="20"/>
      <c r="G761" s="21" t="s">
        <v>1327</v>
      </c>
      <c r="H761" s="21"/>
      <c r="I761" s="21"/>
      <c r="J761" s="3" t="s">
        <v>35</v>
      </c>
      <c r="K761" s="4" t="s">
        <v>169</v>
      </c>
      <c r="L761" s="4" t="s">
        <v>68</v>
      </c>
      <c r="N761" s="21" t="s">
        <v>1734</v>
      </c>
      <c r="O761" s="21"/>
      <c r="P761" s="21" t="s">
        <v>1735</v>
      </c>
      <c r="Q761" s="21"/>
      <c r="R761" s="21"/>
      <c r="S761" s="3" t="s">
        <v>40</v>
      </c>
      <c r="T761" s="21" t="s">
        <v>41</v>
      </c>
      <c r="U761" s="21"/>
      <c r="V761" s="4" t="s">
        <v>42</v>
      </c>
      <c r="W761" s="4" t="s">
        <v>130</v>
      </c>
      <c r="X761" s="4" t="s">
        <v>60</v>
      </c>
      <c r="Y761" s="21" t="s">
        <v>56</v>
      </c>
      <c r="Z761" s="21"/>
      <c r="AA761" s="4" t="s">
        <v>46</v>
      </c>
      <c r="AB761" s="4" t="s">
        <v>47</v>
      </c>
      <c r="AC761" s="4" t="s">
        <v>57</v>
      </c>
      <c r="AD761" s="4" t="s">
        <v>98</v>
      </c>
      <c r="AE761" s="4" t="s">
        <v>48</v>
      </c>
      <c r="AF761" s="4" t="s">
        <v>41</v>
      </c>
      <c r="AG761" s="4" t="s">
        <v>1330</v>
      </c>
    </row>
    <row r="762" spans="1:33" ht="16.5" customHeight="1" x14ac:dyDescent="0.2">
      <c r="A762" s="2" t="s">
        <v>31</v>
      </c>
      <c r="B762" s="19" t="s">
        <v>50</v>
      </c>
      <c r="C762" s="19"/>
      <c r="D762" s="19"/>
      <c r="E762" s="20" t="s">
        <v>33</v>
      </c>
      <c r="F762" s="20"/>
      <c r="G762" s="21" t="s">
        <v>1327</v>
      </c>
      <c r="H762" s="21"/>
      <c r="I762" s="21"/>
      <c r="J762" s="3" t="s">
        <v>35</v>
      </c>
      <c r="K762" s="4" t="s">
        <v>82</v>
      </c>
      <c r="L762" s="4" t="s">
        <v>445</v>
      </c>
      <c r="N762" s="21" t="s">
        <v>1736</v>
      </c>
      <c r="O762" s="21"/>
      <c r="P762" s="21" t="s">
        <v>1737</v>
      </c>
      <c r="Q762" s="21"/>
      <c r="R762" s="21"/>
      <c r="S762" s="3" t="s">
        <v>40</v>
      </c>
      <c r="T762" s="21" t="s">
        <v>41</v>
      </c>
      <c r="U762" s="21"/>
      <c r="V762" s="4" t="s">
        <v>42</v>
      </c>
      <c r="W762" s="4" t="s">
        <v>130</v>
      </c>
      <c r="X762" s="4" t="s">
        <v>60</v>
      </c>
      <c r="Y762" s="21" t="s">
        <v>56</v>
      </c>
      <c r="Z762" s="21"/>
      <c r="AA762" s="4" t="s">
        <v>46</v>
      </c>
      <c r="AB762" s="4" t="s">
        <v>47</v>
      </c>
      <c r="AC762" s="4" t="s">
        <v>57</v>
      </c>
      <c r="AD762" s="4" t="s">
        <v>449</v>
      </c>
      <c r="AE762" s="4" t="s">
        <v>48</v>
      </c>
      <c r="AF762" s="4" t="s">
        <v>41</v>
      </c>
      <c r="AG762" s="4" t="s">
        <v>1330</v>
      </c>
    </row>
    <row r="763" spans="1:33" ht="16.5" customHeight="1" x14ac:dyDescent="0.2">
      <c r="A763" s="2" t="s">
        <v>31</v>
      </c>
      <c r="B763" s="19" t="s">
        <v>50</v>
      </c>
      <c r="C763" s="19"/>
      <c r="D763" s="19"/>
      <c r="E763" s="20" t="s">
        <v>33</v>
      </c>
      <c r="F763" s="20"/>
      <c r="G763" s="21" t="s">
        <v>1327</v>
      </c>
      <c r="H763" s="21"/>
      <c r="I763" s="21"/>
      <c r="J763" s="3" t="s">
        <v>35</v>
      </c>
      <c r="K763" s="4" t="s">
        <v>152</v>
      </c>
      <c r="L763" s="4" t="s">
        <v>37</v>
      </c>
      <c r="N763" s="21" t="s">
        <v>1738</v>
      </c>
      <c r="O763" s="21"/>
      <c r="P763" s="21" t="s">
        <v>1739</v>
      </c>
      <c r="Q763" s="21"/>
      <c r="R763" s="21"/>
      <c r="S763" s="3" t="s">
        <v>40</v>
      </c>
      <c r="T763" s="21" t="s">
        <v>41</v>
      </c>
      <c r="U763" s="21"/>
      <c r="V763" s="4" t="s">
        <v>42</v>
      </c>
      <c r="W763" s="4" t="s">
        <v>1740</v>
      </c>
      <c r="X763" s="4" t="s">
        <v>55</v>
      </c>
      <c r="Y763" s="21" t="s">
        <v>56</v>
      </c>
      <c r="Z763" s="21"/>
      <c r="AA763" s="4" t="s">
        <v>46</v>
      </c>
      <c r="AB763" s="4" t="s">
        <v>47</v>
      </c>
      <c r="AC763" s="4" t="s">
        <v>57</v>
      </c>
      <c r="AD763" s="4" t="s">
        <v>58</v>
      </c>
      <c r="AE763" s="4" t="s">
        <v>48</v>
      </c>
      <c r="AF763" s="4" t="s">
        <v>41</v>
      </c>
      <c r="AG763" s="4" t="s">
        <v>1330</v>
      </c>
    </row>
    <row r="764" spans="1:33" ht="16.5" customHeight="1" x14ac:dyDescent="0.2">
      <c r="A764" s="2" t="s">
        <v>31</v>
      </c>
      <c r="B764" s="19" t="s">
        <v>50</v>
      </c>
      <c r="C764" s="19"/>
      <c r="D764" s="19"/>
      <c r="E764" s="20" t="s">
        <v>33</v>
      </c>
      <c r="F764" s="20"/>
      <c r="G764" s="21" t="s">
        <v>1327</v>
      </c>
      <c r="H764" s="21"/>
      <c r="I764" s="21"/>
      <c r="J764" s="3" t="s">
        <v>35</v>
      </c>
      <c r="K764" s="4" t="s">
        <v>152</v>
      </c>
      <c r="L764" s="4" t="s">
        <v>37</v>
      </c>
      <c r="N764" s="21" t="s">
        <v>1738</v>
      </c>
      <c r="O764" s="21"/>
      <c r="P764" s="21" t="s">
        <v>1739</v>
      </c>
      <c r="Q764" s="21"/>
      <c r="R764" s="21"/>
      <c r="S764" s="3" t="s">
        <v>40</v>
      </c>
      <c r="T764" s="21" t="s">
        <v>41</v>
      </c>
      <c r="U764" s="21"/>
      <c r="V764" s="4" t="s">
        <v>59</v>
      </c>
      <c r="W764" s="4" t="s">
        <v>1740</v>
      </c>
      <c r="X764" s="4" t="s">
        <v>60</v>
      </c>
      <c r="Y764" s="21" t="s">
        <v>56</v>
      </c>
      <c r="Z764" s="21"/>
      <c r="AA764" s="4" t="s">
        <v>46</v>
      </c>
      <c r="AB764" s="4" t="s">
        <v>47</v>
      </c>
      <c r="AC764" s="4" t="s">
        <v>57</v>
      </c>
      <c r="AD764" s="4" t="s">
        <v>58</v>
      </c>
      <c r="AE764" s="4" t="s">
        <v>48</v>
      </c>
      <c r="AF764" s="4" t="s">
        <v>41</v>
      </c>
      <c r="AG764" s="4" t="s">
        <v>1330</v>
      </c>
    </row>
    <row r="765" spans="1:33" ht="16.5" customHeight="1" x14ac:dyDescent="0.2">
      <c r="A765" s="2" t="s">
        <v>31</v>
      </c>
      <c r="B765" s="19" t="s">
        <v>50</v>
      </c>
      <c r="C765" s="19"/>
      <c r="D765" s="19"/>
      <c r="E765" s="20" t="s">
        <v>33</v>
      </c>
      <c r="F765" s="20"/>
      <c r="G765" s="21" t="s">
        <v>1327</v>
      </c>
      <c r="H765" s="21"/>
      <c r="I765" s="21"/>
      <c r="J765" s="3" t="s">
        <v>35</v>
      </c>
      <c r="K765" s="4" t="s">
        <v>82</v>
      </c>
      <c r="L765" s="4" t="s">
        <v>37</v>
      </c>
      <c r="N765" s="21" t="s">
        <v>1741</v>
      </c>
      <c r="O765" s="21"/>
      <c r="P765" s="21" t="s">
        <v>1742</v>
      </c>
      <c r="Q765" s="21"/>
      <c r="R765" s="21"/>
      <c r="S765" s="3" t="s">
        <v>40</v>
      </c>
      <c r="T765" s="21" t="s">
        <v>41</v>
      </c>
      <c r="U765" s="21"/>
      <c r="V765" s="4" t="s">
        <v>59</v>
      </c>
      <c r="W765" s="4" t="s">
        <v>130</v>
      </c>
      <c r="X765" s="4" t="s">
        <v>131</v>
      </c>
      <c r="Y765" s="21" t="s">
        <v>56</v>
      </c>
      <c r="Z765" s="21"/>
      <c r="AA765" s="4" t="s">
        <v>46</v>
      </c>
      <c r="AB765" s="4" t="s">
        <v>47</v>
      </c>
      <c r="AC765" s="4" t="s">
        <v>57</v>
      </c>
      <c r="AD765" s="4" t="s">
        <v>58</v>
      </c>
      <c r="AE765" s="4" t="s">
        <v>48</v>
      </c>
      <c r="AF765" s="4" t="s">
        <v>41</v>
      </c>
      <c r="AG765" s="4" t="s">
        <v>1330</v>
      </c>
    </row>
    <row r="766" spans="1:33" ht="16.5" customHeight="1" x14ac:dyDescent="0.2">
      <c r="A766" s="2" t="s">
        <v>31</v>
      </c>
      <c r="B766" s="19" t="s">
        <v>50</v>
      </c>
      <c r="C766" s="19"/>
      <c r="D766" s="19"/>
      <c r="E766" s="20" t="s">
        <v>33</v>
      </c>
      <c r="F766" s="20"/>
      <c r="G766" s="21" t="s">
        <v>1327</v>
      </c>
      <c r="H766" s="21"/>
      <c r="I766" s="21"/>
      <c r="J766" s="3" t="s">
        <v>35</v>
      </c>
      <c r="K766" s="4" t="s">
        <v>82</v>
      </c>
      <c r="L766" s="4" t="s">
        <v>37</v>
      </c>
      <c r="N766" s="21" t="s">
        <v>1743</v>
      </c>
      <c r="O766" s="21"/>
      <c r="P766" s="21" t="s">
        <v>1744</v>
      </c>
      <c r="Q766" s="21"/>
      <c r="R766" s="21"/>
      <c r="S766" s="3" t="s">
        <v>40</v>
      </c>
      <c r="T766" s="21" t="s">
        <v>41</v>
      </c>
      <c r="U766" s="21"/>
      <c r="V766" s="4" t="s">
        <v>42</v>
      </c>
      <c r="W766" s="4" t="s">
        <v>59</v>
      </c>
      <c r="X766" s="4" t="s">
        <v>131</v>
      </c>
      <c r="Y766" s="21" t="s">
        <v>56</v>
      </c>
      <c r="Z766" s="21"/>
      <c r="AA766" s="4" t="s">
        <v>46</v>
      </c>
      <c r="AB766" s="4" t="s">
        <v>47</v>
      </c>
      <c r="AC766" s="4" t="s">
        <v>57</v>
      </c>
      <c r="AD766" s="4" t="s">
        <v>58</v>
      </c>
      <c r="AE766" s="4" t="s">
        <v>48</v>
      </c>
      <c r="AF766" s="4" t="s">
        <v>41</v>
      </c>
      <c r="AG766" s="4" t="s">
        <v>1330</v>
      </c>
    </row>
    <row r="767" spans="1:33" ht="16.5" customHeight="1" x14ac:dyDescent="0.2">
      <c r="A767" s="2" t="s">
        <v>31</v>
      </c>
      <c r="B767" s="19" t="s">
        <v>50</v>
      </c>
      <c r="C767" s="19"/>
      <c r="D767" s="19"/>
      <c r="E767" s="20" t="s">
        <v>33</v>
      </c>
      <c r="F767" s="20"/>
      <c r="G767" s="21" t="s">
        <v>1327</v>
      </c>
      <c r="H767" s="21"/>
      <c r="I767" s="21"/>
      <c r="J767" s="3" t="s">
        <v>35</v>
      </c>
      <c r="K767" s="4" t="s">
        <v>82</v>
      </c>
      <c r="L767" s="4" t="s">
        <v>37</v>
      </c>
      <c r="N767" s="21" t="s">
        <v>1745</v>
      </c>
      <c r="O767" s="21"/>
      <c r="P767" s="21" t="s">
        <v>1746</v>
      </c>
      <c r="Q767" s="21"/>
      <c r="R767" s="21"/>
      <c r="S767" s="3" t="s">
        <v>40</v>
      </c>
      <c r="T767" s="21" t="s">
        <v>41</v>
      </c>
      <c r="U767" s="21"/>
      <c r="V767" s="4" t="s">
        <v>42</v>
      </c>
      <c r="W767" s="4" t="s">
        <v>59</v>
      </c>
      <c r="X767" s="4" t="s">
        <v>131</v>
      </c>
      <c r="Y767" s="21" t="s">
        <v>56</v>
      </c>
      <c r="Z767" s="21"/>
      <c r="AA767" s="4" t="s">
        <v>46</v>
      </c>
      <c r="AB767" s="4" t="s">
        <v>47</v>
      </c>
      <c r="AC767" s="4" t="s">
        <v>57</v>
      </c>
      <c r="AD767" s="4" t="s">
        <v>58</v>
      </c>
      <c r="AE767" s="4" t="s">
        <v>48</v>
      </c>
      <c r="AF767" s="4" t="s">
        <v>41</v>
      </c>
      <c r="AG767" s="4" t="s">
        <v>1330</v>
      </c>
    </row>
    <row r="768" spans="1:33" ht="16.5" customHeight="1" x14ac:dyDescent="0.2">
      <c r="A768" s="2" t="s">
        <v>31</v>
      </c>
      <c r="B768" s="19" t="s">
        <v>110</v>
      </c>
      <c r="C768" s="19"/>
      <c r="D768" s="19"/>
      <c r="E768" s="20" t="s">
        <v>33</v>
      </c>
      <c r="F768" s="20"/>
      <c r="G768" s="21" t="s">
        <v>1327</v>
      </c>
      <c r="H768" s="21"/>
      <c r="I768" s="21"/>
      <c r="J768" s="3" t="s">
        <v>35</v>
      </c>
      <c r="K768" s="4" t="s">
        <v>1301</v>
      </c>
      <c r="N768" s="21" t="s">
        <v>1747</v>
      </c>
      <c r="O768" s="21"/>
      <c r="P768" s="21" t="s">
        <v>1748</v>
      </c>
      <c r="Q768" s="21"/>
      <c r="R768" s="21"/>
      <c r="S768" s="3" t="s">
        <v>40</v>
      </c>
      <c r="T768" s="21" t="s">
        <v>1749</v>
      </c>
      <c r="U768" s="21"/>
      <c r="V768" s="4" t="s">
        <v>59</v>
      </c>
      <c r="W768" s="4" t="s">
        <v>108</v>
      </c>
      <c r="X768" s="4" t="s">
        <v>382</v>
      </c>
      <c r="Y768" s="21" t="s">
        <v>980</v>
      </c>
      <c r="Z768" s="21"/>
      <c r="AA768" s="4" t="s">
        <v>46</v>
      </c>
      <c r="AB768" s="4" t="s">
        <v>117</v>
      </c>
      <c r="AC768" s="4" t="s">
        <v>1305</v>
      </c>
      <c r="AD768" s="4" t="s">
        <v>1750</v>
      </c>
      <c r="AE768" s="4" t="s">
        <v>48</v>
      </c>
      <c r="AF768" s="4" t="s">
        <v>41</v>
      </c>
      <c r="AG768" s="4" t="s">
        <v>1330</v>
      </c>
    </row>
    <row r="769" spans="1:33" ht="16.5" customHeight="1" x14ac:dyDescent="0.2">
      <c r="A769" s="2" t="s">
        <v>31</v>
      </c>
      <c r="B769" s="19" t="s">
        <v>110</v>
      </c>
      <c r="C769" s="19"/>
      <c r="D769" s="19"/>
      <c r="E769" s="20" t="s">
        <v>33</v>
      </c>
      <c r="F769" s="20"/>
      <c r="G769" s="21" t="s">
        <v>1327</v>
      </c>
      <c r="H769" s="21"/>
      <c r="I769" s="21"/>
      <c r="J769" s="3" t="s">
        <v>35</v>
      </c>
      <c r="K769" s="4" t="s">
        <v>1301</v>
      </c>
      <c r="N769" s="21" t="s">
        <v>1751</v>
      </c>
      <c r="O769" s="21"/>
      <c r="P769" s="21" t="s">
        <v>1752</v>
      </c>
      <c r="Q769" s="21"/>
      <c r="R769" s="21"/>
      <c r="S769" s="3" t="s">
        <v>40</v>
      </c>
      <c r="T769" s="21" t="s">
        <v>1753</v>
      </c>
      <c r="U769" s="21"/>
      <c r="V769" s="4" t="s">
        <v>59</v>
      </c>
      <c r="W769" s="4" t="s">
        <v>108</v>
      </c>
      <c r="X769" s="4" t="s">
        <v>382</v>
      </c>
      <c r="Y769" s="21" t="s">
        <v>980</v>
      </c>
      <c r="Z769" s="21"/>
      <c r="AA769" s="4" t="s">
        <v>46</v>
      </c>
      <c r="AB769" s="4" t="s">
        <v>117</v>
      </c>
      <c r="AC769" s="4" t="s">
        <v>1305</v>
      </c>
      <c r="AD769" s="4" t="s">
        <v>1754</v>
      </c>
      <c r="AE769" s="4" t="s">
        <v>48</v>
      </c>
      <c r="AF769" s="4" t="s">
        <v>41</v>
      </c>
      <c r="AG769" s="4" t="s">
        <v>1330</v>
      </c>
    </row>
    <row r="770" spans="1:33" ht="16.5" customHeight="1" x14ac:dyDescent="0.2">
      <c r="A770" s="2" t="s">
        <v>31</v>
      </c>
      <c r="B770" s="19" t="s">
        <v>110</v>
      </c>
      <c r="C770" s="19"/>
      <c r="D770" s="19"/>
      <c r="E770" s="20" t="s">
        <v>33</v>
      </c>
      <c r="F770" s="20"/>
      <c r="G770" s="21" t="s">
        <v>1327</v>
      </c>
      <c r="H770" s="21"/>
      <c r="I770" s="21"/>
      <c r="J770" s="3" t="s">
        <v>35</v>
      </c>
      <c r="K770" s="4" t="s">
        <v>1301</v>
      </c>
      <c r="N770" s="21" t="s">
        <v>1755</v>
      </c>
      <c r="O770" s="21"/>
      <c r="P770" s="21" t="s">
        <v>1756</v>
      </c>
      <c r="Q770" s="21"/>
      <c r="R770" s="21"/>
      <c r="S770" s="3" t="s">
        <v>40</v>
      </c>
      <c r="T770" s="21" t="s">
        <v>1757</v>
      </c>
      <c r="U770" s="21"/>
      <c r="V770" s="4" t="s">
        <v>42</v>
      </c>
      <c r="W770" s="4" t="s">
        <v>310</v>
      </c>
      <c r="X770" s="4" t="s">
        <v>311</v>
      </c>
      <c r="Y770" s="21" t="s">
        <v>980</v>
      </c>
      <c r="Z770" s="21"/>
      <c r="AA770" s="4" t="s">
        <v>46</v>
      </c>
      <c r="AB770" s="4" t="s">
        <v>117</v>
      </c>
      <c r="AC770" s="4" t="s">
        <v>1305</v>
      </c>
      <c r="AD770" s="4" t="s">
        <v>1758</v>
      </c>
      <c r="AE770" s="4" t="s">
        <v>48</v>
      </c>
      <c r="AF770" s="4" t="s">
        <v>41</v>
      </c>
      <c r="AG770" s="4" t="s">
        <v>1330</v>
      </c>
    </row>
    <row r="771" spans="1:33" ht="16.5" customHeight="1" x14ac:dyDescent="0.2">
      <c r="A771" s="2" t="s">
        <v>31</v>
      </c>
      <c r="B771" s="19" t="s">
        <v>110</v>
      </c>
      <c r="C771" s="19"/>
      <c r="D771" s="19"/>
      <c r="E771" s="20" t="s">
        <v>33</v>
      </c>
      <c r="F771" s="20"/>
      <c r="G771" s="21" t="s">
        <v>1327</v>
      </c>
      <c r="H771" s="21"/>
      <c r="I771" s="21"/>
      <c r="J771" s="3" t="s">
        <v>35</v>
      </c>
      <c r="K771" s="4" t="s">
        <v>955</v>
      </c>
      <c r="N771" s="21" t="s">
        <v>1759</v>
      </c>
      <c r="O771" s="21"/>
      <c r="P771" s="21" t="s">
        <v>1760</v>
      </c>
      <c r="Q771" s="21"/>
      <c r="R771" s="21"/>
      <c r="S771" s="3" t="s">
        <v>40</v>
      </c>
      <c r="T771" s="21" t="s">
        <v>1761</v>
      </c>
      <c r="U771" s="21"/>
      <c r="V771" s="4" t="s">
        <v>59</v>
      </c>
      <c r="W771" s="4" t="s">
        <v>310</v>
      </c>
      <c r="X771" s="4" t="s">
        <v>86</v>
      </c>
      <c r="Y771" s="21" t="s">
        <v>959</v>
      </c>
      <c r="Z771" s="21"/>
      <c r="AA771" s="4" t="s">
        <v>46</v>
      </c>
      <c r="AB771" s="4" t="s">
        <v>117</v>
      </c>
      <c r="AC771" s="4" t="s">
        <v>960</v>
      </c>
      <c r="AD771" s="4" t="s">
        <v>1762</v>
      </c>
      <c r="AE771" s="4" t="s">
        <v>48</v>
      </c>
      <c r="AF771" s="4" t="s">
        <v>41</v>
      </c>
      <c r="AG771" s="4" t="s">
        <v>1330</v>
      </c>
    </row>
    <row r="772" spans="1:33" ht="16.5" customHeight="1" x14ac:dyDescent="0.2">
      <c r="A772" s="2" t="s">
        <v>31</v>
      </c>
      <c r="B772" s="19" t="s">
        <v>110</v>
      </c>
      <c r="C772" s="19"/>
      <c r="D772" s="19"/>
      <c r="E772" s="20" t="s">
        <v>33</v>
      </c>
      <c r="F772" s="20"/>
      <c r="G772" s="21" t="s">
        <v>1327</v>
      </c>
      <c r="H772" s="21"/>
      <c r="I772" s="21"/>
      <c r="J772" s="3" t="s">
        <v>35</v>
      </c>
      <c r="K772" s="4" t="s">
        <v>1763</v>
      </c>
      <c r="N772" s="21" t="s">
        <v>1764</v>
      </c>
      <c r="O772" s="21"/>
      <c r="P772" s="21" t="s">
        <v>1765</v>
      </c>
      <c r="Q772" s="21"/>
      <c r="R772" s="21"/>
      <c r="S772" s="3" t="s">
        <v>40</v>
      </c>
      <c r="T772" s="21" t="s">
        <v>1766</v>
      </c>
      <c r="U772" s="21"/>
      <c r="V772" s="4" t="s">
        <v>59</v>
      </c>
      <c r="W772" s="4" t="s">
        <v>310</v>
      </c>
      <c r="X772" s="4" t="s">
        <v>86</v>
      </c>
      <c r="Y772" s="21" t="s">
        <v>398</v>
      </c>
      <c r="Z772" s="21"/>
      <c r="AA772" s="4" t="s">
        <v>46</v>
      </c>
      <c r="AB772" s="4" t="s">
        <v>117</v>
      </c>
      <c r="AC772" s="4" t="s">
        <v>399</v>
      </c>
      <c r="AD772" s="4" t="s">
        <v>1767</v>
      </c>
      <c r="AE772" s="4" t="s">
        <v>48</v>
      </c>
      <c r="AF772" s="4" t="s">
        <v>41</v>
      </c>
      <c r="AG772" s="4" t="s">
        <v>1330</v>
      </c>
    </row>
    <row r="773" spans="1:33" ht="16.5" customHeight="1" x14ac:dyDescent="0.2">
      <c r="A773" s="2" t="s">
        <v>31</v>
      </c>
      <c r="B773" s="19" t="s">
        <v>110</v>
      </c>
      <c r="C773" s="19"/>
      <c r="D773" s="19"/>
      <c r="E773" s="20" t="s">
        <v>33</v>
      </c>
      <c r="F773" s="20"/>
      <c r="G773" s="21" t="s">
        <v>1327</v>
      </c>
      <c r="H773" s="21"/>
      <c r="I773" s="21"/>
      <c r="J773" s="3" t="s">
        <v>35</v>
      </c>
      <c r="K773" s="4" t="s">
        <v>1763</v>
      </c>
      <c r="N773" s="21" t="s">
        <v>1764</v>
      </c>
      <c r="O773" s="21"/>
      <c r="P773" s="21" t="s">
        <v>1765</v>
      </c>
      <c r="Q773" s="21"/>
      <c r="R773" s="21"/>
      <c r="S773" s="3" t="s">
        <v>40</v>
      </c>
      <c r="T773" s="21" t="s">
        <v>1768</v>
      </c>
      <c r="U773" s="21"/>
      <c r="V773" s="4" t="s">
        <v>59</v>
      </c>
      <c r="W773" s="4" t="s">
        <v>310</v>
      </c>
      <c r="X773" s="4" t="s">
        <v>86</v>
      </c>
      <c r="Y773" s="21" t="s">
        <v>398</v>
      </c>
      <c r="Z773" s="21"/>
      <c r="AA773" s="4" t="s">
        <v>46</v>
      </c>
      <c r="AB773" s="4" t="s">
        <v>117</v>
      </c>
      <c r="AC773" s="4" t="s">
        <v>399</v>
      </c>
      <c r="AD773" s="4" t="s">
        <v>1769</v>
      </c>
      <c r="AE773" s="4" t="s">
        <v>48</v>
      </c>
      <c r="AF773" s="4" t="s">
        <v>41</v>
      </c>
      <c r="AG773" s="4" t="s">
        <v>1330</v>
      </c>
    </row>
    <row r="774" spans="1:33" ht="16.5" customHeight="1" x14ac:dyDescent="0.2">
      <c r="A774" s="2" t="s">
        <v>31</v>
      </c>
      <c r="B774" s="19" t="s">
        <v>110</v>
      </c>
      <c r="C774" s="19"/>
      <c r="D774" s="19"/>
      <c r="E774" s="20" t="s">
        <v>33</v>
      </c>
      <c r="F774" s="20"/>
      <c r="G774" s="21" t="s">
        <v>1327</v>
      </c>
      <c r="H774" s="21"/>
      <c r="I774" s="21"/>
      <c r="J774" s="3" t="s">
        <v>35</v>
      </c>
      <c r="K774" s="4" t="s">
        <v>1763</v>
      </c>
      <c r="N774" s="21" t="s">
        <v>1764</v>
      </c>
      <c r="O774" s="21"/>
      <c r="P774" s="21" t="s">
        <v>1765</v>
      </c>
      <c r="Q774" s="21"/>
      <c r="R774" s="21"/>
      <c r="S774" s="3" t="s">
        <v>40</v>
      </c>
      <c r="T774" s="21" t="s">
        <v>1770</v>
      </c>
      <c r="U774" s="21"/>
      <c r="V774" s="4" t="s">
        <v>1771</v>
      </c>
      <c r="W774" s="4" t="s">
        <v>310</v>
      </c>
      <c r="X774" s="4" t="s">
        <v>95</v>
      </c>
      <c r="Y774" s="21" t="s">
        <v>398</v>
      </c>
      <c r="Z774" s="21"/>
      <c r="AA774" s="4" t="s">
        <v>46</v>
      </c>
      <c r="AB774" s="4" t="s">
        <v>117</v>
      </c>
      <c r="AC774" s="4" t="s">
        <v>399</v>
      </c>
      <c r="AD774" s="4" t="s">
        <v>1772</v>
      </c>
      <c r="AE774" s="4" t="s">
        <v>48</v>
      </c>
      <c r="AF774" s="4" t="s">
        <v>41</v>
      </c>
      <c r="AG774" s="4" t="s">
        <v>1330</v>
      </c>
    </row>
    <row r="775" spans="1:33" ht="16.5" customHeight="1" x14ac:dyDescent="0.2">
      <c r="A775" s="2" t="s">
        <v>31</v>
      </c>
      <c r="B775" s="19" t="s">
        <v>110</v>
      </c>
      <c r="C775" s="19"/>
      <c r="D775" s="19"/>
      <c r="E775" s="20" t="s">
        <v>33</v>
      </c>
      <c r="F775" s="20"/>
      <c r="G775" s="21" t="s">
        <v>1327</v>
      </c>
      <c r="H775" s="21"/>
      <c r="I775" s="21"/>
      <c r="J775" s="3" t="s">
        <v>35</v>
      </c>
      <c r="K775" s="4" t="s">
        <v>1301</v>
      </c>
      <c r="N775" s="21" t="s">
        <v>1773</v>
      </c>
      <c r="O775" s="21"/>
      <c r="P775" s="21" t="s">
        <v>1774</v>
      </c>
      <c r="Q775" s="21"/>
      <c r="R775" s="21"/>
      <c r="S775" s="3" t="s">
        <v>40</v>
      </c>
      <c r="T775" s="21" t="s">
        <v>1775</v>
      </c>
      <c r="U775" s="21"/>
      <c r="V775" s="4" t="s">
        <v>42</v>
      </c>
      <c r="W775" s="4" t="s">
        <v>85</v>
      </c>
      <c r="X775" s="4" t="s">
        <v>86</v>
      </c>
      <c r="Y775" s="21" t="s">
        <v>980</v>
      </c>
      <c r="Z775" s="21"/>
      <c r="AA775" s="4" t="s">
        <v>46</v>
      </c>
      <c r="AB775" s="4" t="s">
        <v>117</v>
      </c>
      <c r="AC775" s="4" t="s">
        <v>1305</v>
      </c>
      <c r="AD775" s="4" t="s">
        <v>1776</v>
      </c>
      <c r="AE775" s="4" t="s">
        <v>48</v>
      </c>
      <c r="AF775" s="4" t="s">
        <v>41</v>
      </c>
      <c r="AG775" s="4" t="s">
        <v>1330</v>
      </c>
    </row>
    <row r="776" spans="1:33" ht="16.5" customHeight="1" x14ac:dyDescent="0.2">
      <c r="A776" s="2" t="s">
        <v>31</v>
      </c>
      <c r="B776" s="19" t="s">
        <v>110</v>
      </c>
      <c r="C776" s="19"/>
      <c r="D776" s="19"/>
      <c r="E776" s="20" t="s">
        <v>33</v>
      </c>
      <c r="F776" s="20"/>
      <c r="G776" s="21" t="s">
        <v>1327</v>
      </c>
      <c r="H776" s="21"/>
      <c r="I776" s="21"/>
      <c r="J776" s="3" t="s">
        <v>35</v>
      </c>
      <c r="K776" s="4" t="s">
        <v>1301</v>
      </c>
      <c r="N776" s="21" t="s">
        <v>1777</v>
      </c>
      <c r="O776" s="21"/>
      <c r="P776" s="21" t="s">
        <v>1778</v>
      </c>
      <c r="Q776" s="21"/>
      <c r="R776" s="21"/>
      <c r="S776" s="3" t="s">
        <v>40</v>
      </c>
      <c r="T776" s="21" t="s">
        <v>1779</v>
      </c>
      <c r="U776" s="21"/>
      <c r="V776" s="4" t="s">
        <v>59</v>
      </c>
      <c r="W776" s="4" t="s">
        <v>85</v>
      </c>
      <c r="X776" s="4" t="s">
        <v>95</v>
      </c>
      <c r="Y776" s="21" t="s">
        <v>980</v>
      </c>
      <c r="Z776" s="21"/>
      <c r="AA776" s="4" t="s">
        <v>46</v>
      </c>
      <c r="AB776" s="4" t="s">
        <v>117</v>
      </c>
      <c r="AC776" s="4" t="s">
        <v>1305</v>
      </c>
      <c r="AD776" s="4" t="s">
        <v>1780</v>
      </c>
      <c r="AE776" s="4" t="s">
        <v>48</v>
      </c>
      <c r="AF776" s="4" t="s">
        <v>41</v>
      </c>
      <c r="AG776" s="4" t="s">
        <v>1330</v>
      </c>
    </row>
    <row r="777" spans="1:33" ht="16.5" customHeight="1" x14ac:dyDescent="0.2">
      <c r="A777" s="2" t="s">
        <v>31</v>
      </c>
      <c r="B777" s="19" t="s">
        <v>110</v>
      </c>
      <c r="C777" s="19"/>
      <c r="D777" s="19"/>
      <c r="E777" s="20" t="s">
        <v>33</v>
      </c>
      <c r="F777" s="20"/>
      <c r="G777" s="21" t="s">
        <v>1327</v>
      </c>
      <c r="H777" s="21"/>
      <c r="I777" s="21"/>
      <c r="J777" s="3" t="s">
        <v>35</v>
      </c>
      <c r="K777" s="4" t="s">
        <v>1301</v>
      </c>
      <c r="N777" s="21" t="s">
        <v>1781</v>
      </c>
      <c r="O777" s="21"/>
      <c r="P777" s="21" t="s">
        <v>1782</v>
      </c>
      <c r="Q777" s="21"/>
      <c r="R777" s="21"/>
      <c r="S777" s="3" t="s">
        <v>40</v>
      </c>
      <c r="T777" s="21" t="s">
        <v>1783</v>
      </c>
      <c r="U777" s="21"/>
      <c r="V777" s="4" t="s">
        <v>59</v>
      </c>
      <c r="W777" s="4" t="s">
        <v>85</v>
      </c>
      <c r="X777" s="4" t="s">
        <v>95</v>
      </c>
      <c r="Y777" s="21" t="s">
        <v>980</v>
      </c>
      <c r="Z777" s="21"/>
      <c r="AA777" s="4" t="s">
        <v>46</v>
      </c>
      <c r="AB777" s="4" t="s">
        <v>117</v>
      </c>
      <c r="AC777" s="4" t="s">
        <v>1305</v>
      </c>
      <c r="AD777" s="4" t="s">
        <v>1784</v>
      </c>
      <c r="AE777" s="4" t="s">
        <v>48</v>
      </c>
      <c r="AF777" s="4" t="s">
        <v>41</v>
      </c>
      <c r="AG777" s="4" t="s">
        <v>1330</v>
      </c>
    </row>
    <row r="778" spans="1:33" ht="16.5" customHeight="1" x14ac:dyDescent="0.2">
      <c r="A778" s="2" t="s">
        <v>31</v>
      </c>
      <c r="B778" s="19" t="s">
        <v>110</v>
      </c>
      <c r="C778" s="19"/>
      <c r="D778" s="19"/>
      <c r="E778" s="20" t="s">
        <v>33</v>
      </c>
      <c r="F778" s="20"/>
      <c r="G778" s="21" t="s">
        <v>1327</v>
      </c>
      <c r="H778" s="21"/>
      <c r="I778" s="21"/>
      <c r="J778" s="3" t="s">
        <v>35</v>
      </c>
      <c r="K778" s="4" t="s">
        <v>1301</v>
      </c>
      <c r="N778" s="21" t="s">
        <v>1785</v>
      </c>
      <c r="O778" s="21"/>
      <c r="P778" s="21" t="s">
        <v>1786</v>
      </c>
      <c r="Q778" s="21"/>
      <c r="R778" s="21"/>
      <c r="S778" s="3" t="s">
        <v>40</v>
      </c>
      <c r="T778" s="21" t="s">
        <v>1757</v>
      </c>
      <c r="U778" s="21"/>
      <c r="V778" s="4" t="s">
        <v>42</v>
      </c>
      <c r="W778" s="4" t="s">
        <v>104</v>
      </c>
      <c r="X778" s="4" t="s">
        <v>105</v>
      </c>
      <c r="Y778" s="21" t="s">
        <v>980</v>
      </c>
      <c r="Z778" s="21"/>
      <c r="AA778" s="4" t="s">
        <v>46</v>
      </c>
      <c r="AB778" s="4" t="s">
        <v>117</v>
      </c>
      <c r="AC778" s="4" t="s">
        <v>1305</v>
      </c>
      <c r="AD778" s="4" t="s">
        <v>1758</v>
      </c>
      <c r="AE778" s="4" t="s">
        <v>48</v>
      </c>
      <c r="AF778" s="4" t="s">
        <v>41</v>
      </c>
      <c r="AG778" s="4" t="s">
        <v>1330</v>
      </c>
    </row>
    <row r="779" spans="1:33" ht="16.5" customHeight="1" x14ac:dyDescent="0.2">
      <c r="A779" s="2" t="s">
        <v>31</v>
      </c>
      <c r="B779" s="19" t="s">
        <v>110</v>
      </c>
      <c r="C779" s="19"/>
      <c r="D779" s="19"/>
      <c r="E779" s="20" t="s">
        <v>33</v>
      </c>
      <c r="F779" s="20"/>
      <c r="G779" s="21" t="s">
        <v>1327</v>
      </c>
      <c r="H779" s="21"/>
      <c r="I779" s="21"/>
      <c r="J779" s="3" t="s">
        <v>35</v>
      </c>
      <c r="K779" s="4" t="s">
        <v>1301</v>
      </c>
      <c r="N779" s="21" t="s">
        <v>1787</v>
      </c>
      <c r="O779" s="21"/>
      <c r="P779" s="21" t="s">
        <v>1788</v>
      </c>
      <c r="Q779" s="21"/>
      <c r="R779" s="21"/>
      <c r="S779" s="3" t="s">
        <v>40</v>
      </c>
      <c r="T779" s="21" t="s">
        <v>1789</v>
      </c>
      <c r="U779" s="21"/>
      <c r="V779" s="4" t="s">
        <v>42</v>
      </c>
      <c r="W779" s="4" t="s">
        <v>94</v>
      </c>
      <c r="X779" s="4" t="s">
        <v>95</v>
      </c>
      <c r="Y779" s="21" t="s">
        <v>980</v>
      </c>
      <c r="Z779" s="21"/>
      <c r="AA779" s="4" t="s">
        <v>46</v>
      </c>
      <c r="AB779" s="4" t="s">
        <v>117</v>
      </c>
      <c r="AC779" s="4" t="s">
        <v>1305</v>
      </c>
      <c r="AD779" s="4" t="s">
        <v>1790</v>
      </c>
      <c r="AE779" s="4" t="s">
        <v>48</v>
      </c>
      <c r="AF779" s="4" t="s">
        <v>41</v>
      </c>
      <c r="AG779" s="4" t="s">
        <v>1330</v>
      </c>
    </row>
    <row r="780" spans="1:33" ht="16.5" customHeight="1" x14ac:dyDescent="0.2">
      <c r="A780" s="2" t="s">
        <v>31</v>
      </c>
      <c r="B780" s="19" t="s">
        <v>110</v>
      </c>
      <c r="C780" s="19"/>
      <c r="D780" s="19"/>
      <c r="E780" s="20" t="s">
        <v>33</v>
      </c>
      <c r="F780" s="20"/>
      <c r="G780" s="21" t="s">
        <v>1327</v>
      </c>
      <c r="H780" s="21"/>
      <c r="I780" s="21"/>
      <c r="J780" s="3" t="s">
        <v>35</v>
      </c>
      <c r="K780" s="4" t="s">
        <v>1301</v>
      </c>
      <c r="N780" s="21" t="s">
        <v>1791</v>
      </c>
      <c r="O780" s="21"/>
      <c r="P780" s="21" t="s">
        <v>1792</v>
      </c>
      <c r="Q780" s="21"/>
      <c r="R780" s="21"/>
      <c r="S780" s="3" t="s">
        <v>40</v>
      </c>
      <c r="T780" s="21" t="s">
        <v>1757</v>
      </c>
      <c r="U780" s="21"/>
      <c r="V780" s="4" t="s">
        <v>952</v>
      </c>
      <c r="W780" s="4" t="s">
        <v>953</v>
      </c>
      <c r="X780" s="4" t="s">
        <v>382</v>
      </c>
      <c r="Y780" s="21" t="s">
        <v>980</v>
      </c>
      <c r="Z780" s="21"/>
      <c r="AA780" s="4" t="s">
        <v>46</v>
      </c>
      <c r="AB780" s="4" t="s">
        <v>117</v>
      </c>
      <c r="AC780" s="4" t="s">
        <v>1305</v>
      </c>
      <c r="AD780" s="4" t="s">
        <v>1758</v>
      </c>
      <c r="AE780" s="4" t="s">
        <v>48</v>
      </c>
      <c r="AF780" s="4" t="s">
        <v>41</v>
      </c>
      <c r="AG780" s="4" t="s">
        <v>1330</v>
      </c>
    </row>
    <row r="781" spans="1:33" ht="16.5" customHeight="1" x14ac:dyDescent="0.2">
      <c r="A781" s="2" t="s">
        <v>31</v>
      </c>
      <c r="B781" s="19" t="s">
        <v>110</v>
      </c>
      <c r="C781" s="19"/>
      <c r="D781" s="19"/>
      <c r="E781" s="20" t="s">
        <v>33</v>
      </c>
      <c r="F781" s="20"/>
      <c r="G781" s="21" t="s">
        <v>1327</v>
      </c>
      <c r="H781" s="21"/>
      <c r="I781" s="21"/>
      <c r="J781" s="3" t="s">
        <v>35</v>
      </c>
      <c r="K781" s="4" t="s">
        <v>394</v>
      </c>
      <c r="N781" s="21" t="s">
        <v>1793</v>
      </c>
      <c r="O781" s="21"/>
      <c r="P781" s="21" t="s">
        <v>1794</v>
      </c>
      <c r="Q781" s="21"/>
      <c r="R781" s="21"/>
      <c r="S781" s="3" t="s">
        <v>40</v>
      </c>
      <c r="T781" s="21" t="s">
        <v>1795</v>
      </c>
      <c r="U781" s="21"/>
      <c r="V781" s="4" t="s">
        <v>59</v>
      </c>
      <c r="W781" s="4" t="s">
        <v>108</v>
      </c>
      <c r="X781" s="4" t="s">
        <v>382</v>
      </c>
      <c r="Y781" s="21" t="s">
        <v>398</v>
      </c>
      <c r="Z781" s="21"/>
      <c r="AA781" s="4" t="s">
        <v>46</v>
      </c>
      <c r="AB781" s="4" t="s">
        <v>117</v>
      </c>
      <c r="AC781" s="4" t="s">
        <v>399</v>
      </c>
      <c r="AD781" s="4" t="s">
        <v>1796</v>
      </c>
      <c r="AE781" s="4" t="s">
        <v>48</v>
      </c>
      <c r="AF781" s="4" t="s">
        <v>41</v>
      </c>
      <c r="AG781" s="4" t="s">
        <v>1330</v>
      </c>
    </row>
    <row r="782" spans="1:33" ht="16.5" customHeight="1" x14ac:dyDescent="0.2">
      <c r="A782" s="2" t="s">
        <v>31</v>
      </c>
      <c r="B782" s="19" t="s">
        <v>110</v>
      </c>
      <c r="C782" s="19"/>
      <c r="D782" s="19"/>
      <c r="E782" s="20" t="s">
        <v>33</v>
      </c>
      <c r="F782" s="20"/>
      <c r="G782" s="21" t="s">
        <v>1327</v>
      </c>
      <c r="H782" s="21"/>
      <c r="I782" s="21"/>
      <c r="J782" s="3" t="s">
        <v>35</v>
      </c>
      <c r="K782" s="4" t="s">
        <v>1301</v>
      </c>
      <c r="N782" s="21" t="s">
        <v>1797</v>
      </c>
      <c r="O782" s="21"/>
      <c r="P782" s="21" t="s">
        <v>1798</v>
      </c>
      <c r="Q782" s="21"/>
      <c r="R782" s="21"/>
      <c r="S782" s="3" t="s">
        <v>40</v>
      </c>
      <c r="T782" s="21" t="s">
        <v>1799</v>
      </c>
      <c r="U782" s="21"/>
      <c r="V782" s="4" t="s">
        <v>42</v>
      </c>
      <c r="W782" s="4" t="s">
        <v>108</v>
      </c>
      <c r="X782" s="4" t="s">
        <v>109</v>
      </c>
      <c r="Y782" s="21" t="s">
        <v>980</v>
      </c>
      <c r="Z782" s="21"/>
      <c r="AA782" s="4" t="s">
        <v>46</v>
      </c>
      <c r="AB782" s="4" t="s">
        <v>117</v>
      </c>
      <c r="AC782" s="4" t="s">
        <v>1305</v>
      </c>
      <c r="AD782" s="4" t="s">
        <v>1800</v>
      </c>
      <c r="AE782" s="4" t="s">
        <v>48</v>
      </c>
      <c r="AF782" s="4" t="s">
        <v>41</v>
      </c>
      <c r="AG782" s="4" t="s">
        <v>1330</v>
      </c>
    </row>
    <row r="783" spans="1:33" ht="16.5" customHeight="1" x14ac:dyDescent="0.2">
      <c r="A783" s="2" t="s">
        <v>31</v>
      </c>
      <c r="B783" s="19" t="s">
        <v>110</v>
      </c>
      <c r="C783" s="19"/>
      <c r="D783" s="19"/>
      <c r="E783" s="20" t="s">
        <v>33</v>
      </c>
      <c r="F783" s="20"/>
      <c r="G783" s="21" t="s">
        <v>1327</v>
      </c>
      <c r="H783" s="21"/>
      <c r="I783" s="21"/>
      <c r="J783" s="3" t="s">
        <v>35</v>
      </c>
      <c r="K783" s="4" t="s">
        <v>394</v>
      </c>
      <c r="N783" s="21" t="s">
        <v>1801</v>
      </c>
      <c r="O783" s="21"/>
      <c r="P783" s="21" t="s">
        <v>1802</v>
      </c>
      <c r="Q783" s="21"/>
      <c r="R783" s="21"/>
      <c r="S783" s="3" t="s">
        <v>40</v>
      </c>
      <c r="T783" s="21" t="s">
        <v>1803</v>
      </c>
      <c r="U783" s="21"/>
      <c r="V783" s="4" t="s">
        <v>59</v>
      </c>
      <c r="W783" s="4" t="s">
        <v>108</v>
      </c>
      <c r="X783" s="4" t="s">
        <v>382</v>
      </c>
      <c r="Y783" s="21" t="s">
        <v>398</v>
      </c>
      <c r="Z783" s="21"/>
      <c r="AA783" s="4" t="s">
        <v>46</v>
      </c>
      <c r="AB783" s="4" t="s">
        <v>117</v>
      </c>
      <c r="AC783" s="4" t="s">
        <v>399</v>
      </c>
      <c r="AD783" s="4" t="s">
        <v>1804</v>
      </c>
      <c r="AE783" s="4" t="s">
        <v>48</v>
      </c>
      <c r="AF783" s="4" t="s">
        <v>41</v>
      </c>
      <c r="AG783" s="4" t="s">
        <v>1330</v>
      </c>
    </row>
    <row r="784" spans="1:33" ht="16.5" customHeight="1" x14ac:dyDescent="0.2">
      <c r="A784" s="2" t="s">
        <v>31</v>
      </c>
      <c r="B784" s="19" t="s">
        <v>110</v>
      </c>
      <c r="C784" s="19"/>
      <c r="D784" s="19"/>
      <c r="E784" s="20" t="s">
        <v>33</v>
      </c>
      <c r="F784" s="20"/>
      <c r="G784" s="21" t="s">
        <v>1327</v>
      </c>
      <c r="H784" s="21"/>
      <c r="I784" s="21"/>
      <c r="J784" s="3" t="s">
        <v>35</v>
      </c>
      <c r="K784" s="4" t="s">
        <v>1301</v>
      </c>
      <c r="N784" s="21" t="s">
        <v>1805</v>
      </c>
      <c r="O784" s="21"/>
      <c r="P784" s="21" t="s">
        <v>1806</v>
      </c>
      <c r="Q784" s="21"/>
      <c r="R784" s="21"/>
      <c r="S784" s="3" t="s">
        <v>40</v>
      </c>
      <c r="T784" s="21" t="s">
        <v>1807</v>
      </c>
      <c r="U784" s="21"/>
      <c r="V784" s="4" t="s">
        <v>59</v>
      </c>
      <c r="W784" s="4" t="s">
        <v>108</v>
      </c>
      <c r="X784" s="4" t="s">
        <v>382</v>
      </c>
      <c r="Y784" s="21" t="s">
        <v>980</v>
      </c>
      <c r="Z784" s="21"/>
      <c r="AA784" s="4" t="s">
        <v>46</v>
      </c>
      <c r="AB784" s="4" t="s">
        <v>117</v>
      </c>
      <c r="AC784" s="4" t="s">
        <v>1305</v>
      </c>
      <c r="AD784" s="4" t="s">
        <v>1808</v>
      </c>
      <c r="AE784" s="4" t="s">
        <v>48</v>
      </c>
      <c r="AF784" s="4" t="s">
        <v>41</v>
      </c>
      <c r="AG784" s="4" t="s">
        <v>1330</v>
      </c>
    </row>
    <row r="785" spans="1:33" ht="16.5" customHeight="1" x14ac:dyDescent="0.2">
      <c r="A785" s="2" t="s">
        <v>31</v>
      </c>
      <c r="B785" s="19" t="s">
        <v>110</v>
      </c>
      <c r="C785" s="19"/>
      <c r="D785" s="19"/>
      <c r="E785" s="20" t="s">
        <v>33</v>
      </c>
      <c r="F785" s="20"/>
      <c r="G785" s="21" t="s">
        <v>1327</v>
      </c>
      <c r="H785" s="21"/>
      <c r="I785" s="21"/>
      <c r="J785" s="3" t="s">
        <v>35</v>
      </c>
      <c r="K785" s="4" t="s">
        <v>1301</v>
      </c>
      <c r="N785" s="21" t="s">
        <v>1809</v>
      </c>
      <c r="O785" s="21"/>
      <c r="P785" s="21" t="s">
        <v>1810</v>
      </c>
      <c r="Q785" s="21"/>
      <c r="R785" s="21"/>
      <c r="S785" s="3" t="s">
        <v>40</v>
      </c>
      <c r="T785" s="21" t="s">
        <v>1811</v>
      </c>
      <c r="U785" s="21"/>
      <c r="V785" s="4" t="s">
        <v>59</v>
      </c>
      <c r="W785" s="4" t="s">
        <v>108</v>
      </c>
      <c r="X785" s="4" t="s">
        <v>382</v>
      </c>
      <c r="Y785" s="21" t="s">
        <v>980</v>
      </c>
      <c r="Z785" s="21"/>
      <c r="AA785" s="4" t="s">
        <v>46</v>
      </c>
      <c r="AB785" s="4" t="s">
        <v>117</v>
      </c>
      <c r="AC785" s="4" t="s">
        <v>1305</v>
      </c>
      <c r="AD785" s="4" t="s">
        <v>1812</v>
      </c>
      <c r="AE785" s="4" t="s">
        <v>48</v>
      </c>
      <c r="AF785" s="4" t="s">
        <v>41</v>
      </c>
      <c r="AG785" s="4" t="s">
        <v>1330</v>
      </c>
    </row>
    <row r="786" spans="1:33" ht="16.5" customHeight="1" x14ac:dyDescent="0.2">
      <c r="A786" s="2" t="s">
        <v>31</v>
      </c>
      <c r="B786" s="19" t="s">
        <v>110</v>
      </c>
      <c r="C786" s="19"/>
      <c r="D786" s="19"/>
      <c r="E786" s="20" t="s">
        <v>33</v>
      </c>
      <c r="F786" s="20"/>
      <c r="G786" s="21" t="s">
        <v>1327</v>
      </c>
      <c r="H786" s="21"/>
      <c r="I786" s="21"/>
      <c r="J786" s="3" t="s">
        <v>35</v>
      </c>
      <c r="K786" s="4" t="s">
        <v>1301</v>
      </c>
      <c r="N786" s="21" t="s">
        <v>1813</v>
      </c>
      <c r="O786" s="21"/>
      <c r="P786" s="21" t="s">
        <v>1814</v>
      </c>
      <c r="Q786" s="21"/>
      <c r="R786" s="21"/>
      <c r="S786" s="3" t="s">
        <v>40</v>
      </c>
      <c r="T786" s="21" t="s">
        <v>1815</v>
      </c>
      <c r="U786" s="21"/>
      <c r="V786" s="4" t="s">
        <v>59</v>
      </c>
      <c r="W786" s="4" t="s">
        <v>54</v>
      </c>
      <c r="X786" s="4" t="s">
        <v>60</v>
      </c>
      <c r="Y786" s="21" t="s">
        <v>980</v>
      </c>
      <c r="Z786" s="21"/>
      <c r="AA786" s="4" t="s">
        <v>46</v>
      </c>
      <c r="AB786" s="4" t="s">
        <v>117</v>
      </c>
      <c r="AC786" s="4" t="s">
        <v>1305</v>
      </c>
      <c r="AD786" s="4" t="s">
        <v>1816</v>
      </c>
      <c r="AE786" s="4" t="s">
        <v>48</v>
      </c>
      <c r="AF786" s="4" t="s">
        <v>41</v>
      </c>
      <c r="AG786" s="4" t="s">
        <v>1330</v>
      </c>
    </row>
    <row r="787" spans="1:33" ht="16.5" customHeight="1" x14ac:dyDescent="0.2">
      <c r="A787" s="2" t="s">
        <v>31</v>
      </c>
      <c r="B787" s="19" t="s">
        <v>110</v>
      </c>
      <c r="C787" s="19"/>
      <c r="D787" s="19"/>
      <c r="E787" s="20" t="s">
        <v>33</v>
      </c>
      <c r="F787" s="20"/>
      <c r="G787" s="21" t="s">
        <v>1327</v>
      </c>
      <c r="H787" s="21"/>
      <c r="I787" s="21"/>
      <c r="J787" s="3" t="s">
        <v>35</v>
      </c>
      <c r="K787" s="4" t="s">
        <v>1301</v>
      </c>
      <c r="N787" s="21" t="s">
        <v>1817</v>
      </c>
      <c r="O787" s="21"/>
      <c r="P787" s="21" t="s">
        <v>1818</v>
      </c>
      <c r="Q787" s="21"/>
      <c r="R787" s="21"/>
      <c r="S787" s="3" t="s">
        <v>40</v>
      </c>
      <c r="T787" s="21" t="s">
        <v>1757</v>
      </c>
      <c r="U787" s="21"/>
      <c r="V787" s="4" t="s">
        <v>42</v>
      </c>
      <c r="W787" s="4" t="s">
        <v>381</v>
      </c>
      <c r="X787" s="4" t="s">
        <v>382</v>
      </c>
      <c r="Y787" s="21" t="s">
        <v>980</v>
      </c>
      <c r="Z787" s="21"/>
      <c r="AA787" s="4" t="s">
        <v>46</v>
      </c>
      <c r="AB787" s="4" t="s">
        <v>117</v>
      </c>
      <c r="AC787" s="4" t="s">
        <v>1305</v>
      </c>
      <c r="AD787" s="4" t="s">
        <v>1758</v>
      </c>
      <c r="AE787" s="4" t="s">
        <v>48</v>
      </c>
      <c r="AF787" s="4" t="s">
        <v>41</v>
      </c>
      <c r="AG787" s="4" t="s">
        <v>1330</v>
      </c>
    </row>
    <row r="788" spans="1:33" ht="16.5" customHeight="1" x14ac:dyDescent="0.2">
      <c r="A788" s="2" t="s">
        <v>31</v>
      </c>
      <c r="B788" s="19" t="s">
        <v>110</v>
      </c>
      <c r="C788" s="19"/>
      <c r="D788" s="19"/>
      <c r="E788" s="20" t="s">
        <v>33</v>
      </c>
      <c r="F788" s="20"/>
      <c r="G788" s="21" t="s">
        <v>1327</v>
      </c>
      <c r="H788" s="21"/>
      <c r="I788" s="21"/>
      <c r="J788" s="3" t="s">
        <v>35</v>
      </c>
      <c r="K788" s="4" t="s">
        <v>1301</v>
      </c>
      <c r="N788" s="21" t="s">
        <v>1819</v>
      </c>
      <c r="O788" s="21"/>
      <c r="P788" s="21" t="s">
        <v>1820</v>
      </c>
      <c r="Q788" s="21"/>
      <c r="R788" s="21"/>
      <c r="S788" s="3" t="s">
        <v>40</v>
      </c>
      <c r="T788" s="21" t="s">
        <v>1821</v>
      </c>
      <c r="U788" s="21"/>
      <c r="V788" s="4" t="s">
        <v>59</v>
      </c>
      <c r="W788" s="4" t="s">
        <v>108</v>
      </c>
      <c r="X788" s="4" t="s">
        <v>382</v>
      </c>
      <c r="Y788" s="21" t="s">
        <v>980</v>
      </c>
      <c r="Z788" s="21"/>
      <c r="AA788" s="4" t="s">
        <v>46</v>
      </c>
      <c r="AB788" s="4" t="s">
        <v>117</v>
      </c>
      <c r="AC788" s="4" t="s">
        <v>1305</v>
      </c>
      <c r="AD788" s="4" t="s">
        <v>1822</v>
      </c>
      <c r="AE788" s="4" t="s">
        <v>48</v>
      </c>
      <c r="AF788" s="4" t="s">
        <v>41</v>
      </c>
      <c r="AG788" s="4" t="s">
        <v>1330</v>
      </c>
    </row>
    <row r="789" spans="1:33" ht="16.5" customHeight="1" x14ac:dyDescent="0.2">
      <c r="A789" s="2" t="s">
        <v>31</v>
      </c>
      <c r="B789" s="19" t="s">
        <v>110</v>
      </c>
      <c r="C789" s="19"/>
      <c r="D789" s="19"/>
      <c r="E789" s="20" t="s">
        <v>33</v>
      </c>
      <c r="F789" s="20"/>
      <c r="G789" s="21" t="s">
        <v>1327</v>
      </c>
      <c r="H789" s="21"/>
      <c r="I789" s="21"/>
      <c r="J789" s="3" t="s">
        <v>35</v>
      </c>
      <c r="K789" s="4" t="s">
        <v>394</v>
      </c>
      <c r="N789" s="21" t="s">
        <v>1823</v>
      </c>
      <c r="O789" s="21"/>
      <c r="P789" s="21" t="s">
        <v>1824</v>
      </c>
      <c r="Q789" s="21"/>
      <c r="R789" s="21"/>
      <c r="S789" s="3" t="s">
        <v>40</v>
      </c>
      <c r="T789" s="21" t="s">
        <v>1825</v>
      </c>
      <c r="U789" s="21"/>
      <c r="V789" s="4" t="s">
        <v>59</v>
      </c>
      <c r="W789" s="4" t="s">
        <v>54</v>
      </c>
      <c r="X789" s="4" t="s">
        <v>60</v>
      </c>
      <c r="Y789" s="21" t="s">
        <v>398</v>
      </c>
      <c r="Z789" s="21"/>
      <c r="AA789" s="4" t="s">
        <v>46</v>
      </c>
      <c r="AB789" s="4" t="s">
        <v>117</v>
      </c>
      <c r="AC789" s="4" t="s">
        <v>399</v>
      </c>
      <c r="AD789" s="4" t="s">
        <v>1826</v>
      </c>
      <c r="AE789" s="4" t="s">
        <v>48</v>
      </c>
      <c r="AF789" s="4" t="s">
        <v>41</v>
      </c>
      <c r="AG789" s="4" t="s">
        <v>1330</v>
      </c>
    </row>
    <row r="790" spans="1:33" ht="16.5" customHeight="1" x14ac:dyDescent="0.2">
      <c r="A790" s="2" t="s">
        <v>31</v>
      </c>
      <c r="B790" s="19" t="s">
        <v>110</v>
      </c>
      <c r="C790" s="19"/>
      <c r="D790" s="19"/>
      <c r="E790" s="20" t="s">
        <v>33</v>
      </c>
      <c r="F790" s="20"/>
      <c r="G790" s="21" t="s">
        <v>1327</v>
      </c>
      <c r="H790" s="21"/>
      <c r="I790" s="21"/>
      <c r="J790" s="3" t="s">
        <v>35</v>
      </c>
      <c r="K790" s="4" t="s">
        <v>1301</v>
      </c>
      <c r="N790" s="21" t="s">
        <v>1827</v>
      </c>
      <c r="O790" s="21"/>
      <c r="P790" s="21" t="s">
        <v>1828</v>
      </c>
      <c r="Q790" s="21"/>
      <c r="R790" s="21"/>
      <c r="S790" s="3" t="s">
        <v>40</v>
      </c>
      <c r="T790" s="21" t="s">
        <v>1757</v>
      </c>
      <c r="U790" s="21"/>
      <c r="V790" s="4" t="s">
        <v>42</v>
      </c>
      <c r="W790" s="4" t="s">
        <v>108</v>
      </c>
      <c r="X790" s="4" t="s">
        <v>109</v>
      </c>
      <c r="Y790" s="21" t="s">
        <v>980</v>
      </c>
      <c r="Z790" s="21"/>
      <c r="AA790" s="4" t="s">
        <v>46</v>
      </c>
      <c r="AB790" s="4" t="s">
        <v>117</v>
      </c>
      <c r="AC790" s="4" t="s">
        <v>1305</v>
      </c>
      <c r="AD790" s="4" t="s">
        <v>1758</v>
      </c>
      <c r="AE790" s="4" t="s">
        <v>48</v>
      </c>
      <c r="AF790" s="4" t="s">
        <v>41</v>
      </c>
      <c r="AG790" s="4" t="s">
        <v>1330</v>
      </c>
    </row>
    <row r="791" spans="1:33" ht="16.5" customHeight="1" x14ac:dyDescent="0.2">
      <c r="A791" s="2" t="s">
        <v>31</v>
      </c>
      <c r="B791" s="19" t="s">
        <v>110</v>
      </c>
      <c r="C791" s="19"/>
      <c r="D791" s="19"/>
      <c r="E791" s="20" t="s">
        <v>33</v>
      </c>
      <c r="F791" s="20"/>
      <c r="G791" s="21" t="s">
        <v>1327</v>
      </c>
      <c r="H791" s="21"/>
      <c r="I791" s="21"/>
      <c r="J791" s="3" t="s">
        <v>35</v>
      </c>
      <c r="K791" s="4" t="s">
        <v>394</v>
      </c>
      <c r="N791" s="21" t="s">
        <v>1829</v>
      </c>
      <c r="O791" s="21"/>
      <c r="P791" s="21" t="s">
        <v>1830</v>
      </c>
      <c r="Q791" s="21"/>
      <c r="R791" s="21"/>
      <c r="S791" s="3" t="s">
        <v>40</v>
      </c>
      <c r="T791" s="21" t="s">
        <v>1831</v>
      </c>
      <c r="U791" s="21"/>
      <c r="V791" s="4" t="s">
        <v>59</v>
      </c>
      <c r="W791" s="4" t="s">
        <v>54</v>
      </c>
      <c r="X791" s="4" t="s">
        <v>60</v>
      </c>
      <c r="Y791" s="21" t="s">
        <v>398</v>
      </c>
      <c r="Z791" s="21"/>
      <c r="AA791" s="4" t="s">
        <v>46</v>
      </c>
      <c r="AB791" s="4" t="s">
        <v>117</v>
      </c>
      <c r="AC791" s="4" t="s">
        <v>399</v>
      </c>
      <c r="AD791" s="4" t="s">
        <v>1832</v>
      </c>
      <c r="AE791" s="4" t="s">
        <v>48</v>
      </c>
      <c r="AF791" s="4" t="s">
        <v>41</v>
      </c>
      <c r="AG791" s="4" t="s">
        <v>1330</v>
      </c>
    </row>
    <row r="792" spans="1:33" ht="16.5" customHeight="1" x14ac:dyDescent="0.2">
      <c r="A792" s="2" t="s">
        <v>31</v>
      </c>
      <c r="B792" s="19" t="s">
        <v>110</v>
      </c>
      <c r="C792" s="19"/>
      <c r="D792" s="19"/>
      <c r="E792" s="20" t="s">
        <v>33</v>
      </c>
      <c r="F792" s="20"/>
      <c r="G792" s="21" t="s">
        <v>1327</v>
      </c>
      <c r="H792" s="21"/>
      <c r="I792" s="21"/>
      <c r="J792" s="3" t="s">
        <v>35</v>
      </c>
      <c r="K792" s="4" t="s">
        <v>1301</v>
      </c>
      <c r="N792" s="21" t="s">
        <v>1833</v>
      </c>
      <c r="O792" s="21"/>
      <c r="P792" s="21" t="s">
        <v>1834</v>
      </c>
      <c r="Q792" s="21"/>
      <c r="R792" s="21"/>
      <c r="S792" s="3" t="s">
        <v>40</v>
      </c>
      <c r="T792" s="21" t="s">
        <v>1835</v>
      </c>
      <c r="U792" s="21"/>
      <c r="V792" s="4" t="s">
        <v>59</v>
      </c>
      <c r="W792" s="4" t="s">
        <v>54</v>
      </c>
      <c r="X792" s="4" t="s">
        <v>60</v>
      </c>
      <c r="Y792" s="21" t="s">
        <v>980</v>
      </c>
      <c r="Z792" s="21"/>
      <c r="AA792" s="4" t="s">
        <v>46</v>
      </c>
      <c r="AB792" s="4" t="s">
        <v>117</v>
      </c>
      <c r="AC792" s="4" t="s">
        <v>1305</v>
      </c>
      <c r="AD792" s="4" t="s">
        <v>1836</v>
      </c>
      <c r="AE792" s="4" t="s">
        <v>48</v>
      </c>
      <c r="AF792" s="4" t="s">
        <v>41</v>
      </c>
      <c r="AG792" s="4" t="s">
        <v>1330</v>
      </c>
    </row>
    <row r="793" spans="1:33" ht="16.5" customHeight="1" x14ac:dyDescent="0.2">
      <c r="A793" s="2" t="s">
        <v>31</v>
      </c>
      <c r="B793" s="19" t="s">
        <v>110</v>
      </c>
      <c r="C793" s="19"/>
      <c r="D793" s="19"/>
      <c r="E793" s="20" t="s">
        <v>33</v>
      </c>
      <c r="F793" s="20"/>
      <c r="G793" s="21" t="s">
        <v>1327</v>
      </c>
      <c r="H793" s="21"/>
      <c r="I793" s="21"/>
      <c r="J793" s="3" t="s">
        <v>35</v>
      </c>
      <c r="K793" s="4" t="s">
        <v>1301</v>
      </c>
      <c r="N793" s="21" t="s">
        <v>1837</v>
      </c>
      <c r="O793" s="21"/>
      <c r="P793" s="21" t="s">
        <v>1838</v>
      </c>
      <c r="Q793" s="21"/>
      <c r="R793" s="21"/>
      <c r="S793" s="3" t="s">
        <v>40</v>
      </c>
      <c r="T793" s="21" t="s">
        <v>1775</v>
      </c>
      <c r="U793" s="21"/>
      <c r="V793" s="4" t="s">
        <v>59</v>
      </c>
      <c r="W793" s="4" t="s">
        <v>54</v>
      </c>
      <c r="X793" s="4" t="s">
        <v>60</v>
      </c>
      <c r="Y793" s="21" t="s">
        <v>980</v>
      </c>
      <c r="Z793" s="21"/>
      <c r="AA793" s="4" t="s">
        <v>46</v>
      </c>
      <c r="AB793" s="4" t="s">
        <v>117</v>
      </c>
      <c r="AC793" s="4" t="s">
        <v>1305</v>
      </c>
      <c r="AD793" s="4" t="s">
        <v>1776</v>
      </c>
      <c r="AE793" s="4" t="s">
        <v>48</v>
      </c>
      <c r="AF793" s="4" t="s">
        <v>41</v>
      </c>
      <c r="AG793" s="4" t="s">
        <v>1330</v>
      </c>
    </row>
    <row r="794" spans="1:33" ht="16.5" customHeight="1" x14ac:dyDescent="0.2">
      <c r="A794" s="2" t="s">
        <v>31</v>
      </c>
      <c r="B794" s="19" t="s">
        <v>110</v>
      </c>
      <c r="C794" s="19"/>
      <c r="D794" s="19"/>
      <c r="E794" s="20" t="s">
        <v>33</v>
      </c>
      <c r="F794" s="20"/>
      <c r="G794" s="21" t="s">
        <v>1327</v>
      </c>
      <c r="H794" s="21"/>
      <c r="I794" s="21"/>
      <c r="J794" s="3" t="s">
        <v>35</v>
      </c>
      <c r="K794" s="4" t="s">
        <v>1301</v>
      </c>
      <c r="N794" s="21" t="s">
        <v>1839</v>
      </c>
      <c r="O794" s="21"/>
      <c r="P794" s="21" t="s">
        <v>1840</v>
      </c>
      <c r="Q794" s="21"/>
      <c r="R794" s="21"/>
      <c r="S794" s="3" t="s">
        <v>40</v>
      </c>
      <c r="T794" s="21" t="s">
        <v>1841</v>
      </c>
      <c r="U794" s="21"/>
      <c r="V794" s="4" t="s">
        <v>59</v>
      </c>
      <c r="W794" s="4" t="s">
        <v>54</v>
      </c>
      <c r="X794" s="4" t="s">
        <v>60</v>
      </c>
      <c r="Y794" s="21" t="s">
        <v>980</v>
      </c>
      <c r="Z794" s="21"/>
      <c r="AA794" s="4" t="s">
        <v>46</v>
      </c>
      <c r="AB794" s="4" t="s">
        <v>117</v>
      </c>
      <c r="AC794" s="4" t="s">
        <v>1305</v>
      </c>
      <c r="AD794" s="4" t="s">
        <v>1842</v>
      </c>
      <c r="AE794" s="4" t="s">
        <v>48</v>
      </c>
      <c r="AF794" s="4" t="s">
        <v>41</v>
      </c>
      <c r="AG794" s="4" t="s">
        <v>1330</v>
      </c>
    </row>
    <row r="795" spans="1:33" ht="16.5" customHeight="1" x14ac:dyDescent="0.2">
      <c r="A795" s="2" t="s">
        <v>31</v>
      </c>
      <c r="B795" s="19" t="s">
        <v>110</v>
      </c>
      <c r="C795" s="19"/>
      <c r="D795" s="19"/>
      <c r="E795" s="20" t="s">
        <v>33</v>
      </c>
      <c r="F795" s="20"/>
      <c r="G795" s="21" t="s">
        <v>1327</v>
      </c>
      <c r="H795" s="21"/>
      <c r="I795" s="21"/>
      <c r="J795" s="3" t="s">
        <v>35</v>
      </c>
      <c r="K795" s="4" t="s">
        <v>1301</v>
      </c>
      <c r="N795" s="21" t="s">
        <v>1843</v>
      </c>
      <c r="O795" s="21"/>
      <c r="P795" s="21" t="s">
        <v>1844</v>
      </c>
      <c r="Q795" s="21"/>
      <c r="R795" s="21"/>
      <c r="S795" s="3" t="s">
        <v>40</v>
      </c>
      <c r="T795" s="21" t="s">
        <v>1845</v>
      </c>
      <c r="U795" s="21"/>
      <c r="V795" s="4" t="s">
        <v>59</v>
      </c>
      <c r="W795" s="4" t="s">
        <v>54</v>
      </c>
      <c r="X795" s="4" t="s">
        <v>60</v>
      </c>
      <c r="Y795" s="21" t="s">
        <v>980</v>
      </c>
      <c r="Z795" s="21"/>
      <c r="AA795" s="4" t="s">
        <v>46</v>
      </c>
      <c r="AB795" s="4" t="s">
        <v>117</v>
      </c>
      <c r="AC795" s="4" t="s">
        <v>1305</v>
      </c>
      <c r="AD795" s="4" t="s">
        <v>1846</v>
      </c>
      <c r="AE795" s="4" t="s">
        <v>48</v>
      </c>
      <c r="AF795" s="4" t="s">
        <v>41</v>
      </c>
      <c r="AG795" s="4" t="s">
        <v>1330</v>
      </c>
    </row>
    <row r="796" spans="1:33" ht="16.5" customHeight="1" x14ac:dyDescent="0.2">
      <c r="A796" s="2" t="s">
        <v>31</v>
      </c>
      <c r="B796" s="19" t="s">
        <v>110</v>
      </c>
      <c r="C796" s="19"/>
      <c r="D796" s="19"/>
      <c r="E796" s="20" t="s">
        <v>33</v>
      </c>
      <c r="F796" s="20"/>
      <c r="G796" s="21" t="s">
        <v>1327</v>
      </c>
      <c r="H796" s="21"/>
      <c r="I796" s="21"/>
      <c r="J796" s="3" t="s">
        <v>35</v>
      </c>
      <c r="K796" s="4" t="s">
        <v>1301</v>
      </c>
      <c r="N796" s="21" t="s">
        <v>1847</v>
      </c>
      <c r="O796" s="21"/>
      <c r="P796" s="21" t="s">
        <v>1848</v>
      </c>
      <c r="Q796" s="21"/>
      <c r="R796" s="21"/>
      <c r="S796" s="3" t="s">
        <v>40</v>
      </c>
      <c r="T796" s="21" t="s">
        <v>1849</v>
      </c>
      <c r="U796" s="21"/>
      <c r="V796" s="4" t="s">
        <v>42</v>
      </c>
      <c r="W796" s="4" t="s">
        <v>54</v>
      </c>
      <c r="X796" s="4" t="s">
        <v>55</v>
      </c>
      <c r="Y796" s="21" t="s">
        <v>980</v>
      </c>
      <c r="Z796" s="21"/>
      <c r="AA796" s="4" t="s">
        <v>46</v>
      </c>
      <c r="AB796" s="4" t="s">
        <v>117</v>
      </c>
      <c r="AC796" s="4" t="s">
        <v>1305</v>
      </c>
      <c r="AD796" s="4" t="s">
        <v>1850</v>
      </c>
      <c r="AE796" s="4" t="s">
        <v>48</v>
      </c>
      <c r="AF796" s="4" t="s">
        <v>41</v>
      </c>
      <c r="AG796" s="4" t="s">
        <v>1330</v>
      </c>
    </row>
    <row r="797" spans="1:33" ht="16.5" customHeight="1" x14ac:dyDescent="0.2">
      <c r="A797" s="2" t="s">
        <v>31</v>
      </c>
      <c r="B797" s="19" t="s">
        <v>110</v>
      </c>
      <c r="C797" s="19"/>
      <c r="D797" s="19"/>
      <c r="E797" s="20" t="s">
        <v>33</v>
      </c>
      <c r="F797" s="20"/>
      <c r="G797" s="21" t="s">
        <v>1327</v>
      </c>
      <c r="H797" s="21"/>
      <c r="I797" s="21"/>
      <c r="J797" s="3" t="s">
        <v>35</v>
      </c>
      <c r="K797" s="4" t="s">
        <v>1301</v>
      </c>
      <c r="N797" s="21" t="s">
        <v>1851</v>
      </c>
      <c r="O797" s="21"/>
      <c r="P797" s="21" t="s">
        <v>1852</v>
      </c>
      <c r="Q797" s="21"/>
      <c r="R797" s="21"/>
      <c r="S797" s="3" t="s">
        <v>40</v>
      </c>
      <c r="T797" s="21" t="s">
        <v>1853</v>
      </c>
      <c r="U797" s="21"/>
      <c r="V797" s="4" t="s">
        <v>42</v>
      </c>
      <c r="W797" s="4" t="s">
        <v>54</v>
      </c>
      <c r="X797" s="4" t="s">
        <v>55</v>
      </c>
      <c r="Y797" s="21" t="s">
        <v>980</v>
      </c>
      <c r="Z797" s="21"/>
      <c r="AA797" s="4" t="s">
        <v>46</v>
      </c>
      <c r="AB797" s="4" t="s">
        <v>117</v>
      </c>
      <c r="AC797" s="4" t="s">
        <v>1305</v>
      </c>
      <c r="AD797" s="4" t="s">
        <v>1854</v>
      </c>
      <c r="AE797" s="4" t="s">
        <v>48</v>
      </c>
      <c r="AF797" s="4" t="s">
        <v>41</v>
      </c>
      <c r="AG797" s="4" t="s">
        <v>1330</v>
      </c>
    </row>
    <row r="798" spans="1:33" ht="16.5" customHeight="1" x14ac:dyDescent="0.2">
      <c r="A798" s="2" t="s">
        <v>31</v>
      </c>
      <c r="B798" s="19" t="s">
        <v>50</v>
      </c>
      <c r="C798" s="19"/>
      <c r="D798" s="19"/>
      <c r="E798" s="20" t="s">
        <v>33</v>
      </c>
      <c r="F798" s="20"/>
      <c r="G798" s="21" t="s">
        <v>1855</v>
      </c>
      <c r="H798" s="21"/>
      <c r="I798" s="21"/>
      <c r="J798" s="3" t="s">
        <v>35</v>
      </c>
      <c r="K798" s="4" t="s">
        <v>383</v>
      </c>
      <c r="L798" s="4" t="s">
        <v>37</v>
      </c>
      <c r="N798" s="21" t="s">
        <v>1856</v>
      </c>
      <c r="O798" s="21"/>
      <c r="P798" s="21" t="s">
        <v>1857</v>
      </c>
      <c r="Q798" s="21"/>
      <c r="R798" s="21"/>
      <c r="S798" s="3" t="s">
        <v>40</v>
      </c>
      <c r="T798" s="21" t="s">
        <v>41</v>
      </c>
      <c r="U798" s="21"/>
      <c r="V798" s="4" t="s">
        <v>42</v>
      </c>
      <c r="W798" s="4" t="s">
        <v>484</v>
      </c>
      <c r="X798" s="4" t="s">
        <v>485</v>
      </c>
      <c r="Y798" s="21" t="s">
        <v>198</v>
      </c>
      <c r="Z798" s="21"/>
      <c r="AA798" s="4" t="s">
        <v>46</v>
      </c>
      <c r="AB798" s="4" t="s">
        <v>47</v>
      </c>
      <c r="AC798" s="4" t="s">
        <v>257</v>
      </c>
      <c r="AD798" s="4" t="s">
        <v>258</v>
      </c>
      <c r="AE798" s="4" t="s">
        <v>48</v>
      </c>
      <c r="AF798" s="4" t="s">
        <v>41</v>
      </c>
      <c r="AG798" s="4" t="s">
        <v>1858</v>
      </c>
    </row>
    <row r="799" spans="1:33" ht="16.5" customHeight="1" x14ac:dyDescent="0.2">
      <c r="A799" s="2" t="s">
        <v>31</v>
      </c>
      <c r="B799" s="19" t="s">
        <v>50</v>
      </c>
      <c r="C799" s="19"/>
      <c r="D799" s="19"/>
      <c r="E799" s="20" t="s">
        <v>33</v>
      </c>
      <c r="F799" s="20"/>
      <c r="G799" s="21" t="s">
        <v>1855</v>
      </c>
      <c r="H799" s="21"/>
      <c r="I799" s="21"/>
      <c r="J799" s="3" t="s">
        <v>35</v>
      </c>
      <c r="K799" s="4" t="s">
        <v>146</v>
      </c>
      <c r="L799" s="4" t="s">
        <v>37</v>
      </c>
      <c r="N799" s="21" t="s">
        <v>1859</v>
      </c>
      <c r="O799" s="21"/>
      <c r="P799" s="21" t="s">
        <v>1860</v>
      </c>
      <c r="Q799" s="21"/>
      <c r="R799" s="21"/>
      <c r="S799" s="3" t="s">
        <v>40</v>
      </c>
      <c r="T799" s="21" t="s">
        <v>41</v>
      </c>
      <c r="U799" s="21"/>
      <c r="V799" s="4" t="s">
        <v>42</v>
      </c>
      <c r="W799" s="4" t="s">
        <v>420</v>
      </c>
      <c r="X799" s="4" t="s">
        <v>421</v>
      </c>
      <c r="Y799" s="21" t="s">
        <v>138</v>
      </c>
      <c r="Z799" s="21"/>
      <c r="AA799" s="4" t="s">
        <v>46</v>
      </c>
      <c r="AB799" s="4" t="s">
        <v>47</v>
      </c>
      <c r="AC799" s="4" t="s">
        <v>139</v>
      </c>
      <c r="AD799" s="4" t="s">
        <v>140</v>
      </c>
      <c r="AE799" s="4" t="s">
        <v>48</v>
      </c>
      <c r="AF799" s="4" t="s">
        <v>41</v>
      </c>
      <c r="AG799" s="4" t="s">
        <v>1858</v>
      </c>
    </row>
    <row r="800" spans="1:33" ht="16.5" customHeight="1" x14ac:dyDescent="0.2">
      <c r="A800" s="2" t="s">
        <v>31</v>
      </c>
      <c r="B800" s="19" t="s">
        <v>50</v>
      </c>
      <c r="C800" s="19"/>
      <c r="D800" s="19"/>
      <c r="E800" s="20" t="s">
        <v>33</v>
      </c>
      <c r="F800" s="20"/>
      <c r="G800" s="21" t="s">
        <v>1855</v>
      </c>
      <c r="H800" s="21"/>
      <c r="I800" s="21"/>
      <c r="J800" s="3" t="s">
        <v>35</v>
      </c>
      <c r="K800" s="4" t="s">
        <v>413</v>
      </c>
      <c r="L800" s="4" t="s">
        <v>37</v>
      </c>
      <c r="N800" s="21" t="s">
        <v>1861</v>
      </c>
      <c r="O800" s="21"/>
      <c r="P800" s="21" t="s">
        <v>1862</v>
      </c>
      <c r="Q800" s="21"/>
      <c r="R800" s="21"/>
      <c r="S800" s="3" t="s">
        <v>40</v>
      </c>
      <c r="T800" s="21" t="s">
        <v>41</v>
      </c>
      <c r="U800" s="21"/>
      <c r="V800" s="4" t="s">
        <v>59</v>
      </c>
      <c r="W800" s="4" t="s">
        <v>299</v>
      </c>
      <c r="X800" s="4" t="s">
        <v>294</v>
      </c>
      <c r="Y800" s="21" t="s">
        <v>198</v>
      </c>
      <c r="Z800" s="21"/>
      <c r="AA800" s="4" t="s">
        <v>46</v>
      </c>
      <c r="AB800" s="4" t="s">
        <v>47</v>
      </c>
      <c r="AC800" s="4" t="s">
        <v>139</v>
      </c>
      <c r="AD800" s="4" t="s">
        <v>140</v>
      </c>
      <c r="AE800" s="4" t="s">
        <v>48</v>
      </c>
      <c r="AF800" s="4" t="s">
        <v>41</v>
      </c>
      <c r="AG800" s="4" t="s">
        <v>1858</v>
      </c>
    </row>
    <row r="801" spans="1:33" ht="16.5" customHeight="1" x14ac:dyDescent="0.2">
      <c r="A801" s="2" t="s">
        <v>31</v>
      </c>
      <c r="B801" s="19" t="s">
        <v>50</v>
      </c>
      <c r="C801" s="19"/>
      <c r="D801" s="19"/>
      <c r="E801" s="20" t="s">
        <v>33</v>
      </c>
      <c r="F801" s="20"/>
      <c r="G801" s="21" t="s">
        <v>1855</v>
      </c>
      <c r="H801" s="21"/>
      <c r="I801" s="21"/>
      <c r="J801" s="3" t="s">
        <v>35</v>
      </c>
      <c r="K801" s="4" t="s">
        <v>146</v>
      </c>
      <c r="L801" s="4" t="s">
        <v>37</v>
      </c>
      <c r="N801" s="21" t="s">
        <v>1863</v>
      </c>
      <c r="O801" s="21"/>
      <c r="P801" s="21" t="s">
        <v>1864</v>
      </c>
      <c r="Q801" s="21"/>
      <c r="R801" s="21"/>
      <c r="S801" s="3" t="s">
        <v>40</v>
      </c>
      <c r="T801" s="21" t="s">
        <v>41</v>
      </c>
      <c r="U801" s="21"/>
      <c r="V801" s="4" t="s">
        <v>42</v>
      </c>
      <c r="W801" s="4" t="s">
        <v>182</v>
      </c>
      <c r="X801" s="4" t="s">
        <v>294</v>
      </c>
      <c r="Y801" s="21" t="s">
        <v>138</v>
      </c>
      <c r="Z801" s="21"/>
      <c r="AA801" s="4" t="s">
        <v>46</v>
      </c>
      <c r="AB801" s="4" t="s">
        <v>47</v>
      </c>
      <c r="AC801" s="4" t="s">
        <v>57</v>
      </c>
      <c r="AD801" s="4" t="s">
        <v>58</v>
      </c>
      <c r="AE801" s="4" t="s">
        <v>48</v>
      </c>
      <c r="AF801" s="4" t="s">
        <v>41</v>
      </c>
      <c r="AG801" s="4" t="s">
        <v>1858</v>
      </c>
    </row>
    <row r="802" spans="1:33" ht="16.5" customHeight="1" x14ac:dyDescent="0.2">
      <c r="A802" s="2" t="s">
        <v>31</v>
      </c>
      <c r="B802" s="19" t="s">
        <v>50</v>
      </c>
      <c r="C802" s="19"/>
      <c r="D802" s="19"/>
      <c r="E802" s="20" t="s">
        <v>33</v>
      </c>
      <c r="F802" s="20"/>
      <c r="G802" s="21" t="s">
        <v>1855</v>
      </c>
      <c r="H802" s="21"/>
      <c r="I802" s="21"/>
      <c r="J802" s="3" t="s">
        <v>35</v>
      </c>
      <c r="K802" s="4" t="s">
        <v>661</v>
      </c>
      <c r="L802" s="4" t="s">
        <v>445</v>
      </c>
      <c r="N802" s="21" t="s">
        <v>1865</v>
      </c>
      <c r="O802" s="21"/>
      <c r="P802" s="21" t="s">
        <v>1866</v>
      </c>
      <c r="Q802" s="21"/>
      <c r="R802" s="21"/>
      <c r="S802" s="3" t="s">
        <v>40</v>
      </c>
      <c r="T802" s="21" t="s">
        <v>41</v>
      </c>
      <c r="U802" s="21"/>
      <c r="V802" s="4" t="s">
        <v>42</v>
      </c>
      <c r="W802" s="4" t="s">
        <v>54</v>
      </c>
      <c r="X802" s="4" t="s">
        <v>55</v>
      </c>
      <c r="Y802" s="21" t="s">
        <v>198</v>
      </c>
      <c r="Z802" s="21"/>
      <c r="AA802" s="4" t="s">
        <v>46</v>
      </c>
      <c r="AB802" s="4" t="s">
        <v>47</v>
      </c>
      <c r="AC802" s="4" t="s">
        <v>139</v>
      </c>
      <c r="AD802" s="4" t="s">
        <v>466</v>
      </c>
      <c r="AE802" s="4" t="s">
        <v>48</v>
      </c>
      <c r="AF802" s="4" t="s">
        <v>41</v>
      </c>
      <c r="AG802" s="4" t="s">
        <v>1858</v>
      </c>
    </row>
    <row r="803" spans="1:33" ht="16.5" customHeight="1" x14ac:dyDescent="0.2">
      <c r="A803" s="2" t="s">
        <v>31</v>
      </c>
      <c r="B803" s="19" t="s">
        <v>50</v>
      </c>
      <c r="C803" s="19"/>
      <c r="D803" s="19"/>
      <c r="E803" s="20" t="s">
        <v>33</v>
      </c>
      <c r="F803" s="20"/>
      <c r="G803" s="21" t="s">
        <v>1855</v>
      </c>
      <c r="H803" s="21"/>
      <c r="I803" s="21"/>
      <c r="J803" s="3" t="s">
        <v>35</v>
      </c>
      <c r="K803" s="4" t="s">
        <v>61</v>
      </c>
      <c r="L803" s="4" t="s">
        <v>37</v>
      </c>
      <c r="N803" s="21" t="s">
        <v>1867</v>
      </c>
      <c r="O803" s="21"/>
      <c r="P803" s="21" t="s">
        <v>1868</v>
      </c>
      <c r="Q803" s="21"/>
      <c r="R803" s="21"/>
      <c r="S803" s="3" t="s">
        <v>40</v>
      </c>
      <c r="T803" s="21" t="s">
        <v>41</v>
      </c>
      <c r="U803" s="21"/>
      <c r="V803" s="4" t="s">
        <v>42</v>
      </c>
      <c r="W803" s="4" t="s">
        <v>157</v>
      </c>
      <c r="X803" s="4" t="s">
        <v>158</v>
      </c>
      <c r="Y803" s="21" t="s">
        <v>65</v>
      </c>
      <c r="Z803" s="21"/>
      <c r="AA803" s="4" t="s">
        <v>46</v>
      </c>
      <c r="AB803" s="4" t="s">
        <v>47</v>
      </c>
      <c r="AC803" s="4" t="s">
        <v>57</v>
      </c>
      <c r="AD803" s="4" t="s">
        <v>58</v>
      </c>
      <c r="AE803" s="4" t="s">
        <v>48</v>
      </c>
      <c r="AF803" s="4" t="s">
        <v>41</v>
      </c>
      <c r="AG803" s="4" t="s">
        <v>1858</v>
      </c>
    </row>
    <row r="804" spans="1:33" ht="16.5" customHeight="1" x14ac:dyDescent="0.2">
      <c r="A804" s="2" t="s">
        <v>31</v>
      </c>
      <c r="B804" s="19" t="s">
        <v>50</v>
      </c>
      <c r="C804" s="19"/>
      <c r="D804" s="19"/>
      <c r="E804" s="20" t="s">
        <v>33</v>
      </c>
      <c r="F804" s="20"/>
      <c r="G804" s="21" t="s">
        <v>1855</v>
      </c>
      <c r="H804" s="21"/>
      <c r="I804" s="21"/>
      <c r="J804" s="3" t="s">
        <v>35</v>
      </c>
      <c r="K804" s="4" t="s">
        <v>204</v>
      </c>
      <c r="L804" s="4" t="s">
        <v>37</v>
      </c>
      <c r="N804" s="21" t="s">
        <v>1869</v>
      </c>
      <c r="O804" s="21"/>
      <c r="P804" s="21" t="s">
        <v>1870</v>
      </c>
      <c r="Q804" s="21"/>
      <c r="R804" s="21"/>
      <c r="S804" s="3" t="s">
        <v>40</v>
      </c>
      <c r="T804" s="21" t="s">
        <v>41</v>
      </c>
      <c r="U804" s="21"/>
      <c r="V804" s="4" t="s">
        <v>42</v>
      </c>
      <c r="W804" s="4" t="s">
        <v>43</v>
      </c>
      <c r="X804" s="4" t="s">
        <v>44</v>
      </c>
      <c r="Y804" s="21" t="s">
        <v>198</v>
      </c>
      <c r="Z804" s="21"/>
      <c r="AA804" s="4" t="s">
        <v>46</v>
      </c>
      <c r="AB804" s="4" t="s">
        <v>47</v>
      </c>
      <c r="AC804" s="4" t="s">
        <v>257</v>
      </c>
      <c r="AD804" s="4" t="s">
        <v>258</v>
      </c>
      <c r="AE804" s="4" t="s">
        <v>48</v>
      </c>
      <c r="AF804" s="4" t="s">
        <v>41</v>
      </c>
      <c r="AG804" s="4" t="s">
        <v>1858</v>
      </c>
    </row>
    <row r="805" spans="1:33" ht="16.5" customHeight="1" x14ac:dyDescent="0.2">
      <c r="A805" s="2" t="s">
        <v>31</v>
      </c>
      <c r="B805" s="19" t="s">
        <v>50</v>
      </c>
      <c r="C805" s="19"/>
      <c r="D805" s="19"/>
      <c r="E805" s="20" t="s">
        <v>33</v>
      </c>
      <c r="F805" s="20"/>
      <c r="G805" s="21" t="s">
        <v>1855</v>
      </c>
      <c r="H805" s="21"/>
      <c r="I805" s="21"/>
      <c r="J805" s="3" t="s">
        <v>35</v>
      </c>
      <c r="K805" s="4" t="s">
        <v>133</v>
      </c>
      <c r="L805" s="4" t="s">
        <v>37</v>
      </c>
      <c r="N805" s="21" t="s">
        <v>1871</v>
      </c>
      <c r="O805" s="21"/>
      <c r="P805" s="21" t="s">
        <v>1872</v>
      </c>
      <c r="Q805" s="21"/>
      <c r="R805" s="21"/>
      <c r="S805" s="3" t="s">
        <v>40</v>
      </c>
      <c r="T805" s="21" t="s">
        <v>41</v>
      </c>
      <c r="U805" s="21"/>
      <c r="V805" s="4" t="s">
        <v>42</v>
      </c>
      <c r="W805" s="4" t="s">
        <v>182</v>
      </c>
      <c r="X805" s="4" t="s">
        <v>294</v>
      </c>
      <c r="Y805" s="21" t="s">
        <v>138</v>
      </c>
      <c r="Z805" s="21"/>
      <c r="AA805" s="4" t="s">
        <v>46</v>
      </c>
      <c r="AB805" s="4" t="s">
        <v>47</v>
      </c>
      <c r="AC805" s="4" t="s">
        <v>57</v>
      </c>
      <c r="AD805" s="4" t="s">
        <v>58</v>
      </c>
      <c r="AE805" s="4" t="s">
        <v>48</v>
      </c>
      <c r="AF805" s="4" t="s">
        <v>41</v>
      </c>
      <c r="AG805" s="4" t="s">
        <v>1858</v>
      </c>
    </row>
    <row r="806" spans="1:33" ht="16.5" customHeight="1" x14ac:dyDescent="0.2">
      <c r="A806" s="2" t="s">
        <v>31</v>
      </c>
      <c r="B806" s="19" t="s">
        <v>50</v>
      </c>
      <c r="C806" s="19"/>
      <c r="D806" s="19"/>
      <c r="E806" s="20" t="s">
        <v>33</v>
      </c>
      <c r="F806" s="20"/>
      <c r="G806" s="21" t="s">
        <v>1855</v>
      </c>
      <c r="H806" s="21"/>
      <c r="I806" s="21"/>
      <c r="J806" s="3" t="s">
        <v>35</v>
      </c>
      <c r="K806" s="4" t="s">
        <v>51</v>
      </c>
      <c r="L806" s="4" t="s">
        <v>37</v>
      </c>
      <c r="N806" s="21" t="s">
        <v>1873</v>
      </c>
      <c r="O806" s="21"/>
      <c r="P806" s="21" t="s">
        <v>1874</v>
      </c>
      <c r="Q806" s="21"/>
      <c r="R806" s="21"/>
      <c r="S806" s="3" t="s">
        <v>40</v>
      </c>
      <c r="T806" s="21" t="s">
        <v>41</v>
      </c>
      <c r="U806" s="21"/>
      <c r="V806" s="4" t="s">
        <v>42</v>
      </c>
      <c r="W806" s="4" t="s">
        <v>54</v>
      </c>
      <c r="X806" s="4" t="s">
        <v>55</v>
      </c>
      <c r="Y806" s="21" t="s">
        <v>56</v>
      </c>
      <c r="Z806" s="21"/>
      <c r="AA806" s="4" t="s">
        <v>46</v>
      </c>
      <c r="AB806" s="4" t="s">
        <v>47</v>
      </c>
      <c r="AC806" s="4" t="s">
        <v>57</v>
      </c>
      <c r="AD806" s="4" t="s">
        <v>58</v>
      </c>
      <c r="AE806" s="4" t="s">
        <v>48</v>
      </c>
      <c r="AF806" s="4" t="s">
        <v>41</v>
      </c>
      <c r="AG806" s="4" t="s">
        <v>1858</v>
      </c>
    </row>
    <row r="807" spans="1:33" ht="16.5" customHeight="1" x14ac:dyDescent="0.2">
      <c r="A807" s="2" t="s">
        <v>31</v>
      </c>
      <c r="B807" s="19" t="s">
        <v>50</v>
      </c>
      <c r="C807" s="19"/>
      <c r="D807" s="19"/>
      <c r="E807" s="20" t="s">
        <v>33</v>
      </c>
      <c r="F807" s="20"/>
      <c r="G807" s="21" t="s">
        <v>1855</v>
      </c>
      <c r="H807" s="21"/>
      <c r="I807" s="21"/>
      <c r="J807" s="3" t="s">
        <v>35</v>
      </c>
      <c r="K807" s="4" t="s">
        <v>51</v>
      </c>
      <c r="L807" s="4" t="s">
        <v>37</v>
      </c>
      <c r="N807" s="21" t="s">
        <v>1873</v>
      </c>
      <c r="O807" s="21"/>
      <c r="P807" s="21" t="s">
        <v>1874</v>
      </c>
      <c r="Q807" s="21"/>
      <c r="R807" s="21"/>
      <c r="S807" s="3" t="s">
        <v>40</v>
      </c>
      <c r="T807" s="21" t="s">
        <v>41</v>
      </c>
      <c r="U807" s="21"/>
      <c r="V807" s="4" t="s">
        <v>59</v>
      </c>
      <c r="W807" s="4" t="s">
        <v>54</v>
      </c>
      <c r="X807" s="4" t="s">
        <v>60</v>
      </c>
      <c r="Y807" s="21" t="s">
        <v>56</v>
      </c>
      <c r="Z807" s="21"/>
      <c r="AA807" s="4" t="s">
        <v>46</v>
      </c>
      <c r="AB807" s="4" t="s">
        <v>47</v>
      </c>
      <c r="AC807" s="4" t="s">
        <v>57</v>
      </c>
      <c r="AD807" s="4" t="s">
        <v>58</v>
      </c>
      <c r="AE807" s="4" t="s">
        <v>48</v>
      </c>
      <c r="AF807" s="4" t="s">
        <v>41</v>
      </c>
      <c r="AG807" s="4" t="s">
        <v>1858</v>
      </c>
    </row>
    <row r="808" spans="1:33" ht="16.5" customHeight="1" x14ac:dyDescent="0.2">
      <c r="A808" s="2" t="s">
        <v>31</v>
      </c>
      <c r="B808" s="19" t="s">
        <v>50</v>
      </c>
      <c r="C808" s="19"/>
      <c r="D808" s="19"/>
      <c r="E808" s="20" t="s">
        <v>33</v>
      </c>
      <c r="F808" s="20"/>
      <c r="G808" s="21" t="s">
        <v>1855</v>
      </c>
      <c r="H808" s="21"/>
      <c r="I808" s="21"/>
      <c r="J808" s="3" t="s">
        <v>35</v>
      </c>
      <c r="K808" s="4" t="s">
        <v>146</v>
      </c>
      <c r="L808" s="4" t="s">
        <v>37</v>
      </c>
      <c r="N808" s="21" t="s">
        <v>1875</v>
      </c>
      <c r="O808" s="21"/>
      <c r="P808" s="21" t="s">
        <v>1876</v>
      </c>
      <c r="Q808" s="21"/>
      <c r="R808" s="21"/>
      <c r="S808" s="3" t="s">
        <v>40</v>
      </c>
      <c r="T808" s="21" t="s">
        <v>41</v>
      </c>
      <c r="U808" s="21"/>
      <c r="V808" s="4" t="s">
        <v>42</v>
      </c>
      <c r="W808" s="4" t="s">
        <v>229</v>
      </c>
      <c r="X808" s="4" t="s">
        <v>448</v>
      </c>
      <c r="Y808" s="21" t="s">
        <v>138</v>
      </c>
      <c r="Z808" s="21"/>
      <c r="AA808" s="4" t="s">
        <v>46</v>
      </c>
      <c r="AB808" s="4" t="s">
        <v>47</v>
      </c>
      <c r="AC808" s="4" t="s">
        <v>139</v>
      </c>
      <c r="AD808" s="4" t="s">
        <v>140</v>
      </c>
      <c r="AE808" s="4" t="s">
        <v>48</v>
      </c>
      <c r="AF808" s="4" t="s">
        <v>41</v>
      </c>
      <c r="AG808" s="4" t="s">
        <v>1858</v>
      </c>
    </row>
    <row r="809" spans="1:33" ht="16.5" customHeight="1" x14ac:dyDescent="0.2">
      <c r="A809" s="2" t="s">
        <v>31</v>
      </c>
      <c r="B809" s="19" t="s">
        <v>50</v>
      </c>
      <c r="C809" s="19"/>
      <c r="D809" s="19"/>
      <c r="E809" s="20" t="s">
        <v>33</v>
      </c>
      <c r="F809" s="20"/>
      <c r="G809" s="21" t="s">
        <v>1855</v>
      </c>
      <c r="H809" s="21"/>
      <c r="I809" s="21"/>
      <c r="J809" s="3" t="s">
        <v>35</v>
      </c>
      <c r="K809" s="4" t="s">
        <v>133</v>
      </c>
      <c r="L809" s="4" t="s">
        <v>37</v>
      </c>
      <c r="N809" s="21" t="s">
        <v>1877</v>
      </c>
      <c r="O809" s="21"/>
      <c r="P809" s="21" t="s">
        <v>1878</v>
      </c>
      <c r="Q809" s="21"/>
      <c r="R809" s="21"/>
      <c r="S809" s="3" t="s">
        <v>40</v>
      </c>
      <c r="T809" s="21" t="s">
        <v>41</v>
      </c>
      <c r="U809" s="21"/>
      <c r="V809" s="4" t="s">
        <v>42</v>
      </c>
      <c r="W809" s="4" t="s">
        <v>157</v>
      </c>
      <c r="X809" s="4" t="s">
        <v>158</v>
      </c>
      <c r="Y809" s="21" t="s">
        <v>138</v>
      </c>
      <c r="Z809" s="21"/>
      <c r="AA809" s="4" t="s">
        <v>46</v>
      </c>
      <c r="AB809" s="4" t="s">
        <v>47</v>
      </c>
      <c r="AC809" s="4" t="s">
        <v>139</v>
      </c>
      <c r="AD809" s="4" t="s">
        <v>140</v>
      </c>
      <c r="AE809" s="4" t="s">
        <v>48</v>
      </c>
      <c r="AF809" s="4" t="s">
        <v>41</v>
      </c>
      <c r="AG809" s="4" t="s">
        <v>1858</v>
      </c>
    </row>
    <row r="810" spans="1:33" ht="16.5" customHeight="1" x14ac:dyDescent="0.2">
      <c r="A810" s="2" t="s">
        <v>31</v>
      </c>
      <c r="B810" s="19" t="s">
        <v>50</v>
      </c>
      <c r="C810" s="19"/>
      <c r="D810" s="19"/>
      <c r="E810" s="20" t="s">
        <v>33</v>
      </c>
      <c r="F810" s="20"/>
      <c r="G810" s="21" t="s">
        <v>1855</v>
      </c>
      <c r="H810" s="21"/>
      <c r="I810" s="21"/>
      <c r="J810" s="3" t="s">
        <v>35</v>
      </c>
      <c r="K810" s="4" t="s">
        <v>133</v>
      </c>
      <c r="L810" s="4" t="s">
        <v>179</v>
      </c>
      <c r="N810" s="21" t="s">
        <v>1879</v>
      </c>
      <c r="O810" s="21"/>
      <c r="P810" s="21" t="s">
        <v>1880</v>
      </c>
      <c r="Q810" s="21"/>
      <c r="R810" s="21"/>
      <c r="S810" s="3" t="s">
        <v>40</v>
      </c>
      <c r="T810" s="21" t="s">
        <v>41</v>
      </c>
      <c r="U810" s="21"/>
      <c r="V810" s="4" t="s">
        <v>59</v>
      </c>
      <c r="W810" s="4" t="s">
        <v>1881</v>
      </c>
      <c r="X810" s="4" t="s">
        <v>1005</v>
      </c>
      <c r="Y810" s="21" t="s">
        <v>138</v>
      </c>
      <c r="Z810" s="21"/>
      <c r="AA810" s="4" t="s">
        <v>46</v>
      </c>
      <c r="AB810" s="4" t="s">
        <v>47</v>
      </c>
      <c r="AC810" s="4" t="s">
        <v>139</v>
      </c>
      <c r="AD810" s="4" t="s">
        <v>1435</v>
      </c>
      <c r="AE810" s="4" t="s">
        <v>48</v>
      </c>
      <c r="AF810" s="4" t="s">
        <v>41</v>
      </c>
      <c r="AG810" s="4" t="s">
        <v>1858</v>
      </c>
    </row>
    <row r="811" spans="1:33" ht="16.5" customHeight="1" x14ac:dyDescent="0.2">
      <c r="A811" s="2" t="s">
        <v>31</v>
      </c>
      <c r="B811" s="19" t="s">
        <v>50</v>
      </c>
      <c r="C811" s="19"/>
      <c r="D811" s="19"/>
      <c r="E811" s="20" t="s">
        <v>33</v>
      </c>
      <c r="F811" s="20"/>
      <c r="G811" s="21" t="s">
        <v>1855</v>
      </c>
      <c r="H811" s="21"/>
      <c r="I811" s="21"/>
      <c r="J811" s="3" t="s">
        <v>35</v>
      </c>
      <c r="K811" s="4" t="s">
        <v>152</v>
      </c>
      <c r="L811" s="4" t="s">
        <v>37</v>
      </c>
      <c r="N811" s="21" t="s">
        <v>1882</v>
      </c>
      <c r="O811" s="21"/>
      <c r="P811" s="21" t="s">
        <v>1883</v>
      </c>
      <c r="Q811" s="21"/>
      <c r="R811" s="21"/>
      <c r="S811" s="3" t="s">
        <v>40</v>
      </c>
      <c r="T811" s="21" t="s">
        <v>41</v>
      </c>
      <c r="U811" s="21"/>
      <c r="V811" s="4" t="s">
        <v>42</v>
      </c>
      <c r="W811" s="4" t="s">
        <v>261</v>
      </c>
      <c r="X811" s="4" t="s">
        <v>262</v>
      </c>
      <c r="Y811" s="21" t="s">
        <v>56</v>
      </c>
      <c r="Z811" s="21"/>
      <c r="AA811" s="4" t="s">
        <v>46</v>
      </c>
      <c r="AB811" s="4" t="s">
        <v>47</v>
      </c>
      <c r="AC811" s="4" t="s">
        <v>139</v>
      </c>
      <c r="AD811" s="4" t="s">
        <v>140</v>
      </c>
      <c r="AE811" s="4" t="s">
        <v>48</v>
      </c>
      <c r="AF811" s="4" t="s">
        <v>41</v>
      </c>
      <c r="AG811" s="4" t="s">
        <v>1858</v>
      </c>
    </row>
    <row r="812" spans="1:33" ht="16.5" customHeight="1" x14ac:dyDescent="0.2">
      <c r="A812" s="2" t="s">
        <v>31</v>
      </c>
      <c r="B812" s="19" t="s">
        <v>50</v>
      </c>
      <c r="C812" s="19"/>
      <c r="D812" s="19"/>
      <c r="E812" s="20" t="s">
        <v>33</v>
      </c>
      <c r="F812" s="20"/>
      <c r="G812" s="21" t="s">
        <v>1855</v>
      </c>
      <c r="H812" s="21"/>
      <c r="I812" s="21"/>
      <c r="J812" s="3" t="s">
        <v>35</v>
      </c>
      <c r="K812" s="4" t="s">
        <v>152</v>
      </c>
      <c r="L812" s="4" t="s">
        <v>68</v>
      </c>
      <c r="N812" s="21" t="s">
        <v>1884</v>
      </c>
      <c r="O812" s="21"/>
      <c r="P812" s="21" t="s">
        <v>1885</v>
      </c>
      <c r="Q812" s="21"/>
      <c r="R812" s="21"/>
      <c r="S812" s="3" t="s">
        <v>40</v>
      </c>
      <c r="T812" s="21" t="s">
        <v>41</v>
      </c>
      <c r="U812" s="21"/>
      <c r="V812" s="4" t="s">
        <v>42</v>
      </c>
      <c r="W812" s="4" t="s">
        <v>54</v>
      </c>
      <c r="X812" s="4" t="s">
        <v>55</v>
      </c>
      <c r="Y812" s="21" t="s">
        <v>56</v>
      </c>
      <c r="Z812" s="21"/>
      <c r="AA812" s="4" t="s">
        <v>46</v>
      </c>
      <c r="AB812" s="4" t="s">
        <v>47</v>
      </c>
      <c r="AC812" s="4" t="s">
        <v>57</v>
      </c>
      <c r="AD812" s="4" t="s">
        <v>98</v>
      </c>
      <c r="AE812" s="4" t="s">
        <v>48</v>
      </c>
      <c r="AF812" s="4" t="s">
        <v>41</v>
      </c>
      <c r="AG812" s="4" t="s">
        <v>1858</v>
      </c>
    </row>
    <row r="813" spans="1:33" ht="16.5" customHeight="1" x14ac:dyDescent="0.2">
      <c r="A813" s="2" t="s">
        <v>31</v>
      </c>
      <c r="B813" s="19" t="s">
        <v>50</v>
      </c>
      <c r="C813" s="19"/>
      <c r="D813" s="19"/>
      <c r="E813" s="20" t="s">
        <v>33</v>
      </c>
      <c r="F813" s="20"/>
      <c r="G813" s="21" t="s">
        <v>1855</v>
      </c>
      <c r="H813" s="21"/>
      <c r="I813" s="21"/>
      <c r="J813" s="3" t="s">
        <v>35</v>
      </c>
      <c r="K813" s="4" t="s">
        <v>413</v>
      </c>
      <c r="L813" s="4" t="s">
        <v>37</v>
      </c>
      <c r="N813" s="21" t="s">
        <v>1886</v>
      </c>
      <c r="O813" s="21"/>
      <c r="P813" s="21" t="s">
        <v>1887</v>
      </c>
      <c r="Q813" s="21"/>
      <c r="R813" s="21"/>
      <c r="S813" s="3" t="s">
        <v>40</v>
      </c>
      <c r="T813" s="21" t="s">
        <v>41</v>
      </c>
      <c r="U813" s="21"/>
      <c r="V813" s="4" t="s">
        <v>42</v>
      </c>
      <c r="W813" s="4" t="s">
        <v>823</v>
      </c>
      <c r="X813" s="4" t="s">
        <v>791</v>
      </c>
      <c r="Y813" s="21" t="s">
        <v>198</v>
      </c>
      <c r="Z813" s="21"/>
      <c r="AA813" s="4" t="s">
        <v>46</v>
      </c>
      <c r="AB813" s="4" t="s">
        <v>47</v>
      </c>
      <c r="AC813" s="4" t="s">
        <v>81</v>
      </c>
      <c r="AD813" s="4" t="s">
        <v>41</v>
      </c>
      <c r="AE813" s="4" t="s">
        <v>48</v>
      </c>
      <c r="AF813" s="4" t="s">
        <v>41</v>
      </c>
      <c r="AG813" s="4" t="s">
        <v>1858</v>
      </c>
    </row>
    <row r="814" spans="1:33" ht="16.5" customHeight="1" x14ac:dyDescent="0.2">
      <c r="A814" s="2" t="s">
        <v>31</v>
      </c>
      <c r="B814" s="19" t="s">
        <v>50</v>
      </c>
      <c r="C814" s="19"/>
      <c r="D814" s="19"/>
      <c r="E814" s="20" t="s">
        <v>33</v>
      </c>
      <c r="F814" s="20"/>
      <c r="G814" s="21" t="s">
        <v>1855</v>
      </c>
      <c r="H814" s="21"/>
      <c r="I814" s="21"/>
      <c r="J814" s="3" t="s">
        <v>35</v>
      </c>
      <c r="K814" s="4" t="s">
        <v>99</v>
      </c>
      <c r="L814" s="4" t="s">
        <v>37</v>
      </c>
      <c r="N814" s="21" t="s">
        <v>1888</v>
      </c>
      <c r="O814" s="21"/>
      <c r="P814" s="21" t="s">
        <v>1889</v>
      </c>
      <c r="Q814" s="21"/>
      <c r="R814" s="21"/>
      <c r="S814" s="3" t="s">
        <v>40</v>
      </c>
      <c r="T814" s="21" t="s">
        <v>41</v>
      </c>
      <c r="U814" s="21"/>
      <c r="V814" s="4" t="s">
        <v>42</v>
      </c>
      <c r="W814" s="4" t="s">
        <v>1123</v>
      </c>
      <c r="X814" s="4" t="s">
        <v>1124</v>
      </c>
      <c r="Y814" s="21" t="s">
        <v>56</v>
      </c>
      <c r="Z814" s="21"/>
      <c r="AA814" s="4" t="s">
        <v>46</v>
      </c>
      <c r="AB814" s="4" t="s">
        <v>47</v>
      </c>
      <c r="AC814" s="4" t="s">
        <v>139</v>
      </c>
      <c r="AD814" s="4" t="s">
        <v>140</v>
      </c>
      <c r="AE814" s="4" t="s">
        <v>48</v>
      </c>
      <c r="AF814" s="4" t="s">
        <v>41</v>
      </c>
      <c r="AG814" s="4" t="s">
        <v>1858</v>
      </c>
    </row>
    <row r="815" spans="1:33" ht="0.75" customHeight="1" x14ac:dyDescent="0.2"/>
    <row r="816" spans="1:33" ht="12" customHeight="1" x14ac:dyDescent="0.2"/>
    <row r="817" spans="1:33" ht="16.5" customHeight="1" x14ac:dyDescent="0.2">
      <c r="A817" s="2" t="s">
        <v>31</v>
      </c>
      <c r="B817" s="19" t="s">
        <v>50</v>
      </c>
      <c r="C817" s="19"/>
      <c r="D817" s="19"/>
      <c r="E817" s="20" t="s">
        <v>33</v>
      </c>
      <c r="F817" s="20"/>
      <c r="G817" s="21" t="s">
        <v>1855</v>
      </c>
      <c r="H817" s="21"/>
      <c r="I817" s="21"/>
      <c r="J817" s="3" t="s">
        <v>35</v>
      </c>
      <c r="K817" s="4" t="s">
        <v>146</v>
      </c>
      <c r="L817" s="4" t="s">
        <v>231</v>
      </c>
      <c r="N817" s="21" t="s">
        <v>1890</v>
      </c>
      <c r="O817" s="21"/>
      <c r="P817" s="21" t="s">
        <v>1891</v>
      </c>
      <c r="Q817" s="21"/>
      <c r="R817" s="21"/>
      <c r="S817" s="3" t="s">
        <v>40</v>
      </c>
      <c r="T817" s="21" t="s">
        <v>41</v>
      </c>
      <c r="U817" s="21"/>
      <c r="V817" s="4" t="s">
        <v>42</v>
      </c>
      <c r="W817" s="4" t="s">
        <v>325</v>
      </c>
      <c r="X817" s="4" t="s">
        <v>319</v>
      </c>
      <c r="Y817" s="21" t="s">
        <v>138</v>
      </c>
      <c r="Z817" s="21"/>
      <c r="AA817" s="4" t="s">
        <v>46</v>
      </c>
      <c r="AB817" s="4" t="s">
        <v>47</v>
      </c>
      <c r="AC817" s="4" t="s">
        <v>139</v>
      </c>
      <c r="AD817" s="4" t="s">
        <v>449</v>
      </c>
      <c r="AE817" s="4" t="s">
        <v>48</v>
      </c>
      <c r="AF817" s="4" t="s">
        <v>41</v>
      </c>
      <c r="AG817" s="4" t="s">
        <v>1858</v>
      </c>
    </row>
    <row r="818" spans="1:33" ht="16.5" customHeight="1" x14ac:dyDescent="0.2">
      <c r="A818" s="2" t="s">
        <v>31</v>
      </c>
      <c r="B818" s="19" t="s">
        <v>50</v>
      </c>
      <c r="C818" s="19"/>
      <c r="D818" s="19"/>
      <c r="E818" s="20" t="s">
        <v>33</v>
      </c>
      <c r="F818" s="20"/>
      <c r="G818" s="21" t="s">
        <v>1855</v>
      </c>
      <c r="H818" s="21"/>
      <c r="I818" s="21"/>
      <c r="J818" s="3" t="s">
        <v>35</v>
      </c>
      <c r="K818" s="4" t="s">
        <v>61</v>
      </c>
      <c r="L818" s="4" t="s">
        <v>68</v>
      </c>
      <c r="N818" s="21" t="s">
        <v>1892</v>
      </c>
      <c r="O818" s="21"/>
      <c r="P818" s="21" t="s">
        <v>1893</v>
      </c>
      <c r="Q818" s="21"/>
      <c r="R818" s="21"/>
      <c r="S818" s="3" t="s">
        <v>40</v>
      </c>
      <c r="T818" s="21" t="s">
        <v>41</v>
      </c>
      <c r="U818" s="21"/>
      <c r="V818" s="4" t="s">
        <v>59</v>
      </c>
      <c r="W818" s="4" t="s">
        <v>43</v>
      </c>
      <c r="X818" s="4" t="s">
        <v>319</v>
      </c>
      <c r="Y818" s="21" t="s">
        <v>65</v>
      </c>
      <c r="Z818" s="21"/>
      <c r="AA818" s="4" t="s">
        <v>46</v>
      </c>
      <c r="AB818" s="4" t="s">
        <v>47</v>
      </c>
      <c r="AC818" s="4" t="s">
        <v>57</v>
      </c>
      <c r="AD818" s="4" t="s">
        <v>98</v>
      </c>
      <c r="AE818" s="4" t="s">
        <v>48</v>
      </c>
      <c r="AF818" s="4" t="s">
        <v>41</v>
      </c>
      <c r="AG818" s="4" t="s">
        <v>1858</v>
      </c>
    </row>
    <row r="819" spans="1:33" ht="16.5" customHeight="1" x14ac:dyDescent="0.2">
      <c r="A819" s="2" t="s">
        <v>31</v>
      </c>
      <c r="B819" s="19" t="s">
        <v>50</v>
      </c>
      <c r="C819" s="19"/>
      <c r="D819" s="19"/>
      <c r="E819" s="20" t="s">
        <v>33</v>
      </c>
      <c r="F819" s="20"/>
      <c r="G819" s="21" t="s">
        <v>1855</v>
      </c>
      <c r="H819" s="21"/>
      <c r="I819" s="21"/>
      <c r="J819" s="3" t="s">
        <v>35</v>
      </c>
      <c r="K819" s="4" t="s">
        <v>61</v>
      </c>
      <c r="L819" s="4" t="s">
        <v>68</v>
      </c>
      <c r="N819" s="21" t="s">
        <v>1892</v>
      </c>
      <c r="O819" s="21"/>
      <c r="P819" s="21" t="s">
        <v>1893</v>
      </c>
      <c r="Q819" s="21"/>
      <c r="R819" s="21"/>
      <c r="S819" s="3" t="s">
        <v>40</v>
      </c>
      <c r="T819" s="21" t="s">
        <v>41</v>
      </c>
      <c r="U819" s="21"/>
      <c r="V819" s="4" t="s">
        <v>130</v>
      </c>
      <c r="W819" s="4" t="s">
        <v>43</v>
      </c>
      <c r="X819" s="4" t="s">
        <v>320</v>
      </c>
      <c r="Y819" s="21" t="s">
        <v>65</v>
      </c>
      <c r="Z819" s="21"/>
      <c r="AA819" s="4" t="s">
        <v>46</v>
      </c>
      <c r="AB819" s="4" t="s">
        <v>47</v>
      </c>
      <c r="AC819" s="4" t="s">
        <v>57</v>
      </c>
      <c r="AD819" s="4" t="s">
        <v>98</v>
      </c>
      <c r="AE819" s="4" t="s">
        <v>48</v>
      </c>
      <c r="AF819" s="4" t="s">
        <v>41</v>
      </c>
      <c r="AG819" s="4" t="s">
        <v>1858</v>
      </c>
    </row>
    <row r="820" spans="1:33" ht="16.5" customHeight="1" x14ac:dyDescent="0.2">
      <c r="A820" s="2" t="s">
        <v>31</v>
      </c>
      <c r="B820" s="19" t="s">
        <v>50</v>
      </c>
      <c r="C820" s="19"/>
      <c r="D820" s="19"/>
      <c r="E820" s="20" t="s">
        <v>33</v>
      </c>
      <c r="F820" s="20"/>
      <c r="G820" s="21" t="s">
        <v>1855</v>
      </c>
      <c r="H820" s="21"/>
      <c r="I820" s="21"/>
      <c r="J820" s="3" t="s">
        <v>35</v>
      </c>
      <c r="K820" s="4" t="s">
        <v>146</v>
      </c>
      <c r="L820" s="4" t="s">
        <v>445</v>
      </c>
      <c r="N820" s="21" t="s">
        <v>1894</v>
      </c>
      <c r="O820" s="21"/>
      <c r="P820" s="21" t="s">
        <v>1895</v>
      </c>
      <c r="Q820" s="21"/>
      <c r="R820" s="21"/>
      <c r="S820" s="3" t="s">
        <v>40</v>
      </c>
      <c r="T820" s="21" t="s">
        <v>41</v>
      </c>
      <c r="U820" s="21"/>
      <c r="V820" s="4" t="s">
        <v>42</v>
      </c>
      <c r="W820" s="4" t="s">
        <v>149</v>
      </c>
      <c r="X820" s="4" t="s">
        <v>150</v>
      </c>
      <c r="Y820" s="21" t="s">
        <v>138</v>
      </c>
      <c r="Z820" s="21"/>
      <c r="AA820" s="4" t="s">
        <v>46</v>
      </c>
      <c r="AB820" s="4" t="s">
        <v>47</v>
      </c>
      <c r="AC820" s="4" t="s">
        <v>139</v>
      </c>
      <c r="AD820" s="4" t="s">
        <v>466</v>
      </c>
      <c r="AE820" s="4" t="s">
        <v>48</v>
      </c>
      <c r="AF820" s="4" t="s">
        <v>41</v>
      </c>
      <c r="AG820" s="4" t="s">
        <v>1858</v>
      </c>
    </row>
    <row r="821" spans="1:33" ht="16.5" customHeight="1" x14ac:dyDescent="0.2">
      <c r="A821" s="2" t="s">
        <v>31</v>
      </c>
      <c r="B821" s="19" t="s">
        <v>50</v>
      </c>
      <c r="C821" s="19"/>
      <c r="D821" s="19"/>
      <c r="E821" s="20" t="s">
        <v>33</v>
      </c>
      <c r="F821" s="20"/>
      <c r="G821" s="21" t="s">
        <v>1855</v>
      </c>
      <c r="H821" s="21"/>
      <c r="I821" s="21"/>
      <c r="J821" s="3" t="s">
        <v>35</v>
      </c>
      <c r="K821" s="4" t="s">
        <v>247</v>
      </c>
      <c r="L821" s="4" t="s">
        <v>37</v>
      </c>
      <c r="N821" s="21" t="s">
        <v>1896</v>
      </c>
      <c r="O821" s="21"/>
      <c r="P821" s="21" t="s">
        <v>1897</v>
      </c>
      <c r="Q821" s="21"/>
      <c r="R821" s="21"/>
      <c r="S821" s="3" t="s">
        <v>40</v>
      </c>
      <c r="T821" s="21" t="s">
        <v>41</v>
      </c>
      <c r="U821" s="21"/>
      <c r="V821" s="4" t="s">
        <v>42</v>
      </c>
      <c r="W821" s="4" t="s">
        <v>54</v>
      </c>
      <c r="X821" s="4" t="s">
        <v>55</v>
      </c>
      <c r="Y821" s="21" t="s">
        <v>65</v>
      </c>
      <c r="Z821" s="21"/>
      <c r="AA821" s="4" t="s">
        <v>46</v>
      </c>
      <c r="AB821" s="4" t="s">
        <v>47</v>
      </c>
      <c r="AC821" s="4" t="s">
        <v>66</v>
      </c>
      <c r="AD821" s="4" t="s">
        <v>73</v>
      </c>
      <c r="AE821" s="4" t="s">
        <v>48</v>
      </c>
      <c r="AF821" s="4" t="s">
        <v>41</v>
      </c>
      <c r="AG821" s="4" t="s">
        <v>1858</v>
      </c>
    </row>
    <row r="822" spans="1:33" ht="16.5" customHeight="1" x14ac:dyDescent="0.2">
      <c r="A822" s="2" t="s">
        <v>31</v>
      </c>
      <c r="B822" s="19" t="s">
        <v>50</v>
      </c>
      <c r="C822" s="19"/>
      <c r="D822" s="19"/>
      <c r="E822" s="20" t="s">
        <v>33</v>
      </c>
      <c r="F822" s="20"/>
      <c r="G822" s="21" t="s">
        <v>1855</v>
      </c>
      <c r="H822" s="21"/>
      <c r="I822" s="21"/>
      <c r="J822" s="3" t="s">
        <v>35</v>
      </c>
      <c r="K822" s="4" t="s">
        <v>146</v>
      </c>
      <c r="L822" s="4" t="s">
        <v>68</v>
      </c>
      <c r="N822" s="21" t="s">
        <v>1898</v>
      </c>
      <c r="O822" s="21"/>
      <c r="P822" s="21" t="s">
        <v>1899</v>
      </c>
      <c r="Q822" s="21"/>
      <c r="R822" s="21"/>
      <c r="S822" s="3" t="s">
        <v>40</v>
      </c>
      <c r="T822" s="21" t="s">
        <v>41</v>
      </c>
      <c r="U822" s="21"/>
      <c r="V822" s="4" t="s">
        <v>42</v>
      </c>
      <c r="W822" s="4" t="s">
        <v>234</v>
      </c>
      <c r="X822" s="4" t="s">
        <v>235</v>
      </c>
      <c r="Y822" s="21" t="s">
        <v>138</v>
      </c>
      <c r="Z822" s="21"/>
      <c r="AA822" s="4" t="s">
        <v>46</v>
      </c>
      <c r="AB822" s="4" t="s">
        <v>47</v>
      </c>
      <c r="AC822" s="4" t="s">
        <v>139</v>
      </c>
      <c r="AD822" s="4" t="s">
        <v>151</v>
      </c>
      <c r="AE822" s="4" t="s">
        <v>48</v>
      </c>
      <c r="AF822" s="4" t="s">
        <v>41</v>
      </c>
      <c r="AG822" s="4" t="s">
        <v>1858</v>
      </c>
    </row>
    <row r="823" spans="1:33" ht="16.5" customHeight="1" x14ac:dyDescent="0.2">
      <c r="A823" s="2" t="s">
        <v>31</v>
      </c>
      <c r="B823" s="19" t="s">
        <v>50</v>
      </c>
      <c r="C823" s="19"/>
      <c r="D823" s="19"/>
      <c r="E823" s="20" t="s">
        <v>33</v>
      </c>
      <c r="F823" s="20"/>
      <c r="G823" s="21" t="s">
        <v>1855</v>
      </c>
      <c r="H823" s="21"/>
      <c r="I823" s="21"/>
      <c r="J823" s="3" t="s">
        <v>35</v>
      </c>
      <c r="K823" s="4" t="s">
        <v>120</v>
      </c>
      <c r="L823" s="4" t="s">
        <v>37</v>
      </c>
      <c r="N823" s="21" t="s">
        <v>1900</v>
      </c>
      <c r="O823" s="21"/>
      <c r="P823" s="21" t="s">
        <v>1901</v>
      </c>
      <c r="Q823" s="21"/>
      <c r="R823" s="21"/>
      <c r="S823" s="3" t="s">
        <v>40</v>
      </c>
      <c r="T823" s="21" t="s">
        <v>41</v>
      </c>
      <c r="U823" s="21"/>
      <c r="V823" s="4" t="s">
        <v>42</v>
      </c>
      <c r="W823" s="4" t="s">
        <v>234</v>
      </c>
      <c r="X823" s="4" t="s">
        <v>235</v>
      </c>
      <c r="Y823" s="21" t="s">
        <v>65</v>
      </c>
      <c r="Z823" s="21"/>
      <c r="AA823" s="4" t="s">
        <v>46</v>
      </c>
      <c r="AB823" s="4" t="s">
        <v>47</v>
      </c>
      <c r="AC823" s="4" t="s">
        <v>57</v>
      </c>
      <c r="AD823" s="4" t="s">
        <v>58</v>
      </c>
      <c r="AE823" s="4" t="s">
        <v>48</v>
      </c>
      <c r="AF823" s="4" t="s">
        <v>41</v>
      </c>
      <c r="AG823" s="4" t="s">
        <v>1858</v>
      </c>
    </row>
    <row r="824" spans="1:33" ht="16.5" customHeight="1" x14ac:dyDescent="0.2">
      <c r="A824" s="2" t="s">
        <v>31</v>
      </c>
      <c r="B824" s="19" t="s">
        <v>50</v>
      </c>
      <c r="C824" s="19"/>
      <c r="D824" s="19"/>
      <c r="E824" s="20" t="s">
        <v>33</v>
      </c>
      <c r="F824" s="20"/>
      <c r="G824" s="21" t="s">
        <v>1855</v>
      </c>
      <c r="H824" s="21"/>
      <c r="I824" s="21"/>
      <c r="J824" s="3" t="s">
        <v>35</v>
      </c>
      <c r="K824" s="4" t="s">
        <v>204</v>
      </c>
      <c r="L824" s="4" t="s">
        <v>37</v>
      </c>
      <c r="N824" s="21" t="s">
        <v>1902</v>
      </c>
      <c r="O824" s="21"/>
      <c r="P824" s="21" t="s">
        <v>1903</v>
      </c>
      <c r="Q824" s="21"/>
      <c r="R824" s="21"/>
      <c r="S824" s="3" t="s">
        <v>40</v>
      </c>
      <c r="T824" s="21" t="s">
        <v>41</v>
      </c>
      <c r="U824" s="21"/>
      <c r="V824" s="4" t="s">
        <v>42</v>
      </c>
      <c r="W824" s="4" t="s">
        <v>350</v>
      </c>
      <c r="X824" s="4" t="s">
        <v>339</v>
      </c>
      <c r="Y824" s="21" t="s">
        <v>198</v>
      </c>
      <c r="Z824" s="21"/>
      <c r="AA824" s="4" t="s">
        <v>46</v>
      </c>
      <c r="AB824" s="4" t="s">
        <v>47</v>
      </c>
      <c r="AC824" s="4" t="s">
        <v>257</v>
      </c>
      <c r="AD824" s="4" t="s">
        <v>258</v>
      </c>
      <c r="AE824" s="4" t="s">
        <v>48</v>
      </c>
      <c r="AF824" s="4" t="s">
        <v>41</v>
      </c>
      <c r="AG824" s="4" t="s">
        <v>1858</v>
      </c>
    </row>
    <row r="825" spans="1:33" ht="16.5" customHeight="1" x14ac:dyDescent="0.2">
      <c r="A825" s="2" t="s">
        <v>31</v>
      </c>
      <c r="B825" s="19" t="s">
        <v>50</v>
      </c>
      <c r="C825" s="19"/>
      <c r="D825" s="19"/>
      <c r="E825" s="20" t="s">
        <v>33</v>
      </c>
      <c r="F825" s="20"/>
      <c r="G825" s="21" t="s">
        <v>1855</v>
      </c>
      <c r="H825" s="21"/>
      <c r="I825" s="21"/>
      <c r="J825" s="3" t="s">
        <v>35</v>
      </c>
      <c r="K825" s="4" t="s">
        <v>204</v>
      </c>
      <c r="L825" s="4" t="s">
        <v>37</v>
      </c>
      <c r="N825" s="21" t="s">
        <v>1902</v>
      </c>
      <c r="O825" s="21"/>
      <c r="P825" s="21" t="s">
        <v>1903</v>
      </c>
      <c r="Q825" s="21"/>
      <c r="R825" s="21"/>
      <c r="S825" s="3" t="s">
        <v>40</v>
      </c>
      <c r="T825" s="21" t="s">
        <v>41</v>
      </c>
      <c r="U825" s="21"/>
      <c r="V825" s="4" t="s">
        <v>59</v>
      </c>
      <c r="W825" s="4" t="s">
        <v>350</v>
      </c>
      <c r="X825" s="4" t="s">
        <v>356</v>
      </c>
      <c r="Y825" s="21" t="s">
        <v>198</v>
      </c>
      <c r="Z825" s="21"/>
      <c r="AA825" s="4" t="s">
        <v>46</v>
      </c>
      <c r="AB825" s="4" t="s">
        <v>47</v>
      </c>
      <c r="AC825" s="4" t="s">
        <v>257</v>
      </c>
      <c r="AD825" s="4" t="s">
        <v>258</v>
      </c>
      <c r="AE825" s="4" t="s">
        <v>48</v>
      </c>
      <c r="AF825" s="4" t="s">
        <v>41</v>
      </c>
      <c r="AG825" s="4" t="s">
        <v>1858</v>
      </c>
    </row>
    <row r="826" spans="1:33" ht="16.5" customHeight="1" x14ac:dyDescent="0.2">
      <c r="A826" s="2" t="s">
        <v>31</v>
      </c>
      <c r="B826" s="19" t="s">
        <v>50</v>
      </c>
      <c r="C826" s="19"/>
      <c r="D826" s="19"/>
      <c r="E826" s="20" t="s">
        <v>33</v>
      </c>
      <c r="F826" s="20"/>
      <c r="G826" s="21" t="s">
        <v>1855</v>
      </c>
      <c r="H826" s="21"/>
      <c r="I826" s="21"/>
      <c r="J826" s="3" t="s">
        <v>35</v>
      </c>
      <c r="K826" s="4" t="s">
        <v>61</v>
      </c>
      <c r="L826" s="4" t="s">
        <v>37</v>
      </c>
      <c r="N826" s="21" t="s">
        <v>1904</v>
      </c>
      <c r="O826" s="21"/>
      <c r="P826" s="21" t="s">
        <v>1905</v>
      </c>
      <c r="Q826" s="21"/>
      <c r="R826" s="21"/>
      <c r="S826" s="3" t="s">
        <v>40</v>
      </c>
      <c r="T826" s="21" t="s">
        <v>41</v>
      </c>
      <c r="U826" s="21"/>
      <c r="V826" s="4" t="s">
        <v>42</v>
      </c>
      <c r="W826" s="4" t="s">
        <v>350</v>
      </c>
      <c r="X826" s="4" t="s">
        <v>339</v>
      </c>
      <c r="Y826" s="21" t="s">
        <v>65</v>
      </c>
      <c r="Z826" s="21"/>
      <c r="AA826" s="4" t="s">
        <v>46</v>
      </c>
      <c r="AB826" s="4" t="s">
        <v>47</v>
      </c>
      <c r="AC826" s="4" t="s">
        <v>57</v>
      </c>
      <c r="AD826" s="4" t="s">
        <v>58</v>
      </c>
      <c r="AE826" s="4" t="s">
        <v>48</v>
      </c>
      <c r="AF826" s="4" t="s">
        <v>41</v>
      </c>
      <c r="AG826" s="4" t="s">
        <v>1858</v>
      </c>
    </row>
    <row r="827" spans="1:33" ht="16.5" customHeight="1" x14ac:dyDescent="0.2">
      <c r="A827" s="2" t="s">
        <v>31</v>
      </c>
      <c r="B827" s="19" t="s">
        <v>50</v>
      </c>
      <c r="C827" s="19"/>
      <c r="D827" s="19"/>
      <c r="E827" s="20" t="s">
        <v>33</v>
      </c>
      <c r="F827" s="20"/>
      <c r="G827" s="21" t="s">
        <v>1855</v>
      </c>
      <c r="H827" s="21"/>
      <c r="I827" s="21"/>
      <c r="J827" s="3" t="s">
        <v>35</v>
      </c>
      <c r="K827" s="4" t="s">
        <v>87</v>
      </c>
      <c r="L827" s="4" t="s">
        <v>37</v>
      </c>
      <c r="N827" s="21" t="s">
        <v>1906</v>
      </c>
      <c r="O827" s="21"/>
      <c r="P827" s="21" t="s">
        <v>1907</v>
      </c>
      <c r="Q827" s="21"/>
      <c r="R827" s="21"/>
      <c r="S827" s="3" t="s">
        <v>40</v>
      </c>
      <c r="T827" s="21" t="s">
        <v>41</v>
      </c>
      <c r="U827" s="21"/>
      <c r="V827" s="4" t="s">
        <v>42</v>
      </c>
      <c r="W827" s="4" t="s">
        <v>350</v>
      </c>
      <c r="X827" s="4" t="s">
        <v>339</v>
      </c>
      <c r="Y827" s="21" t="s">
        <v>56</v>
      </c>
      <c r="Z827" s="21"/>
      <c r="AA827" s="4" t="s">
        <v>46</v>
      </c>
      <c r="AB827" s="4" t="s">
        <v>47</v>
      </c>
      <c r="AC827" s="4" t="s">
        <v>139</v>
      </c>
      <c r="AD827" s="4" t="s">
        <v>140</v>
      </c>
      <c r="AE827" s="4" t="s">
        <v>48</v>
      </c>
      <c r="AF827" s="4" t="s">
        <v>41</v>
      </c>
      <c r="AG827" s="4" t="s">
        <v>1858</v>
      </c>
    </row>
    <row r="828" spans="1:33" ht="16.5" customHeight="1" x14ac:dyDescent="0.2">
      <c r="A828" s="2" t="s">
        <v>31</v>
      </c>
      <c r="B828" s="19" t="s">
        <v>50</v>
      </c>
      <c r="C828" s="19"/>
      <c r="D828" s="19"/>
      <c r="E828" s="20" t="s">
        <v>33</v>
      </c>
      <c r="F828" s="20"/>
      <c r="G828" s="21" t="s">
        <v>1855</v>
      </c>
      <c r="H828" s="21"/>
      <c r="I828" s="21"/>
      <c r="J828" s="3" t="s">
        <v>35</v>
      </c>
      <c r="K828" s="4" t="s">
        <v>152</v>
      </c>
      <c r="L828" s="4" t="s">
        <v>37</v>
      </c>
      <c r="N828" s="21" t="s">
        <v>1908</v>
      </c>
      <c r="O828" s="21"/>
      <c r="P828" s="21" t="s">
        <v>1909</v>
      </c>
      <c r="Q828" s="21"/>
      <c r="R828" s="21"/>
      <c r="S828" s="3" t="s">
        <v>40</v>
      </c>
      <c r="T828" s="21" t="s">
        <v>41</v>
      </c>
      <c r="U828" s="21"/>
      <c r="V828" s="4" t="s">
        <v>42</v>
      </c>
      <c r="W828" s="4" t="s">
        <v>355</v>
      </c>
      <c r="X828" s="4" t="s">
        <v>356</v>
      </c>
      <c r="Y828" s="21" t="s">
        <v>56</v>
      </c>
      <c r="Z828" s="21"/>
      <c r="AA828" s="4" t="s">
        <v>46</v>
      </c>
      <c r="AB828" s="4" t="s">
        <v>47</v>
      </c>
      <c r="AC828" s="4" t="s">
        <v>139</v>
      </c>
      <c r="AD828" s="4" t="s">
        <v>140</v>
      </c>
      <c r="AE828" s="4" t="s">
        <v>48</v>
      </c>
      <c r="AF828" s="4" t="s">
        <v>41</v>
      </c>
      <c r="AG828" s="4" t="s">
        <v>1858</v>
      </c>
    </row>
    <row r="829" spans="1:33" ht="16.5" customHeight="1" x14ac:dyDescent="0.2">
      <c r="A829" s="2" t="s">
        <v>31</v>
      </c>
      <c r="B829" s="19" t="s">
        <v>50</v>
      </c>
      <c r="C829" s="19"/>
      <c r="D829" s="19"/>
      <c r="E829" s="20" t="s">
        <v>33</v>
      </c>
      <c r="F829" s="20"/>
      <c r="G829" s="21" t="s">
        <v>1855</v>
      </c>
      <c r="H829" s="21"/>
      <c r="I829" s="21"/>
      <c r="J829" s="3" t="s">
        <v>35</v>
      </c>
      <c r="K829" s="4" t="s">
        <v>87</v>
      </c>
      <c r="L829" s="4" t="s">
        <v>37</v>
      </c>
      <c r="N829" s="21" t="s">
        <v>1910</v>
      </c>
      <c r="O829" s="21"/>
      <c r="P829" s="21" t="s">
        <v>1911</v>
      </c>
      <c r="Q829" s="21"/>
      <c r="R829" s="21"/>
      <c r="S829" s="3" t="s">
        <v>40</v>
      </c>
      <c r="T829" s="21" t="s">
        <v>41</v>
      </c>
      <c r="U829" s="21"/>
      <c r="V829" s="4" t="s">
        <v>42</v>
      </c>
      <c r="W829" s="4" t="s">
        <v>355</v>
      </c>
      <c r="X829" s="4" t="s">
        <v>356</v>
      </c>
      <c r="Y829" s="21" t="s">
        <v>56</v>
      </c>
      <c r="Z829" s="21"/>
      <c r="AA829" s="4" t="s">
        <v>46</v>
      </c>
      <c r="AB829" s="4" t="s">
        <v>47</v>
      </c>
      <c r="AC829" s="4" t="s">
        <v>139</v>
      </c>
      <c r="AD829" s="4" t="s">
        <v>140</v>
      </c>
      <c r="AE829" s="4" t="s">
        <v>48</v>
      </c>
      <c r="AF829" s="4" t="s">
        <v>41</v>
      </c>
      <c r="AG829" s="4" t="s">
        <v>1858</v>
      </c>
    </row>
    <row r="830" spans="1:33" ht="16.5" customHeight="1" x14ac:dyDescent="0.2">
      <c r="A830" s="2" t="s">
        <v>31</v>
      </c>
      <c r="B830" s="19" t="s">
        <v>50</v>
      </c>
      <c r="C830" s="19"/>
      <c r="D830" s="19"/>
      <c r="E830" s="20" t="s">
        <v>33</v>
      </c>
      <c r="F830" s="20"/>
      <c r="G830" s="21" t="s">
        <v>1855</v>
      </c>
      <c r="H830" s="21"/>
      <c r="I830" s="21"/>
      <c r="J830" s="3" t="s">
        <v>35</v>
      </c>
      <c r="K830" s="4" t="s">
        <v>74</v>
      </c>
      <c r="L830" s="4" t="s">
        <v>37</v>
      </c>
      <c r="N830" s="21" t="s">
        <v>1912</v>
      </c>
      <c r="O830" s="21"/>
      <c r="P830" s="21" t="s">
        <v>1913</v>
      </c>
      <c r="Q830" s="21"/>
      <c r="R830" s="21"/>
      <c r="S830" s="3" t="s">
        <v>40</v>
      </c>
      <c r="T830" s="21" t="s">
        <v>41</v>
      </c>
      <c r="U830" s="21"/>
      <c r="V830" s="4" t="s">
        <v>42</v>
      </c>
      <c r="W830" s="4" t="s">
        <v>182</v>
      </c>
      <c r="X830" s="4" t="s">
        <v>294</v>
      </c>
      <c r="Y830" s="21" t="s">
        <v>65</v>
      </c>
      <c r="Z830" s="21"/>
      <c r="AA830" s="4" t="s">
        <v>46</v>
      </c>
      <c r="AB830" s="4" t="s">
        <v>47</v>
      </c>
      <c r="AC830" s="4" t="s">
        <v>66</v>
      </c>
      <c r="AD830" s="4" t="s">
        <v>73</v>
      </c>
      <c r="AE830" s="4" t="s">
        <v>48</v>
      </c>
      <c r="AF830" s="4" t="s">
        <v>41</v>
      </c>
      <c r="AG830" s="4" t="s">
        <v>1858</v>
      </c>
    </row>
    <row r="831" spans="1:33" ht="16.5" customHeight="1" x14ac:dyDescent="0.2">
      <c r="A831" s="2" t="s">
        <v>31</v>
      </c>
      <c r="B831" s="19" t="s">
        <v>50</v>
      </c>
      <c r="C831" s="19"/>
      <c r="D831" s="19"/>
      <c r="E831" s="20" t="s">
        <v>33</v>
      </c>
      <c r="F831" s="20"/>
      <c r="G831" s="21" t="s">
        <v>1855</v>
      </c>
      <c r="H831" s="21"/>
      <c r="I831" s="21"/>
      <c r="J831" s="3" t="s">
        <v>35</v>
      </c>
      <c r="K831" s="4" t="s">
        <v>1914</v>
      </c>
      <c r="L831" s="4" t="s">
        <v>37</v>
      </c>
      <c r="N831" s="21" t="s">
        <v>1915</v>
      </c>
      <c r="O831" s="21"/>
      <c r="P831" s="21" t="s">
        <v>1916</v>
      </c>
      <c r="Q831" s="21"/>
      <c r="R831" s="21"/>
      <c r="S831" s="3" t="s">
        <v>40</v>
      </c>
      <c r="T831" s="21" t="s">
        <v>41</v>
      </c>
      <c r="U831" s="21"/>
      <c r="V831" s="4" t="s">
        <v>42</v>
      </c>
      <c r="W831" s="4" t="s">
        <v>310</v>
      </c>
      <c r="X831" s="4" t="s">
        <v>311</v>
      </c>
      <c r="Y831" s="21" t="s">
        <v>198</v>
      </c>
      <c r="Z831" s="21"/>
      <c r="AA831" s="4" t="s">
        <v>46</v>
      </c>
      <c r="AB831" s="4" t="s">
        <v>47</v>
      </c>
      <c r="AC831" s="4" t="s">
        <v>139</v>
      </c>
      <c r="AD831" s="4" t="s">
        <v>140</v>
      </c>
      <c r="AE831" s="4" t="s">
        <v>48</v>
      </c>
      <c r="AF831" s="4" t="s">
        <v>41</v>
      </c>
      <c r="AG831" s="4" t="s">
        <v>1858</v>
      </c>
    </row>
    <row r="832" spans="1:33" ht="16.5" customHeight="1" x14ac:dyDescent="0.2">
      <c r="A832" s="2" t="s">
        <v>31</v>
      </c>
      <c r="B832" s="19" t="s">
        <v>50</v>
      </c>
      <c r="C832" s="19"/>
      <c r="D832" s="19"/>
      <c r="E832" s="20" t="s">
        <v>33</v>
      </c>
      <c r="F832" s="20"/>
      <c r="G832" s="21" t="s">
        <v>1855</v>
      </c>
      <c r="H832" s="21"/>
      <c r="I832" s="21"/>
      <c r="J832" s="3" t="s">
        <v>35</v>
      </c>
      <c r="K832" s="4" t="s">
        <v>82</v>
      </c>
      <c r="L832" s="4" t="s">
        <v>37</v>
      </c>
      <c r="N832" s="21" t="s">
        <v>1917</v>
      </c>
      <c r="O832" s="21"/>
      <c r="P832" s="21" t="s">
        <v>1918</v>
      </c>
      <c r="Q832" s="21"/>
      <c r="R832" s="21"/>
      <c r="S832" s="3" t="s">
        <v>40</v>
      </c>
      <c r="T832" s="21" t="s">
        <v>41</v>
      </c>
      <c r="U832" s="21"/>
      <c r="V832" s="4" t="s">
        <v>42</v>
      </c>
      <c r="W832" s="4" t="s">
        <v>54</v>
      </c>
      <c r="X832" s="4" t="s">
        <v>55</v>
      </c>
      <c r="Y832" s="21" t="s">
        <v>56</v>
      </c>
      <c r="Z832" s="21"/>
      <c r="AA832" s="4" t="s">
        <v>46</v>
      </c>
      <c r="AB832" s="4" t="s">
        <v>47</v>
      </c>
      <c r="AC832" s="4" t="s">
        <v>57</v>
      </c>
      <c r="AD832" s="4" t="s">
        <v>58</v>
      </c>
      <c r="AE832" s="4" t="s">
        <v>48</v>
      </c>
      <c r="AF832" s="4" t="s">
        <v>41</v>
      </c>
      <c r="AG832" s="4" t="s">
        <v>1858</v>
      </c>
    </row>
    <row r="833" spans="1:33" ht="16.5" customHeight="1" x14ac:dyDescent="0.2">
      <c r="A833" s="2" t="s">
        <v>31</v>
      </c>
      <c r="B833" s="19" t="s">
        <v>50</v>
      </c>
      <c r="C833" s="19"/>
      <c r="D833" s="19"/>
      <c r="E833" s="20" t="s">
        <v>33</v>
      </c>
      <c r="F833" s="20"/>
      <c r="G833" s="21" t="s">
        <v>1855</v>
      </c>
      <c r="H833" s="21"/>
      <c r="I833" s="21"/>
      <c r="J833" s="3" t="s">
        <v>35</v>
      </c>
      <c r="K833" s="4" t="s">
        <v>82</v>
      </c>
      <c r="L833" s="4" t="s">
        <v>37</v>
      </c>
      <c r="N833" s="21" t="s">
        <v>1919</v>
      </c>
      <c r="O833" s="21"/>
      <c r="P833" s="21" t="s">
        <v>1920</v>
      </c>
      <c r="Q833" s="21"/>
      <c r="R833" s="21"/>
      <c r="S833" s="3" t="s">
        <v>40</v>
      </c>
      <c r="T833" s="21" t="s">
        <v>41</v>
      </c>
      <c r="U833" s="21"/>
      <c r="V833" s="4" t="s">
        <v>42</v>
      </c>
      <c r="W833" s="4" t="s">
        <v>54</v>
      </c>
      <c r="X833" s="4" t="s">
        <v>55</v>
      </c>
      <c r="Y833" s="21" t="s">
        <v>56</v>
      </c>
      <c r="Z833" s="21"/>
      <c r="AA833" s="4" t="s">
        <v>46</v>
      </c>
      <c r="AB833" s="4" t="s">
        <v>47</v>
      </c>
      <c r="AC833" s="4" t="s">
        <v>57</v>
      </c>
      <c r="AD833" s="4" t="s">
        <v>58</v>
      </c>
      <c r="AE833" s="4" t="s">
        <v>48</v>
      </c>
      <c r="AF833" s="4" t="s">
        <v>41</v>
      </c>
      <c r="AG833" s="4" t="s">
        <v>1858</v>
      </c>
    </row>
    <row r="834" spans="1:33" ht="16.5" customHeight="1" x14ac:dyDescent="0.2">
      <c r="A834" s="2" t="s">
        <v>31</v>
      </c>
      <c r="B834" s="19" t="s">
        <v>50</v>
      </c>
      <c r="C834" s="19"/>
      <c r="D834" s="19"/>
      <c r="E834" s="20" t="s">
        <v>33</v>
      </c>
      <c r="F834" s="20"/>
      <c r="G834" s="21" t="s">
        <v>1855</v>
      </c>
      <c r="H834" s="21"/>
      <c r="I834" s="21"/>
      <c r="J834" s="3" t="s">
        <v>35</v>
      </c>
      <c r="K834" s="4" t="s">
        <v>82</v>
      </c>
      <c r="L834" s="4" t="s">
        <v>37</v>
      </c>
      <c r="N834" s="21" t="s">
        <v>1921</v>
      </c>
      <c r="O834" s="21"/>
      <c r="P834" s="21" t="s">
        <v>1922</v>
      </c>
      <c r="Q834" s="21"/>
      <c r="R834" s="21"/>
      <c r="S834" s="3" t="s">
        <v>40</v>
      </c>
      <c r="T834" s="21" t="s">
        <v>41</v>
      </c>
      <c r="U834" s="21"/>
      <c r="V834" s="4" t="s">
        <v>42</v>
      </c>
      <c r="W834" s="4" t="s">
        <v>54</v>
      </c>
      <c r="X834" s="4" t="s">
        <v>55</v>
      </c>
      <c r="Y834" s="21" t="s">
        <v>56</v>
      </c>
      <c r="Z834" s="21"/>
      <c r="AA834" s="4" t="s">
        <v>46</v>
      </c>
      <c r="AB834" s="4" t="s">
        <v>47</v>
      </c>
      <c r="AC834" s="4" t="s">
        <v>57</v>
      </c>
      <c r="AD834" s="4" t="s">
        <v>58</v>
      </c>
      <c r="AE834" s="4" t="s">
        <v>48</v>
      </c>
      <c r="AF834" s="4" t="s">
        <v>41</v>
      </c>
      <c r="AG834" s="4" t="s">
        <v>1858</v>
      </c>
    </row>
    <row r="835" spans="1:33" ht="16.5" customHeight="1" x14ac:dyDescent="0.2">
      <c r="A835" s="2" t="s">
        <v>31</v>
      </c>
      <c r="B835" s="19" t="s">
        <v>50</v>
      </c>
      <c r="C835" s="19"/>
      <c r="D835" s="19"/>
      <c r="E835" s="20" t="s">
        <v>33</v>
      </c>
      <c r="F835" s="20"/>
      <c r="G835" s="21" t="s">
        <v>1855</v>
      </c>
      <c r="H835" s="21"/>
      <c r="I835" s="21"/>
      <c r="J835" s="3" t="s">
        <v>35</v>
      </c>
      <c r="K835" s="4" t="s">
        <v>133</v>
      </c>
      <c r="L835" s="4" t="s">
        <v>68</v>
      </c>
      <c r="N835" s="21" t="s">
        <v>1923</v>
      </c>
      <c r="O835" s="21"/>
      <c r="P835" s="21" t="s">
        <v>1924</v>
      </c>
      <c r="Q835" s="21"/>
      <c r="R835" s="21"/>
      <c r="S835" s="3" t="s">
        <v>40</v>
      </c>
      <c r="T835" s="21" t="s">
        <v>41</v>
      </c>
      <c r="U835" s="21"/>
      <c r="V835" s="4" t="s">
        <v>42</v>
      </c>
      <c r="W835" s="4" t="s">
        <v>130</v>
      </c>
      <c r="X835" s="4" t="s">
        <v>60</v>
      </c>
      <c r="Y835" s="21" t="s">
        <v>138</v>
      </c>
      <c r="Z835" s="21"/>
      <c r="AA835" s="4" t="s">
        <v>46</v>
      </c>
      <c r="AB835" s="4" t="s">
        <v>47</v>
      </c>
      <c r="AC835" s="4" t="s">
        <v>57</v>
      </c>
      <c r="AD835" s="4" t="s">
        <v>98</v>
      </c>
      <c r="AE835" s="4" t="s">
        <v>48</v>
      </c>
      <c r="AF835" s="4" t="s">
        <v>41</v>
      </c>
      <c r="AG835" s="4" t="s">
        <v>1858</v>
      </c>
    </row>
    <row r="836" spans="1:33" ht="16.5" customHeight="1" x14ac:dyDescent="0.2">
      <c r="A836" s="2" t="s">
        <v>31</v>
      </c>
      <c r="B836" s="19" t="s">
        <v>50</v>
      </c>
      <c r="C836" s="19"/>
      <c r="D836" s="19"/>
      <c r="E836" s="20" t="s">
        <v>33</v>
      </c>
      <c r="F836" s="20"/>
      <c r="G836" s="21" t="s">
        <v>1855</v>
      </c>
      <c r="H836" s="21"/>
      <c r="I836" s="21"/>
      <c r="J836" s="3" t="s">
        <v>35</v>
      </c>
      <c r="K836" s="4" t="s">
        <v>193</v>
      </c>
      <c r="L836" s="4" t="s">
        <v>37</v>
      </c>
      <c r="N836" s="21" t="s">
        <v>1925</v>
      </c>
      <c r="O836" s="21"/>
      <c r="P836" s="21" t="s">
        <v>1926</v>
      </c>
      <c r="Q836" s="21"/>
      <c r="R836" s="21"/>
      <c r="S836" s="3" t="s">
        <v>40</v>
      </c>
      <c r="T836" s="21" t="s">
        <v>41</v>
      </c>
      <c r="U836" s="21"/>
      <c r="V836" s="4" t="s">
        <v>42</v>
      </c>
      <c r="W836" s="4" t="s">
        <v>130</v>
      </c>
      <c r="X836" s="4" t="s">
        <v>60</v>
      </c>
      <c r="Y836" s="21" t="s">
        <v>198</v>
      </c>
      <c r="Z836" s="21"/>
      <c r="AA836" s="4" t="s">
        <v>46</v>
      </c>
      <c r="AB836" s="4" t="s">
        <v>47</v>
      </c>
      <c r="AC836" s="4" t="s">
        <v>139</v>
      </c>
      <c r="AD836" s="4" t="s">
        <v>140</v>
      </c>
      <c r="AE836" s="4" t="s">
        <v>48</v>
      </c>
      <c r="AF836" s="4" t="s">
        <v>41</v>
      </c>
      <c r="AG836" s="4" t="s">
        <v>1858</v>
      </c>
    </row>
    <row r="837" spans="1:33" ht="16.5" customHeight="1" x14ac:dyDescent="0.2">
      <c r="A837" s="2" t="s">
        <v>31</v>
      </c>
      <c r="B837" s="19" t="s">
        <v>110</v>
      </c>
      <c r="C837" s="19"/>
      <c r="D837" s="19"/>
      <c r="E837" s="20" t="s">
        <v>33</v>
      </c>
      <c r="F837" s="20"/>
      <c r="G837" s="21" t="s">
        <v>1855</v>
      </c>
      <c r="H837" s="21"/>
      <c r="I837" s="21"/>
      <c r="J837" s="3" t="s">
        <v>35</v>
      </c>
      <c r="K837" s="4" t="s">
        <v>1301</v>
      </c>
      <c r="N837" s="21" t="s">
        <v>1927</v>
      </c>
      <c r="O837" s="21"/>
      <c r="P837" s="21" t="s">
        <v>1928</v>
      </c>
      <c r="Q837" s="21"/>
      <c r="R837" s="21"/>
      <c r="S837" s="3" t="s">
        <v>40</v>
      </c>
      <c r="T837" s="21" t="s">
        <v>1929</v>
      </c>
      <c r="U837" s="21"/>
      <c r="V837" s="4" t="s">
        <v>59</v>
      </c>
      <c r="W837" s="4" t="s">
        <v>85</v>
      </c>
      <c r="X837" s="4" t="s">
        <v>95</v>
      </c>
      <c r="Y837" s="21" t="s">
        <v>980</v>
      </c>
      <c r="Z837" s="21"/>
      <c r="AA837" s="4" t="s">
        <v>46</v>
      </c>
      <c r="AB837" s="4" t="s">
        <v>117</v>
      </c>
      <c r="AC837" s="4" t="s">
        <v>1305</v>
      </c>
      <c r="AD837" s="4" t="s">
        <v>1930</v>
      </c>
      <c r="AE837" s="4" t="s">
        <v>48</v>
      </c>
      <c r="AF837" s="4" t="s">
        <v>41</v>
      </c>
      <c r="AG837" s="4" t="s">
        <v>1858</v>
      </c>
    </row>
    <row r="838" spans="1:33" ht="16.5" customHeight="1" x14ac:dyDescent="0.2">
      <c r="A838" s="2" t="s">
        <v>31</v>
      </c>
      <c r="B838" s="19" t="s">
        <v>32</v>
      </c>
      <c r="C838" s="19"/>
      <c r="D838" s="19"/>
      <c r="E838" s="20" t="s">
        <v>33</v>
      </c>
      <c r="F838" s="20"/>
      <c r="G838" s="21" t="s">
        <v>1931</v>
      </c>
      <c r="H838" s="21"/>
      <c r="I838" s="21"/>
      <c r="J838" s="3" t="s">
        <v>35</v>
      </c>
      <c r="K838" s="4" t="s">
        <v>1932</v>
      </c>
      <c r="L838" s="4" t="s">
        <v>37</v>
      </c>
      <c r="N838" s="21" t="s">
        <v>1933</v>
      </c>
      <c r="O838" s="21"/>
      <c r="P838" s="21" t="s">
        <v>1934</v>
      </c>
      <c r="Q838" s="21"/>
      <c r="R838" s="21"/>
      <c r="S838" s="3" t="s">
        <v>40</v>
      </c>
      <c r="T838" s="21" t="s">
        <v>41</v>
      </c>
      <c r="U838" s="21"/>
      <c r="V838" s="4" t="s">
        <v>42</v>
      </c>
      <c r="W838" s="4" t="s">
        <v>54</v>
      </c>
      <c r="X838" s="4" t="s">
        <v>55</v>
      </c>
      <c r="Y838" s="21" t="s">
        <v>1935</v>
      </c>
      <c r="Z838" s="21"/>
      <c r="AA838" s="4" t="s">
        <v>46</v>
      </c>
      <c r="AB838" s="4" t="s">
        <v>47</v>
      </c>
      <c r="AD838" s="4" t="s">
        <v>41</v>
      </c>
      <c r="AE838" s="4" t="s">
        <v>48</v>
      </c>
      <c r="AF838" s="4" t="s">
        <v>41</v>
      </c>
      <c r="AG838" s="4" t="s">
        <v>1936</v>
      </c>
    </row>
    <row r="839" spans="1:33" ht="16.5" customHeight="1" x14ac:dyDescent="0.2">
      <c r="A839" s="2" t="s">
        <v>31</v>
      </c>
      <c r="B839" s="19" t="s">
        <v>50</v>
      </c>
      <c r="C839" s="19"/>
      <c r="D839" s="19"/>
      <c r="E839" s="20" t="s">
        <v>33</v>
      </c>
      <c r="F839" s="20"/>
      <c r="G839" s="21" t="s">
        <v>1931</v>
      </c>
      <c r="H839" s="21"/>
      <c r="I839" s="21"/>
      <c r="J839" s="3" t="s">
        <v>35</v>
      </c>
      <c r="K839" s="4" t="s">
        <v>133</v>
      </c>
      <c r="L839" s="4" t="s">
        <v>37</v>
      </c>
      <c r="N839" s="21" t="s">
        <v>1937</v>
      </c>
      <c r="O839" s="21"/>
      <c r="P839" s="21" t="s">
        <v>1938</v>
      </c>
      <c r="Q839" s="21"/>
      <c r="R839" s="21"/>
      <c r="S839" s="3" t="s">
        <v>40</v>
      </c>
      <c r="T839" s="21" t="s">
        <v>41</v>
      </c>
      <c r="U839" s="21"/>
      <c r="V839" s="4" t="s">
        <v>42</v>
      </c>
      <c r="W839" s="4" t="s">
        <v>161</v>
      </c>
      <c r="X839" s="4" t="s">
        <v>162</v>
      </c>
      <c r="Y839" s="21" t="s">
        <v>138</v>
      </c>
      <c r="Z839" s="21"/>
      <c r="AA839" s="4" t="s">
        <v>46</v>
      </c>
      <c r="AB839" s="4" t="s">
        <v>47</v>
      </c>
      <c r="AC839" s="4" t="s">
        <v>139</v>
      </c>
      <c r="AD839" s="4" t="s">
        <v>140</v>
      </c>
      <c r="AE839" s="4" t="s">
        <v>48</v>
      </c>
      <c r="AF839" s="4" t="s">
        <v>41</v>
      </c>
      <c r="AG839" s="4" t="s">
        <v>1936</v>
      </c>
    </row>
    <row r="840" spans="1:33" ht="16.5" customHeight="1" x14ac:dyDescent="0.2">
      <c r="A840" s="2" t="s">
        <v>31</v>
      </c>
      <c r="B840" s="19" t="s">
        <v>50</v>
      </c>
      <c r="C840" s="19"/>
      <c r="D840" s="19"/>
      <c r="E840" s="20" t="s">
        <v>33</v>
      </c>
      <c r="F840" s="20"/>
      <c r="G840" s="21" t="s">
        <v>1931</v>
      </c>
      <c r="H840" s="21"/>
      <c r="I840" s="21"/>
      <c r="J840" s="3" t="s">
        <v>35</v>
      </c>
      <c r="K840" s="4" t="s">
        <v>247</v>
      </c>
      <c r="L840" s="4" t="s">
        <v>445</v>
      </c>
      <c r="N840" s="21" t="s">
        <v>1939</v>
      </c>
      <c r="O840" s="21"/>
      <c r="P840" s="21" t="s">
        <v>1940</v>
      </c>
      <c r="Q840" s="21"/>
      <c r="R840" s="21"/>
      <c r="S840" s="3" t="s">
        <v>40</v>
      </c>
      <c r="T840" s="21" t="s">
        <v>41</v>
      </c>
      <c r="U840" s="21"/>
      <c r="V840" s="4" t="s">
        <v>42</v>
      </c>
      <c r="W840" s="4" t="s">
        <v>54</v>
      </c>
      <c r="X840" s="4" t="s">
        <v>55</v>
      </c>
      <c r="Y840" s="21" t="s">
        <v>65</v>
      </c>
      <c r="Z840" s="21"/>
      <c r="AA840" s="4" t="s">
        <v>46</v>
      </c>
      <c r="AB840" s="4" t="s">
        <v>47</v>
      </c>
      <c r="AC840" s="4" t="s">
        <v>66</v>
      </c>
      <c r="AD840" s="4" t="s">
        <v>1234</v>
      </c>
      <c r="AE840" s="4" t="s">
        <v>48</v>
      </c>
      <c r="AF840" s="4" t="s">
        <v>41</v>
      </c>
      <c r="AG840" s="4" t="s">
        <v>1936</v>
      </c>
    </row>
    <row r="841" spans="1:33" ht="16.5" customHeight="1" x14ac:dyDescent="0.2">
      <c r="A841" s="2" t="s">
        <v>31</v>
      </c>
      <c r="B841" s="19" t="s">
        <v>50</v>
      </c>
      <c r="C841" s="19"/>
      <c r="D841" s="19"/>
      <c r="E841" s="20" t="s">
        <v>33</v>
      </c>
      <c r="F841" s="20"/>
      <c r="G841" s="21" t="s">
        <v>1931</v>
      </c>
      <c r="H841" s="21"/>
      <c r="I841" s="21"/>
      <c r="J841" s="3" t="s">
        <v>35</v>
      </c>
      <c r="K841" s="4" t="s">
        <v>152</v>
      </c>
      <c r="L841" s="4" t="s">
        <v>37</v>
      </c>
      <c r="N841" s="21" t="s">
        <v>1941</v>
      </c>
      <c r="O841" s="21"/>
      <c r="P841" s="21" t="s">
        <v>1942</v>
      </c>
      <c r="Q841" s="21"/>
      <c r="R841" s="21"/>
      <c r="S841" s="3" t="s">
        <v>40</v>
      </c>
      <c r="T841" s="21" t="s">
        <v>41</v>
      </c>
      <c r="U841" s="21"/>
      <c r="V841" s="4" t="s">
        <v>42</v>
      </c>
      <c r="W841" s="4" t="s">
        <v>229</v>
      </c>
      <c r="X841" s="4" t="s">
        <v>448</v>
      </c>
      <c r="Y841" s="21" t="s">
        <v>56</v>
      </c>
      <c r="Z841" s="21"/>
      <c r="AA841" s="4" t="s">
        <v>46</v>
      </c>
      <c r="AB841" s="4" t="s">
        <v>47</v>
      </c>
      <c r="AC841" s="4" t="s">
        <v>139</v>
      </c>
      <c r="AD841" s="4" t="s">
        <v>140</v>
      </c>
      <c r="AE841" s="4" t="s">
        <v>48</v>
      </c>
      <c r="AF841" s="4" t="s">
        <v>41</v>
      </c>
      <c r="AG841" s="4" t="s">
        <v>1936</v>
      </c>
    </row>
    <row r="842" spans="1:33" ht="16.5" customHeight="1" x14ac:dyDescent="0.2">
      <c r="A842" s="2" t="s">
        <v>31</v>
      </c>
      <c r="B842" s="19" t="s">
        <v>110</v>
      </c>
      <c r="C842" s="19"/>
      <c r="D842" s="19"/>
      <c r="E842" s="20" t="s">
        <v>33</v>
      </c>
      <c r="F842" s="20"/>
      <c r="G842" s="21" t="s">
        <v>1931</v>
      </c>
      <c r="H842" s="21"/>
      <c r="I842" s="21"/>
      <c r="J842" s="3" t="s">
        <v>111</v>
      </c>
      <c r="K842" s="4" t="s">
        <v>561</v>
      </c>
      <c r="N842" s="21" t="s">
        <v>1941</v>
      </c>
      <c r="O842" s="21"/>
      <c r="P842" s="21" t="s">
        <v>1942</v>
      </c>
      <c r="Q842" s="21"/>
      <c r="R842" s="21"/>
      <c r="S842" s="3" t="s">
        <v>40</v>
      </c>
      <c r="T842" s="21" t="s">
        <v>1943</v>
      </c>
      <c r="U842" s="21"/>
      <c r="V842" s="4" t="s">
        <v>42</v>
      </c>
      <c r="W842" s="4" t="s">
        <v>54</v>
      </c>
      <c r="X842" s="4" t="s">
        <v>203</v>
      </c>
      <c r="Y842" s="21" t="s">
        <v>116</v>
      </c>
      <c r="Z842" s="21"/>
      <c r="AA842" s="4" t="s">
        <v>46</v>
      </c>
      <c r="AB842" s="4" t="s">
        <v>117</v>
      </c>
      <c r="AC842" s="4" t="s">
        <v>243</v>
      </c>
      <c r="AD842" s="4" t="s">
        <v>1944</v>
      </c>
      <c r="AE842" s="4" t="s">
        <v>48</v>
      </c>
      <c r="AF842" s="4" t="s">
        <v>41</v>
      </c>
      <c r="AG842" s="4" t="s">
        <v>1936</v>
      </c>
    </row>
    <row r="843" spans="1:33" ht="16.5" customHeight="1" x14ac:dyDescent="0.2">
      <c r="A843" s="2" t="s">
        <v>31</v>
      </c>
      <c r="B843" s="19" t="s">
        <v>50</v>
      </c>
      <c r="C843" s="19"/>
      <c r="D843" s="19"/>
      <c r="E843" s="20" t="s">
        <v>33</v>
      </c>
      <c r="F843" s="20"/>
      <c r="G843" s="21" t="s">
        <v>1931</v>
      </c>
      <c r="H843" s="21"/>
      <c r="I843" s="21"/>
      <c r="J843" s="3" t="s">
        <v>35</v>
      </c>
      <c r="K843" s="4" t="s">
        <v>152</v>
      </c>
      <c r="L843" s="4" t="s">
        <v>37</v>
      </c>
      <c r="N843" s="21" t="s">
        <v>1945</v>
      </c>
      <c r="O843" s="21"/>
      <c r="P843" s="21" t="s">
        <v>1946</v>
      </c>
      <c r="Q843" s="21"/>
      <c r="R843" s="21"/>
      <c r="S843" s="3" t="s">
        <v>40</v>
      </c>
      <c r="T843" s="21" t="s">
        <v>41</v>
      </c>
      <c r="U843" s="21"/>
      <c r="V843" s="4" t="s">
        <v>42</v>
      </c>
      <c r="W843" s="4" t="s">
        <v>310</v>
      </c>
      <c r="X843" s="4" t="s">
        <v>311</v>
      </c>
      <c r="Y843" s="21" t="s">
        <v>56</v>
      </c>
      <c r="Z843" s="21"/>
      <c r="AA843" s="4" t="s">
        <v>46</v>
      </c>
      <c r="AB843" s="4" t="s">
        <v>47</v>
      </c>
      <c r="AC843" s="4" t="s">
        <v>57</v>
      </c>
      <c r="AD843" s="4" t="s">
        <v>58</v>
      </c>
      <c r="AE843" s="4" t="s">
        <v>48</v>
      </c>
      <c r="AF843" s="4" t="s">
        <v>41</v>
      </c>
      <c r="AG843" s="4" t="s">
        <v>1936</v>
      </c>
    </row>
    <row r="844" spans="1:33" ht="16.5" customHeight="1" x14ac:dyDescent="0.2">
      <c r="A844" s="2" t="s">
        <v>31</v>
      </c>
      <c r="B844" s="19" t="s">
        <v>50</v>
      </c>
      <c r="C844" s="19"/>
      <c r="D844" s="19"/>
      <c r="E844" s="20" t="s">
        <v>33</v>
      </c>
      <c r="F844" s="20"/>
      <c r="G844" s="21" t="s">
        <v>1931</v>
      </c>
      <c r="H844" s="21"/>
      <c r="I844" s="21"/>
      <c r="J844" s="3" t="s">
        <v>35</v>
      </c>
      <c r="K844" s="4" t="s">
        <v>51</v>
      </c>
      <c r="L844" s="4" t="s">
        <v>37</v>
      </c>
      <c r="N844" s="21" t="s">
        <v>1947</v>
      </c>
      <c r="O844" s="21"/>
      <c r="P844" s="21" t="s">
        <v>1948</v>
      </c>
      <c r="Q844" s="21"/>
      <c r="R844" s="21"/>
      <c r="S844" s="3" t="s">
        <v>40</v>
      </c>
      <c r="T844" s="21" t="s">
        <v>41</v>
      </c>
      <c r="U844" s="21"/>
      <c r="V844" s="4" t="s">
        <v>42</v>
      </c>
      <c r="W844" s="4" t="s">
        <v>1489</v>
      </c>
      <c r="X844" s="4" t="s">
        <v>1490</v>
      </c>
      <c r="Y844" s="21" t="s">
        <v>56</v>
      </c>
      <c r="Z844" s="21"/>
      <c r="AA844" s="4" t="s">
        <v>46</v>
      </c>
      <c r="AB844" s="4" t="s">
        <v>47</v>
      </c>
      <c r="AC844" s="4" t="s">
        <v>139</v>
      </c>
      <c r="AD844" s="4" t="s">
        <v>140</v>
      </c>
      <c r="AE844" s="4" t="s">
        <v>48</v>
      </c>
      <c r="AF844" s="4" t="s">
        <v>41</v>
      </c>
      <c r="AG844" s="4" t="s">
        <v>1936</v>
      </c>
    </row>
    <row r="845" spans="1:33" ht="16.5" customHeight="1" x14ac:dyDescent="0.2">
      <c r="A845" s="2" t="s">
        <v>31</v>
      </c>
      <c r="B845" s="19" t="s">
        <v>50</v>
      </c>
      <c r="C845" s="19"/>
      <c r="D845" s="19"/>
      <c r="E845" s="20" t="s">
        <v>33</v>
      </c>
      <c r="F845" s="20"/>
      <c r="G845" s="21" t="s">
        <v>1931</v>
      </c>
      <c r="H845" s="21"/>
      <c r="I845" s="21"/>
      <c r="J845" s="3" t="s">
        <v>35</v>
      </c>
      <c r="K845" s="4" t="s">
        <v>120</v>
      </c>
      <c r="L845" s="4" t="s">
        <v>37</v>
      </c>
      <c r="N845" s="21" t="s">
        <v>1949</v>
      </c>
      <c r="O845" s="21"/>
      <c r="P845" s="21" t="s">
        <v>1950</v>
      </c>
      <c r="Q845" s="21"/>
      <c r="R845" s="21"/>
      <c r="S845" s="3" t="s">
        <v>40</v>
      </c>
      <c r="T845" s="21" t="s">
        <v>41</v>
      </c>
      <c r="U845" s="21"/>
      <c r="V845" s="4" t="s">
        <v>42</v>
      </c>
      <c r="W845" s="4" t="s">
        <v>43</v>
      </c>
      <c r="X845" s="4" t="s">
        <v>44</v>
      </c>
      <c r="Y845" s="21" t="s">
        <v>65</v>
      </c>
      <c r="Z845" s="21"/>
      <c r="AA845" s="4" t="s">
        <v>46</v>
      </c>
      <c r="AB845" s="4" t="s">
        <v>47</v>
      </c>
      <c r="AC845" s="4" t="s">
        <v>57</v>
      </c>
      <c r="AD845" s="4" t="s">
        <v>58</v>
      </c>
      <c r="AE845" s="4" t="s">
        <v>48</v>
      </c>
      <c r="AF845" s="4" t="s">
        <v>41</v>
      </c>
      <c r="AG845" s="4" t="s">
        <v>1936</v>
      </c>
    </row>
    <row r="846" spans="1:33" ht="16.5" customHeight="1" x14ac:dyDescent="0.2">
      <c r="A846" s="2" t="s">
        <v>31</v>
      </c>
      <c r="B846" s="19" t="s">
        <v>110</v>
      </c>
      <c r="C846" s="19"/>
      <c r="D846" s="19"/>
      <c r="E846" s="20" t="s">
        <v>33</v>
      </c>
      <c r="F846" s="20"/>
      <c r="G846" s="21" t="s">
        <v>1931</v>
      </c>
      <c r="H846" s="21"/>
      <c r="I846" s="21"/>
      <c r="J846" s="3" t="s">
        <v>111</v>
      </c>
      <c r="K846" s="4" t="s">
        <v>426</v>
      </c>
      <c r="N846" s="21" t="s">
        <v>1949</v>
      </c>
      <c r="O846" s="21"/>
      <c r="P846" s="21" t="s">
        <v>1950</v>
      </c>
      <c r="Q846" s="21"/>
      <c r="R846" s="21"/>
      <c r="S846" s="3" t="s">
        <v>40</v>
      </c>
      <c r="T846" s="21" t="s">
        <v>427</v>
      </c>
      <c r="U846" s="21"/>
      <c r="V846" s="4" t="s">
        <v>42</v>
      </c>
      <c r="W846" s="4" t="s">
        <v>54</v>
      </c>
      <c r="X846" s="4" t="s">
        <v>1951</v>
      </c>
      <c r="Y846" s="21" t="s">
        <v>116</v>
      </c>
      <c r="Z846" s="21"/>
      <c r="AA846" s="4" t="s">
        <v>46</v>
      </c>
      <c r="AB846" s="4" t="s">
        <v>117</v>
      </c>
      <c r="AC846" s="4" t="s">
        <v>243</v>
      </c>
      <c r="AD846" s="4" t="s">
        <v>428</v>
      </c>
      <c r="AE846" s="4" t="s">
        <v>48</v>
      </c>
      <c r="AF846" s="4" t="s">
        <v>41</v>
      </c>
      <c r="AG846" s="4" t="s">
        <v>1936</v>
      </c>
    </row>
    <row r="847" spans="1:33" ht="16.5" customHeight="1" x14ac:dyDescent="0.2">
      <c r="A847" s="2" t="s">
        <v>31</v>
      </c>
      <c r="B847" s="19" t="s">
        <v>50</v>
      </c>
      <c r="C847" s="19"/>
      <c r="D847" s="19"/>
      <c r="E847" s="20" t="s">
        <v>33</v>
      </c>
      <c r="F847" s="20"/>
      <c r="G847" s="21" t="s">
        <v>1931</v>
      </c>
      <c r="H847" s="21"/>
      <c r="I847" s="21"/>
      <c r="J847" s="3" t="s">
        <v>35</v>
      </c>
      <c r="K847" s="4" t="s">
        <v>74</v>
      </c>
      <c r="L847" s="4" t="s">
        <v>37</v>
      </c>
      <c r="N847" s="21" t="s">
        <v>1952</v>
      </c>
      <c r="O847" s="21"/>
      <c r="P847" s="21" t="s">
        <v>1953</v>
      </c>
      <c r="Q847" s="21"/>
      <c r="R847" s="21"/>
      <c r="S847" s="3" t="s">
        <v>40</v>
      </c>
      <c r="T847" s="21" t="s">
        <v>41</v>
      </c>
      <c r="U847" s="21"/>
      <c r="V847" s="4" t="s">
        <v>42</v>
      </c>
      <c r="W847" s="4" t="s">
        <v>1002</v>
      </c>
      <c r="X847" s="4" t="s">
        <v>537</v>
      </c>
      <c r="Y847" s="21" t="s">
        <v>65</v>
      </c>
      <c r="Z847" s="21"/>
      <c r="AA847" s="4" t="s">
        <v>46</v>
      </c>
      <c r="AB847" s="4" t="s">
        <v>47</v>
      </c>
      <c r="AC847" s="4" t="s">
        <v>57</v>
      </c>
      <c r="AD847" s="4" t="s">
        <v>58</v>
      </c>
      <c r="AE847" s="4" t="s">
        <v>48</v>
      </c>
      <c r="AF847" s="4" t="s">
        <v>41</v>
      </c>
      <c r="AG847" s="4" t="s">
        <v>1936</v>
      </c>
    </row>
    <row r="848" spans="1:33" ht="16.5" customHeight="1" x14ac:dyDescent="0.2">
      <c r="A848" s="2" t="s">
        <v>31</v>
      </c>
      <c r="B848" s="19" t="s">
        <v>50</v>
      </c>
      <c r="C848" s="19"/>
      <c r="D848" s="19"/>
      <c r="E848" s="20" t="s">
        <v>33</v>
      </c>
      <c r="F848" s="20"/>
      <c r="G848" s="21" t="s">
        <v>1931</v>
      </c>
      <c r="H848" s="21"/>
      <c r="I848" s="21"/>
      <c r="J848" s="3" t="s">
        <v>35</v>
      </c>
      <c r="K848" s="4" t="s">
        <v>82</v>
      </c>
      <c r="L848" s="4" t="s">
        <v>37</v>
      </c>
      <c r="N848" s="21" t="s">
        <v>1954</v>
      </c>
      <c r="O848" s="21"/>
      <c r="P848" s="21" t="s">
        <v>1955</v>
      </c>
      <c r="Q848" s="21"/>
      <c r="R848" s="21"/>
      <c r="S848" s="3" t="s">
        <v>40</v>
      </c>
      <c r="T848" s="21" t="s">
        <v>41</v>
      </c>
      <c r="U848" s="21"/>
      <c r="V848" s="4" t="s">
        <v>42</v>
      </c>
      <c r="W848" s="4" t="s">
        <v>234</v>
      </c>
      <c r="X848" s="4" t="s">
        <v>235</v>
      </c>
      <c r="Y848" s="21" t="s">
        <v>56</v>
      </c>
      <c r="Z848" s="21"/>
      <c r="AA848" s="4" t="s">
        <v>46</v>
      </c>
      <c r="AB848" s="4" t="s">
        <v>47</v>
      </c>
      <c r="AC848" s="4" t="s">
        <v>139</v>
      </c>
      <c r="AD848" s="4" t="s">
        <v>140</v>
      </c>
      <c r="AE848" s="4" t="s">
        <v>48</v>
      </c>
      <c r="AF848" s="4" t="s">
        <v>41</v>
      </c>
      <c r="AG848" s="4" t="s">
        <v>1936</v>
      </c>
    </row>
    <row r="849" spans="1:33" ht="16.5" customHeight="1" x14ac:dyDescent="0.2">
      <c r="A849" s="2" t="s">
        <v>31</v>
      </c>
      <c r="B849" s="19" t="s">
        <v>50</v>
      </c>
      <c r="C849" s="19"/>
      <c r="D849" s="19"/>
      <c r="E849" s="20" t="s">
        <v>33</v>
      </c>
      <c r="F849" s="20"/>
      <c r="G849" s="21" t="s">
        <v>1931</v>
      </c>
      <c r="H849" s="21"/>
      <c r="I849" s="21"/>
      <c r="J849" s="3" t="s">
        <v>35</v>
      </c>
      <c r="K849" s="4" t="s">
        <v>74</v>
      </c>
      <c r="L849" s="4" t="s">
        <v>37</v>
      </c>
      <c r="N849" s="21" t="s">
        <v>1956</v>
      </c>
      <c r="O849" s="21"/>
      <c r="P849" s="21" t="s">
        <v>1957</v>
      </c>
      <c r="Q849" s="21"/>
      <c r="R849" s="21"/>
      <c r="S849" s="3" t="s">
        <v>40</v>
      </c>
      <c r="T849" s="21" t="s">
        <v>41</v>
      </c>
      <c r="U849" s="21"/>
      <c r="V849" s="4" t="s">
        <v>42</v>
      </c>
      <c r="W849" s="4" t="s">
        <v>544</v>
      </c>
      <c r="X849" s="4" t="s">
        <v>545</v>
      </c>
      <c r="Y849" s="21" t="s">
        <v>65</v>
      </c>
      <c r="Z849" s="21"/>
      <c r="AA849" s="4" t="s">
        <v>46</v>
      </c>
      <c r="AB849" s="4" t="s">
        <v>47</v>
      </c>
      <c r="AC849" s="4" t="s">
        <v>57</v>
      </c>
      <c r="AD849" s="4" t="s">
        <v>58</v>
      </c>
      <c r="AE849" s="4" t="s">
        <v>48</v>
      </c>
      <c r="AF849" s="4" t="s">
        <v>41</v>
      </c>
      <c r="AG849" s="4" t="s">
        <v>1936</v>
      </c>
    </row>
    <row r="850" spans="1:33" ht="16.5" customHeight="1" x14ac:dyDescent="0.2">
      <c r="A850" s="2" t="s">
        <v>31</v>
      </c>
      <c r="B850" s="19" t="s">
        <v>50</v>
      </c>
      <c r="C850" s="19"/>
      <c r="D850" s="19"/>
      <c r="E850" s="20" t="s">
        <v>33</v>
      </c>
      <c r="F850" s="20"/>
      <c r="G850" s="21" t="s">
        <v>1931</v>
      </c>
      <c r="H850" s="21"/>
      <c r="I850" s="21"/>
      <c r="J850" s="3" t="s">
        <v>35</v>
      </c>
      <c r="K850" s="4" t="s">
        <v>314</v>
      </c>
      <c r="L850" s="4" t="s">
        <v>37</v>
      </c>
      <c r="N850" s="21" t="s">
        <v>1958</v>
      </c>
      <c r="O850" s="21"/>
      <c r="P850" s="21" t="s">
        <v>1959</v>
      </c>
      <c r="Q850" s="21"/>
      <c r="R850" s="21"/>
      <c r="S850" s="3" t="s">
        <v>40</v>
      </c>
      <c r="T850" s="21" t="s">
        <v>41</v>
      </c>
      <c r="U850" s="21"/>
      <c r="V850" s="4" t="s">
        <v>42</v>
      </c>
      <c r="W850" s="4" t="s">
        <v>161</v>
      </c>
      <c r="X850" s="4" t="s">
        <v>162</v>
      </c>
      <c r="Y850" s="21" t="s">
        <v>65</v>
      </c>
      <c r="Z850" s="21"/>
      <c r="AA850" s="4" t="s">
        <v>46</v>
      </c>
      <c r="AB850" s="4" t="s">
        <v>47</v>
      </c>
      <c r="AC850" s="4" t="s">
        <v>57</v>
      </c>
      <c r="AD850" s="4" t="s">
        <v>58</v>
      </c>
      <c r="AE850" s="4" t="s">
        <v>48</v>
      </c>
      <c r="AF850" s="4" t="s">
        <v>41</v>
      </c>
      <c r="AG850" s="4" t="s">
        <v>1936</v>
      </c>
    </row>
    <row r="851" spans="1:33" ht="16.5" customHeight="1" x14ac:dyDescent="0.2">
      <c r="A851" s="2" t="s">
        <v>31</v>
      </c>
      <c r="B851" s="19" t="s">
        <v>50</v>
      </c>
      <c r="C851" s="19"/>
      <c r="D851" s="19"/>
      <c r="E851" s="20" t="s">
        <v>33</v>
      </c>
      <c r="F851" s="20"/>
      <c r="G851" s="21" t="s">
        <v>1931</v>
      </c>
      <c r="H851" s="21"/>
      <c r="I851" s="21"/>
      <c r="J851" s="3" t="s">
        <v>35</v>
      </c>
      <c r="K851" s="4" t="s">
        <v>413</v>
      </c>
      <c r="L851" s="4" t="s">
        <v>37</v>
      </c>
      <c r="N851" s="21" t="s">
        <v>1960</v>
      </c>
      <c r="O851" s="21"/>
      <c r="P851" s="21" t="s">
        <v>1961</v>
      </c>
      <c r="Q851" s="21"/>
      <c r="R851" s="21"/>
      <c r="S851" s="3" t="s">
        <v>40</v>
      </c>
      <c r="T851" s="21" t="s">
        <v>41</v>
      </c>
      <c r="U851" s="21"/>
      <c r="V851" s="4" t="s">
        <v>42</v>
      </c>
      <c r="W851" s="4" t="s">
        <v>54</v>
      </c>
      <c r="X851" s="4" t="s">
        <v>55</v>
      </c>
      <c r="Y851" s="21" t="s">
        <v>198</v>
      </c>
      <c r="Z851" s="21"/>
      <c r="AA851" s="4" t="s">
        <v>46</v>
      </c>
      <c r="AB851" s="4" t="s">
        <v>47</v>
      </c>
      <c r="AC851" s="4" t="s">
        <v>139</v>
      </c>
      <c r="AD851" s="4" t="s">
        <v>140</v>
      </c>
      <c r="AE851" s="4" t="s">
        <v>48</v>
      </c>
      <c r="AF851" s="4" t="s">
        <v>41</v>
      </c>
      <c r="AG851" s="4" t="s">
        <v>1936</v>
      </c>
    </row>
    <row r="852" spans="1:33" ht="16.5" customHeight="1" x14ac:dyDescent="0.2">
      <c r="A852" s="2" t="s">
        <v>31</v>
      </c>
      <c r="B852" s="19" t="s">
        <v>50</v>
      </c>
      <c r="C852" s="19"/>
      <c r="D852" s="19"/>
      <c r="E852" s="20" t="s">
        <v>33</v>
      </c>
      <c r="F852" s="20"/>
      <c r="G852" s="21" t="s">
        <v>1931</v>
      </c>
      <c r="H852" s="21"/>
      <c r="I852" s="21"/>
      <c r="J852" s="3" t="s">
        <v>35</v>
      </c>
      <c r="K852" s="4" t="s">
        <v>146</v>
      </c>
      <c r="L852" s="4" t="s">
        <v>37</v>
      </c>
      <c r="N852" s="21" t="s">
        <v>1962</v>
      </c>
      <c r="O852" s="21"/>
      <c r="P852" s="21" t="s">
        <v>1963</v>
      </c>
      <c r="Q852" s="21"/>
      <c r="R852" s="21"/>
      <c r="S852" s="3" t="s">
        <v>40</v>
      </c>
      <c r="T852" s="21" t="s">
        <v>41</v>
      </c>
      <c r="U852" s="21"/>
      <c r="V852" s="4" t="s">
        <v>42</v>
      </c>
      <c r="W852" s="4" t="s">
        <v>213</v>
      </c>
      <c r="X852" s="4" t="s">
        <v>531</v>
      </c>
      <c r="Y852" s="21" t="s">
        <v>138</v>
      </c>
      <c r="Z852" s="21"/>
      <c r="AA852" s="4" t="s">
        <v>46</v>
      </c>
      <c r="AB852" s="4" t="s">
        <v>47</v>
      </c>
      <c r="AC852" s="4" t="s">
        <v>139</v>
      </c>
      <c r="AD852" s="4" t="s">
        <v>140</v>
      </c>
      <c r="AE852" s="4" t="s">
        <v>48</v>
      </c>
      <c r="AF852" s="4" t="s">
        <v>41</v>
      </c>
      <c r="AG852" s="4" t="s">
        <v>1936</v>
      </c>
    </row>
    <row r="853" spans="1:33" ht="16.5" customHeight="1" x14ac:dyDescent="0.2">
      <c r="A853" s="2" t="s">
        <v>31</v>
      </c>
      <c r="B853" s="19" t="s">
        <v>50</v>
      </c>
      <c r="C853" s="19"/>
      <c r="D853" s="19"/>
      <c r="E853" s="20" t="s">
        <v>33</v>
      </c>
      <c r="F853" s="20"/>
      <c r="G853" s="21" t="s">
        <v>1931</v>
      </c>
      <c r="H853" s="21"/>
      <c r="I853" s="21"/>
      <c r="J853" s="3" t="s">
        <v>35</v>
      </c>
      <c r="K853" s="4" t="s">
        <v>51</v>
      </c>
      <c r="L853" s="4" t="s">
        <v>37</v>
      </c>
      <c r="N853" s="21" t="s">
        <v>1964</v>
      </c>
      <c r="O853" s="21"/>
      <c r="P853" s="21" t="s">
        <v>1965</v>
      </c>
      <c r="Q853" s="21"/>
      <c r="R853" s="21"/>
      <c r="S853" s="3" t="s">
        <v>40</v>
      </c>
      <c r="T853" s="21" t="s">
        <v>41</v>
      </c>
      <c r="U853" s="21"/>
      <c r="V853" s="4" t="s">
        <v>42</v>
      </c>
      <c r="W853" s="4" t="s">
        <v>54</v>
      </c>
      <c r="X853" s="4" t="s">
        <v>55</v>
      </c>
      <c r="Y853" s="21" t="s">
        <v>56</v>
      </c>
      <c r="Z853" s="21"/>
      <c r="AA853" s="4" t="s">
        <v>46</v>
      </c>
      <c r="AB853" s="4" t="s">
        <v>47</v>
      </c>
      <c r="AC853" s="4" t="s">
        <v>57</v>
      </c>
      <c r="AD853" s="4" t="s">
        <v>58</v>
      </c>
      <c r="AE853" s="4" t="s">
        <v>48</v>
      </c>
      <c r="AF853" s="4" t="s">
        <v>41</v>
      </c>
      <c r="AG853" s="4" t="s">
        <v>1936</v>
      </c>
    </row>
    <row r="854" spans="1:33" ht="16.5" customHeight="1" x14ac:dyDescent="0.2">
      <c r="A854" s="2" t="s">
        <v>31</v>
      </c>
      <c r="B854" s="19" t="s">
        <v>50</v>
      </c>
      <c r="C854" s="19"/>
      <c r="D854" s="19"/>
      <c r="E854" s="20" t="s">
        <v>33</v>
      </c>
      <c r="F854" s="20"/>
      <c r="G854" s="21" t="s">
        <v>1931</v>
      </c>
      <c r="H854" s="21"/>
      <c r="I854" s="21"/>
      <c r="J854" s="3" t="s">
        <v>35</v>
      </c>
      <c r="K854" s="4" t="s">
        <v>120</v>
      </c>
      <c r="L854" s="4" t="s">
        <v>37</v>
      </c>
      <c r="N854" s="21" t="s">
        <v>1966</v>
      </c>
      <c r="O854" s="21"/>
      <c r="P854" s="21" t="s">
        <v>1967</v>
      </c>
      <c r="Q854" s="21"/>
      <c r="R854" s="21"/>
      <c r="S854" s="3" t="s">
        <v>40</v>
      </c>
      <c r="T854" s="21" t="s">
        <v>41</v>
      </c>
      <c r="U854" s="21"/>
      <c r="V854" s="4" t="s">
        <v>130</v>
      </c>
      <c r="W854" s="4" t="s">
        <v>161</v>
      </c>
      <c r="X854" s="4" t="s">
        <v>743</v>
      </c>
      <c r="Y854" s="21" t="s">
        <v>65</v>
      </c>
      <c r="Z854" s="21"/>
      <c r="AA854" s="4" t="s">
        <v>46</v>
      </c>
      <c r="AB854" s="4" t="s">
        <v>47</v>
      </c>
      <c r="AC854" s="4" t="s">
        <v>57</v>
      </c>
      <c r="AD854" s="4" t="s">
        <v>58</v>
      </c>
      <c r="AE854" s="4" t="s">
        <v>48</v>
      </c>
      <c r="AF854" s="4" t="s">
        <v>41</v>
      </c>
      <c r="AG854" s="4" t="s">
        <v>1936</v>
      </c>
    </row>
    <row r="855" spans="1:33" ht="16.5" customHeight="1" x14ac:dyDescent="0.2">
      <c r="A855" s="2" t="s">
        <v>31</v>
      </c>
      <c r="B855" s="19" t="s">
        <v>50</v>
      </c>
      <c r="C855" s="19"/>
      <c r="D855" s="19"/>
      <c r="E855" s="20" t="s">
        <v>33</v>
      </c>
      <c r="F855" s="20"/>
      <c r="G855" s="21" t="s">
        <v>1931</v>
      </c>
      <c r="H855" s="21"/>
      <c r="I855" s="21"/>
      <c r="J855" s="3" t="s">
        <v>35</v>
      </c>
      <c r="K855" s="4" t="s">
        <v>74</v>
      </c>
      <c r="L855" s="4" t="s">
        <v>68</v>
      </c>
      <c r="N855" s="21" t="s">
        <v>1968</v>
      </c>
      <c r="O855" s="21"/>
      <c r="P855" s="21" t="s">
        <v>1969</v>
      </c>
      <c r="Q855" s="21"/>
      <c r="R855" s="21"/>
      <c r="S855" s="3" t="s">
        <v>40</v>
      </c>
      <c r="T855" s="21" t="s">
        <v>41</v>
      </c>
      <c r="U855" s="21"/>
      <c r="V855" s="4" t="s">
        <v>42</v>
      </c>
      <c r="W855" s="4" t="s">
        <v>43</v>
      </c>
      <c r="X855" s="4" t="s">
        <v>44</v>
      </c>
      <c r="Y855" s="21" t="s">
        <v>65</v>
      </c>
      <c r="Z855" s="21"/>
      <c r="AA855" s="4" t="s">
        <v>46</v>
      </c>
      <c r="AB855" s="4" t="s">
        <v>47</v>
      </c>
      <c r="AC855" s="4" t="s">
        <v>57</v>
      </c>
      <c r="AD855" s="4" t="s">
        <v>98</v>
      </c>
      <c r="AE855" s="4" t="s">
        <v>48</v>
      </c>
      <c r="AF855" s="4" t="s">
        <v>41</v>
      </c>
      <c r="AG855" s="4" t="s">
        <v>1936</v>
      </c>
    </row>
    <row r="856" spans="1:33" ht="16.5" customHeight="1" x14ac:dyDescent="0.2">
      <c r="A856" s="2" t="s">
        <v>31</v>
      </c>
      <c r="B856" s="19" t="s">
        <v>50</v>
      </c>
      <c r="C856" s="19"/>
      <c r="D856" s="19"/>
      <c r="E856" s="20" t="s">
        <v>33</v>
      </c>
      <c r="F856" s="20"/>
      <c r="G856" s="21" t="s">
        <v>1931</v>
      </c>
      <c r="H856" s="21"/>
      <c r="I856" s="21"/>
      <c r="J856" s="3" t="s">
        <v>35</v>
      </c>
      <c r="K856" s="4" t="s">
        <v>133</v>
      </c>
      <c r="L856" s="4" t="s">
        <v>68</v>
      </c>
      <c r="N856" s="21" t="s">
        <v>1970</v>
      </c>
      <c r="O856" s="21"/>
      <c r="P856" s="21" t="s">
        <v>1971</v>
      </c>
      <c r="Q856" s="21"/>
      <c r="R856" s="21"/>
      <c r="S856" s="3" t="s">
        <v>40</v>
      </c>
      <c r="T856" s="21" t="s">
        <v>41</v>
      </c>
      <c r="U856" s="21"/>
      <c r="V856" s="4" t="s">
        <v>42</v>
      </c>
      <c r="W856" s="4" t="s">
        <v>654</v>
      </c>
      <c r="X856" s="4" t="s">
        <v>655</v>
      </c>
      <c r="Y856" s="21" t="s">
        <v>138</v>
      </c>
      <c r="Z856" s="21"/>
      <c r="AA856" s="4" t="s">
        <v>46</v>
      </c>
      <c r="AB856" s="4" t="s">
        <v>47</v>
      </c>
      <c r="AC856" s="4" t="s">
        <v>139</v>
      </c>
      <c r="AD856" s="4" t="s">
        <v>151</v>
      </c>
      <c r="AE856" s="4" t="s">
        <v>48</v>
      </c>
      <c r="AF856" s="4" t="s">
        <v>41</v>
      </c>
      <c r="AG856" s="4" t="s">
        <v>1936</v>
      </c>
    </row>
    <row r="857" spans="1:33" ht="16.5" customHeight="1" x14ac:dyDescent="0.2">
      <c r="A857" s="2" t="s">
        <v>31</v>
      </c>
      <c r="B857" s="19" t="s">
        <v>50</v>
      </c>
      <c r="C857" s="19"/>
      <c r="D857" s="19"/>
      <c r="E857" s="20" t="s">
        <v>33</v>
      </c>
      <c r="F857" s="20"/>
      <c r="G857" s="21" t="s">
        <v>1931</v>
      </c>
      <c r="H857" s="21"/>
      <c r="I857" s="21"/>
      <c r="J857" s="3" t="s">
        <v>35</v>
      </c>
      <c r="K857" s="4" t="s">
        <v>82</v>
      </c>
      <c r="L857" s="4" t="s">
        <v>37</v>
      </c>
      <c r="N857" s="21" t="s">
        <v>1972</v>
      </c>
      <c r="O857" s="21"/>
      <c r="P857" s="21" t="s">
        <v>1973</v>
      </c>
      <c r="Q857" s="21"/>
      <c r="R857" s="21"/>
      <c r="S857" s="3" t="s">
        <v>40</v>
      </c>
      <c r="T857" s="21" t="s">
        <v>41</v>
      </c>
      <c r="U857" s="21"/>
      <c r="V857" s="4" t="s">
        <v>42</v>
      </c>
      <c r="W857" s="4" t="s">
        <v>130</v>
      </c>
      <c r="X857" s="4" t="s">
        <v>60</v>
      </c>
      <c r="Y857" s="21" t="s">
        <v>56</v>
      </c>
      <c r="Z857" s="21"/>
      <c r="AA857" s="4" t="s">
        <v>46</v>
      </c>
      <c r="AB857" s="4" t="s">
        <v>47</v>
      </c>
      <c r="AC857" s="4" t="s">
        <v>57</v>
      </c>
      <c r="AD857" s="4" t="s">
        <v>58</v>
      </c>
      <c r="AE857" s="4" t="s">
        <v>48</v>
      </c>
      <c r="AF857" s="4" t="s">
        <v>41</v>
      </c>
      <c r="AG857" s="4" t="s">
        <v>1936</v>
      </c>
    </row>
    <row r="858" spans="1:33" ht="16.5" customHeight="1" x14ac:dyDescent="0.2">
      <c r="A858" s="2" t="s">
        <v>31</v>
      </c>
      <c r="B858" s="19" t="s">
        <v>50</v>
      </c>
      <c r="C858" s="19"/>
      <c r="D858" s="19"/>
      <c r="E858" s="20" t="s">
        <v>33</v>
      </c>
      <c r="F858" s="20"/>
      <c r="G858" s="21" t="s">
        <v>1931</v>
      </c>
      <c r="H858" s="21"/>
      <c r="I858" s="21"/>
      <c r="J858" s="3" t="s">
        <v>35</v>
      </c>
      <c r="K858" s="4" t="s">
        <v>99</v>
      </c>
      <c r="L858" s="4" t="s">
        <v>37</v>
      </c>
      <c r="N858" s="21" t="s">
        <v>1974</v>
      </c>
      <c r="O858" s="21"/>
      <c r="P858" s="21" t="s">
        <v>1975</v>
      </c>
      <c r="Q858" s="21"/>
      <c r="R858" s="21"/>
      <c r="S858" s="3" t="s">
        <v>40</v>
      </c>
      <c r="T858" s="21" t="s">
        <v>41</v>
      </c>
      <c r="U858" s="21"/>
      <c r="V858" s="4" t="s">
        <v>42</v>
      </c>
      <c r="W858" s="4" t="s">
        <v>276</v>
      </c>
      <c r="X858" s="4" t="s">
        <v>277</v>
      </c>
      <c r="Y858" s="21" t="s">
        <v>56</v>
      </c>
      <c r="Z858" s="21"/>
      <c r="AA858" s="4" t="s">
        <v>46</v>
      </c>
      <c r="AB858" s="4" t="s">
        <v>47</v>
      </c>
      <c r="AC858" s="4" t="s">
        <v>139</v>
      </c>
      <c r="AD858" s="4" t="s">
        <v>140</v>
      </c>
      <c r="AE858" s="4" t="s">
        <v>48</v>
      </c>
      <c r="AF858" s="4" t="s">
        <v>41</v>
      </c>
      <c r="AG858" s="4" t="s">
        <v>1936</v>
      </c>
    </row>
    <row r="859" spans="1:33" ht="16.5" customHeight="1" x14ac:dyDescent="0.2">
      <c r="A859" s="2" t="s">
        <v>31</v>
      </c>
      <c r="B859" s="19" t="s">
        <v>50</v>
      </c>
      <c r="C859" s="19"/>
      <c r="D859" s="19"/>
      <c r="E859" s="20" t="s">
        <v>33</v>
      </c>
      <c r="F859" s="20"/>
      <c r="G859" s="21" t="s">
        <v>1931</v>
      </c>
      <c r="H859" s="21"/>
      <c r="I859" s="21"/>
      <c r="J859" s="3" t="s">
        <v>35</v>
      </c>
      <c r="K859" s="4" t="s">
        <v>146</v>
      </c>
      <c r="L859" s="4" t="s">
        <v>445</v>
      </c>
      <c r="N859" s="21" t="s">
        <v>1976</v>
      </c>
      <c r="O859" s="21"/>
      <c r="P859" s="21" t="s">
        <v>1977</v>
      </c>
      <c r="Q859" s="21"/>
      <c r="R859" s="21"/>
      <c r="S859" s="3" t="s">
        <v>40</v>
      </c>
      <c r="T859" s="21" t="s">
        <v>41</v>
      </c>
      <c r="U859" s="21"/>
      <c r="V859" s="4" t="s">
        <v>42</v>
      </c>
      <c r="W859" s="4" t="s">
        <v>202</v>
      </c>
      <c r="X859" s="4" t="s">
        <v>203</v>
      </c>
      <c r="Y859" s="21" t="s">
        <v>138</v>
      </c>
      <c r="Z859" s="21"/>
      <c r="AA859" s="4" t="s">
        <v>46</v>
      </c>
      <c r="AB859" s="4" t="s">
        <v>47</v>
      </c>
      <c r="AC859" s="4" t="s">
        <v>139</v>
      </c>
      <c r="AD859" s="4" t="s">
        <v>466</v>
      </c>
      <c r="AE859" s="4" t="s">
        <v>48</v>
      </c>
      <c r="AF859" s="4" t="s">
        <v>41</v>
      </c>
      <c r="AG859" s="4" t="s">
        <v>1936</v>
      </c>
    </row>
    <row r="860" spans="1:33" ht="16.5" customHeight="1" x14ac:dyDescent="0.2">
      <c r="A860" s="2" t="s">
        <v>31</v>
      </c>
      <c r="B860" s="19" t="s">
        <v>50</v>
      </c>
      <c r="C860" s="19"/>
      <c r="D860" s="19"/>
      <c r="E860" s="20" t="s">
        <v>33</v>
      </c>
      <c r="F860" s="20"/>
      <c r="G860" s="21" t="s">
        <v>1931</v>
      </c>
      <c r="H860" s="21"/>
      <c r="I860" s="21"/>
      <c r="J860" s="3" t="s">
        <v>35</v>
      </c>
      <c r="K860" s="4" t="s">
        <v>99</v>
      </c>
      <c r="L860" s="4" t="s">
        <v>278</v>
      </c>
      <c r="N860" s="21" t="s">
        <v>1978</v>
      </c>
      <c r="O860" s="21"/>
      <c r="P860" s="21" t="s">
        <v>1979</v>
      </c>
      <c r="Q860" s="21"/>
      <c r="R860" s="21"/>
      <c r="S860" s="3" t="s">
        <v>40</v>
      </c>
      <c r="T860" s="21" t="s">
        <v>41</v>
      </c>
      <c r="U860" s="21"/>
      <c r="V860" s="4" t="s">
        <v>42</v>
      </c>
      <c r="W860" s="4" t="s">
        <v>1980</v>
      </c>
      <c r="X860" s="4" t="s">
        <v>1981</v>
      </c>
      <c r="Y860" s="21" t="s">
        <v>56</v>
      </c>
      <c r="Z860" s="21"/>
      <c r="AA860" s="4" t="s">
        <v>46</v>
      </c>
      <c r="AB860" s="4" t="s">
        <v>47</v>
      </c>
      <c r="AC860" s="4" t="s">
        <v>139</v>
      </c>
      <c r="AD860" s="4" t="s">
        <v>69</v>
      </c>
      <c r="AE860" s="4" t="s">
        <v>48</v>
      </c>
      <c r="AF860" s="4" t="s">
        <v>41</v>
      </c>
      <c r="AG860" s="4" t="s">
        <v>1936</v>
      </c>
    </row>
    <row r="861" spans="1:33" ht="16.5" customHeight="1" x14ac:dyDescent="0.2">
      <c r="A861" s="2" t="s">
        <v>31</v>
      </c>
      <c r="B861" s="19" t="s">
        <v>110</v>
      </c>
      <c r="C861" s="19"/>
      <c r="D861" s="19"/>
      <c r="E861" s="20" t="s">
        <v>33</v>
      </c>
      <c r="F861" s="20"/>
      <c r="G861" s="21" t="s">
        <v>1931</v>
      </c>
      <c r="H861" s="21"/>
      <c r="I861" s="21"/>
      <c r="J861" s="3" t="s">
        <v>111</v>
      </c>
      <c r="K861" s="4" t="s">
        <v>514</v>
      </c>
      <c r="N861" s="21" t="s">
        <v>1978</v>
      </c>
      <c r="O861" s="21"/>
      <c r="P861" s="21" t="s">
        <v>1979</v>
      </c>
      <c r="Q861" s="21"/>
      <c r="R861" s="21"/>
      <c r="S861" s="3" t="s">
        <v>40</v>
      </c>
      <c r="T861" s="21" t="s">
        <v>1982</v>
      </c>
      <c r="U861" s="21"/>
      <c r="V861" s="4" t="s">
        <v>42</v>
      </c>
      <c r="W861" s="4" t="s">
        <v>54</v>
      </c>
      <c r="X861" s="4" t="s">
        <v>1981</v>
      </c>
      <c r="Y861" s="21" t="s">
        <v>116</v>
      </c>
      <c r="Z861" s="21"/>
      <c r="AA861" s="4" t="s">
        <v>46</v>
      </c>
      <c r="AB861" s="4" t="s">
        <v>117</v>
      </c>
      <c r="AC861" s="4" t="s">
        <v>243</v>
      </c>
      <c r="AD861" s="4" t="s">
        <v>1983</v>
      </c>
      <c r="AE861" s="4" t="s">
        <v>48</v>
      </c>
      <c r="AF861" s="4" t="s">
        <v>41</v>
      </c>
      <c r="AG861" s="4" t="s">
        <v>1936</v>
      </c>
    </row>
    <row r="862" spans="1:33" ht="16.5" customHeight="1" x14ac:dyDescent="0.2">
      <c r="A862" s="2" t="s">
        <v>31</v>
      </c>
      <c r="B862" s="19" t="s">
        <v>50</v>
      </c>
      <c r="C862" s="19"/>
      <c r="D862" s="19"/>
      <c r="E862" s="20" t="s">
        <v>33</v>
      </c>
      <c r="F862" s="20"/>
      <c r="G862" s="21" t="s">
        <v>1931</v>
      </c>
      <c r="H862" s="21"/>
      <c r="I862" s="21"/>
      <c r="J862" s="3" t="s">
        <v>35</v>
      </c>
      <c r="K862" s="4" t="s">
        <v>51</v>
      </c>
      <c r="L862" s="4" t="s">
        <v>68</v>
      </c>
      <c r="N862" s="21" t="s">
        <v>1984</v>
      </c>
      <c r="O862" s="21"/>
      <c r="P862" s="21" t="s">
        <v>1985</v>
      </c>
      <c r="Q862" s="21"/>
      <c r="R862" s="21"/>
      <c r="S862" s="3" t="s">
        <v>40</v>
      </c>
      <c r="T862" s="21" t="s">
        <v>41</v>
      </c>
      <c r="U862" s="21"/>
      <c r="V862" s="4" t="s">
        <v>42</v>
      </c>
      <c r="W862" s="4" t="s">
        <v>54</v>
      </c>
      <c r="X862" s="4" t="s">
        <v>55</v>
      </c>
      <c r="Y862" s="21" t="s">
        <v>56</v>
      </c>
      <c r="Z862" s="21"/>
      <c r="AA862" s="4" t="s">
        <v>46</v>
      </c>
      <c r="AB862" s="4" t="s">
        <v>47</v>
      </c>
      <c r="AC862" s="4" t="s">
        <v>57</v>
      </c>
      <c r="AD862" s="4" t="s">
        <v>98</v>
      </c>
      <c r="AE862" s="4" t="s">
        <v>48</v>
      </c>
      <c r="AF862" s="4" t="s">
        <v>41</v>
      </c>
      <c r="AG862" s="4" t="s">
        <v>1936</v>
      </c>
    </row>
    <row r="863" spans="1:33" ht="16.5" customHeight="1" x14ac:dyDescent="0.2">
      <c r="A863" s="2" t="s">
        <v>31</v>
      </c>
      <c r="B863" s="19" t="s">
        <v>50</v>
      </c>
      <c r="C863" s="19"/>
      <c r="D863" s="19"/>
      <c r="E863" s="20" t="s">
        <v>33</v>
      </c>
      <c r="F863" s="20"/>
      <c r="G863" s="21" t="s">
        <v>1931</v>
      </c>
      <c r="H863" s="21"/>
      <c r="I863" s="21"/>
      <c r="J863" s="3" t="s">
        <v>35</v>
      </c>
      <c r="K863" s="4" t="s">
        <v>82</v>
      </c>
      <c r="L863" s="4" t="s">
        <v>68</v>
      </c>
      <c r="N863" s="21" t="s">
        <v>1986</v>
      </c>
      <c r="O863" s="21"/>
      <c r="P863" s="21" t="s">
        <v>1987</v>
      </c>
      <c r="Q863" s="21"/>
      <c r="R863" s="21"/>
      <c r="S863" s="3" t="s">
        <v>40</v>
      </c>
      <c r="T863" s="21" t="s">
        <v>41</v>
      </c>
      <c r="U863" s="21"/>
      <c r="V863" s="4" t="s">
        <v>59</v>
      </c>
      <c r="W863" s="4" t="s">
        <v>350</v>
      </c>
      <c r="X863" s="4" t="s">
        <v>356</v>
      </c>
      <c r="Y863" s="21" t="s">
        <v>56</v>
      </c>
      <c r="Z863" s="21"/>
      <c r="AA863" s="4" t="s">
        <v>46</v>
      </c>
      <c r="AB863" s="4" t="s">
        <v>47</v>
      </c>
      <c r="AC863" s="4" t="s">
        <v>139</v>
      </c>
      <c r="AD863" s="4" t="s">
        <v>151</v>
      </c>
      <c r="AE863" s="4" t="s">
        <v>48</v>
      </c>
      <c r="AF863" s="4" t="s">
        <v>41</v>
      </c>
      <c r="AG863" s="4" t="s">
        <v>1936</v>
      </c>
    </row>
    <row r="864" spans="1:33" ht="16.5" customHeight="1" x14ac:dyDescent="0.2">
      <c r="A864" s="2" t="s">
        <v>31</v>
      </c>
      <c r="B864" s="19" t="s">
        <v>50</v>
      </c>
      <c r="C864" s="19"/>
      <c r="D864" s="19"/>
      <c r="E864" s="20" t="s">
        <v>33</v>
      </c>
      <c r="F864" s="20"/>
      <c r="G864" s="21" t="s">
        <v>1931</v>
      </c>
      <c r="H864" s="21"/>
      <c r="I864" s="21"/>
      <c r="J864" s="3" t="s">
        <v>35</v>
      </c>
      <c r="K864" s="4" t="s">
        <v>184</v>
      </c>
      <c r="L864" s="4" t="s">
        <v>37</v>
      </c>
      <c r="N864" s="21" t="s">
        <v>1988</v>
      </c>
      <c r="O864" s="21"/>
      <c r="P864" s="21" t="s">
        <v>1989</v>
      </c>
      <c r="Q864" s="21"/>
      <c r="R864" s="21"/>
      <c r="S864" s="3" t="s">
        <v>40</v>
      </c>
      <c r="T864" s="21" t="s">
        <v>41</v>
      </c>
      <c r="U864" s="21"/>
      <c r="V864" s="4" t="s">
        <v>42</v>
      </c>
      <c r="W864" s="4" t="s">
        <v>229</v>
      </c>
      <c r="X864" s="4" t="s">
        <v>448</v>
      </c>
      <c r="Y864" s="21" t="s">
        <v>65</v>
      </c>
      <c r="Z864" s="21"/>
      <c r="AA864" s="4" t="s">
        <v>46</v>
      </c>
      <c r="AB864" s="4" t="s">
        <v>47</v>
      </c>
      <c r="AC864" s="4" t="s">
        <v>57</v>
      </c>
      <c r="AD864" s="4" t="s">
        <v>58</v>
      </c>
      <c r="AE864" s="4" t="s">
        <v>48</v>
      </c>
      <c r="AF864" s="4" t="s">
        <v>41</v>
      </c>
      <c r="AG864" s="4" t="s">
        <v>1936</v>
      </c>
    </row>
    <row r="865" spans="1:33" ht="16.5" customHeight="1" x14ac:dyDescent="0.2">
      <c r="A865" s="2" t="s">
        <v>31</v>
      </c>
      <c r="B865" s="19" t="s">
        <v>50</v>
      </c>
      <c r="C865" s="19"/>
      <c r="D865" s="19"/>
      <c r="E865" s="20" t="s">
        <v>33</v>
      </c>
      <c r="F865" s="20"/>
      <c r="G865" s="21" t="s">
        <v>1931</v>
      </c>
      <c r="H865" s="21"/>
      <c r="I865" s="21"/>
      <c r="J865" s="3" t="s">
        <v>35</v>
      </c>
      <c r="K865" s="4" t="s">
        <v>152</v>
      </c>
      <c r="L865" s="4" t="s">
        <v>278</v>
      </c>
      <c r="N865" s="21" t="s">
        <v>1990</v>
      </c>
      <c r="O865" s="21"/>
      <c r="P865" s="21" t="s">
        <v>1991</v>
      </c>
      <c r="Q865" s="21"/>
      <c r="R865" s="21"/>
      <c r="S865" s="3" t="s">
        <v>40</v>
      </c>
      <c r="T865" s="21" t="s">
        <v>41</v>
      </c>
      <c r="U865" s="21"/>
      <c r="V865" s="4" t="s">
        <v>42</v>
      </c>
      <c r="W865" s="4" t="s">
        <v>229</v>
      </c>
      <c r="X865" s="4" t="s">
        <v>448</v>
      </c>
      <c r="Y865" s="21" t="s">
        <v>56</v>
      </c>
      <c r="Z865" s="21"/>
      <c r="AA865" s="4" t="s">
        <v>46</v>
      </c>
      <c r="AB865" s="4" t="s">
        <v>47</v>
      </c>
      <c r="AC865" s="4" t="s">
        <v>139</v>
      </c>
      <c r="AD865" s="4" t="s">
        <v>69</v>
      </c>
      <c r="AE865" s="4" t="s">
        <v>48</v>
      </c>
      <c r="AF865" s="4" t="s">
        <v>41</v>
      </c>
      <c r="AG865" s="4" t="s">
        <v>1936</v>
      </c>
    </row>
    <row r="866" spans="1:33" ht="16.5" customHeight="1" x14ac:dyDescent="0.2">
      <c r="A866" s="2" t="s">
        <v>31</v>
      </c>
      <c r="B866" s="19" t="s">
        <v>50</v>
      </c>
      <c r="C866" s="19"/>
      <c r="D866" s="19"/>
      <c r="E866" s="20" t="s">
        <v>33</v>
      </c>
      <c r="F866" s="20"/>
      <c r="G866" s="21" t="s">
        <v>1931</v>
      </c>
      <c r="H866" s="21"/>
      <c r="I866" s="21"/>
      <c r="J866" s="3" t="s">
        <v>35</v>
      </c>
      <c r="K866" s="4" t="s">
        <v>152</v>
      </c>
      <c r="L866" s="4" t="s">
        <v>68</v>
      </c>
      <c r="N866" s="21" t="s">
        <v>1992</v>
      </c>
      <c r="O866" s="21"/>
      <c r="P866" s="21" t="s">
        <v>1993</v>
      </c>
      <c r="Q866" s="21"/>
      <c r="R866" s="21"/>
      <c r="S866" s="3" t="s">
        <v>40</v>
      </c>
      <c r="T866" s="21" t="s">
        <v>41</v>
      </c>
      <c r="U866" s="21"/>
      <c r="V866" s="4" t="s">
        <v>42</v>
      </c>
      <c r="W866" s="4" t="s">
        <v>54</v>
      </c>
      <c r="X866" s="4" t="s">
        <v>55</v>
      </c>
      <c r="Y866" s="21" t="s">
        <v>56</v>
      </c>
      <c r="Z866" s="21"/>
      <c r="AA866" s="4" t="s">
        <v>46</v>
      </c>
      <c r="AB866" s="4" t="s">
        <v>47</v>
      </c>
      <c r="AC866" s="4" t="s">
        <v>81</v>
      </c>
      <c r="AD866" s="4" t="s">
        <v>41</v>
      </c>
      <c r="AE866" s="4" t="s">
        <v>48</v>
      </c>
      <c r="AF866" s="4" t="s">
        <v>41</v>
      </c>
      <c r="AG866" s="4" t="s">
        <v>1936</v>
      </c>
    </row>
    <row r="867" spans="1:33" ht="16.5" customHeight="1" x14ac:dyDescent="0.2">
      <c r="A867" s="2" t="s">
        <v>31</v>
      </c>
      <c r="B867" s="19" t="s">
        <v>50</v>
      </c>
      <c r="C867" s="19"/>
      <c r="D867" s="19"/>
      <c r="E867" s="20" t="s">
        <v>33</v>
      </c>
      <c r="F867" s="20"/>
      <c r="G867" s="21" t="s">
        <v>1931</v>
      </c>
      <c r="H867" s="21"/>
      <c r="I867" s="21"/>
      <c r="J867" s="3" t="s">
        <v>35</v>
      </c>
      <c r="K867" s="4" t="s">
        <v>133</v>
      </c>
      <c r="L867" s="4" t="s">
        <v>37</v>
      </c>
      <c r="N867" s="21" t="s">
        <v>1994</v>
      </c>
      <c r="O867" s="21"/>
      <c r="P867" s="21" t="s">
        <v>1995</v>
      </c>
      <c r="Q867" s="21"/>
      <c r="R867" s="21"/>
      <c r="S867" s="3" t="s">
        <v>40</v>
      </c>
      <c r="T867" s="21" t="s">
        <v>41</v>
      </c>
      <c r="U867" s="21"/>
      <c r="V867" s="4" t="s">
        <v>42</v>
      </c>
      <c r="W867" s="4" t="s">
        <v>1008</v>
      </c>
      <c r="X867" s="4" t="s">
        <v>1009</v>
      </c>
      <c r="Y867" s="21" t="s">
        <v>138</v>
      </c>
      <c r="Z867" s="21"/>
      <c r="AA867" s="4" t="s">
        <v>46</v>
      </c>
      <c r="AB867" s="4" t="s">
        <v>47</v>
      </c>
      <c r="AC867" s="4" t="s">
        <v>139</v>
      </c>
      <c r="AD867" s="4" t="s">
        <v>140</v>
      </c>
      <c r="AE867" s="4" t="s">
        <v>48</v>
      </c>
      <c r="AF867" s="4" t="s">
        <v>41</v>
      </c>
      <c r="AG867" s="4" t="s">
        <v>1936</v>
      </c>
    </row>
    <row r="868" spans="1:33" ht="16.5" customHeight="1" x14ac:dyDescent="0.2">
      <c r="A868" s="2" t="s">
        <v>31</v>
      </c>
      <c r="B868" s="19" t="s">
        <v>50</v>
      </c>
      <c r="C868" s="19"/>
      <c r="D868" s="19"/>
      <c r="E868" s="20" t="s">
        <v>33</v>
      </c>
      <c r="F868" s="20"/>
      <c r="G868" s="21" t="s">
        <v>1931</v>
      </c>
      <c r="H868" s="21"/>
      <c r="I868" s="21"/>
      <c r="J868" s="3" t="s">
        <v>35</v>
      </c>
      <c r="K868" s="4" t="s">
        <v>51</v>
      </c>
      <c r="L868" s="4" t="s">
        <v>37</v>
      </c>
      <c r="N868" s="21" t="s">
        <v>1996</v>
      </c>
      <c r="O868" s="21"/>
      <c r="P868" s="21" t="s">
        <v>1997</v>
      </c>
      <c r="Q868" s="21"/>
      <c r="R868" s="21"/>
      <c r="S868" s="3" t="s">
        <v>40</v>
      </c>
      <c r="T868" s="21" t="s">
        <v>41</v>
      </c>
      <c r="U868" s="21"/>
      <c r="V868" s="4" t="s">
        <v>42</v>
      </c>
      <c r="W868" s="4" t="s">
        <v>798</v>
      </c>
      <c r="X868" s="4" t="s">
        <v>1005</v>
      </c>
      <c r="Y868" s="21" t="s">
        <v>56</v>
      </c>
      <c r="Z868" s="21"/>
      <c r="AA868" s="4" t="s">
        <v>46</v>
      </c>
      <c r="AB868" s="4" t="s">
        <v>47</v>
      </c>
      <c r="AC868" s="4" t="s">
        <v>139</v>
      </c>
      <c r="AD868" s="4" t="s">
        <v>140</v>
      </c>
      <c r="AE868" s="4" t="s">
        <v>48</v>
      </c>
      <c r="AF868" s="4" t="s">
        <v>41</v>
      </c>
      <c r="AG868" s="4" t="s">
        <v>1936</v>
      </c>
    </row>
    <row r="869" spans="1:33" ht="16.5" customHeight="1" x14ac:dyDescent="0.2">
      <c r="A869" s="2" t="s">
        <v>31</v>
      </c>
      <c r="B869" s="19" t="s">
        <v>50</v>
      </c>
      <c r="C869" s="19"/>
      <c r="D869" s="19"/>
      <c r="E869" s="20" t="s">
        <v>33</v>
      </c>
      <c r="F869" s="20"/>
      <c r="G869" s="21" t="s">
        <v>1931</v>
      </c>
      <c r="H869" s="21"/>
      <c r="I869" s="21"/>
      <c r="J869" s="3" t="s">
        <v>35</v>
      </c>
      <c r="K869" s="4" t="s">
        <v>146</v>
      </c>
      <c r="L869" s="4" t="s">
        <v>37</v>
      </c>
      <c r="N869" s="21" t="s">
        <v>1998</v>
      </c>
      <c r="O869" s="21"/>
      <c r="P869" s="21" t="s">
        <v>1999</v>
      </c>
      <c r="Q869" s="21"/>
      <c r="R869" s="21"/>
      <c r="S869" s="3" t="s">
        <v>40</v>
      </c>
      <c r="T869" s="21" t="s">
        <v>41</v>
      </c>
      <c r="U869" s="21"/>
      <c r="V869" s="4" t="s">
        <v>42</v>
      </c>
      <c r="W869" s="4" t="s">
        <v>217</v>
      </c>
      <c r="X869" s="4" t="s">
        <v>218</v>
      </c>
      <c r="Y869" s="21" t="s">
        <v>138</v>
      </c>
      <c r="Z869" s="21"/>
      <c r="AA869" s="4" t="s">
        <v>46</v>
      </c>
      <c r="AB869" s="4" t="s">
        <v>47</v>
      </c>
      <c r="AC869" s="4" t="s">
        <v>139</v>
      </c>
      <c r="AD869" s="4" t="s">
        <v>140</v>
      </c>
      <c r="AE869" s="4" t="s">
        <v>48</v>
      </c>
      <c r="AF869" s="4" t="s">
        <v>41</v>
      </c>
      <c r="AG869" s="4" t="s">
        <v>1936</v>
      </c>
    </row>
    <row r="870" spans="1:33" ht="16.5" customHeight="1" x14ac:dyDescent="0.2">
      <c r="A870" s="2" t="s">
        <v>31</v>
      </c>
      <c r="B870" s="19" t="s">
        <v>50</v>
      </c>
      <c r="C870" s="19"/>
      <c r="D870" s="19"/>
      <c r="E870" s="20" t="s">
        <v>33</v>
      </c>
      <c r="F870" s="20"/>
      <c r="G870" s="21" t="s">
        <v>1931</v>
      </c>
      <c r="H870" s="21"/>
      <c r="I870" s="21"/>
      <c r="J870" s="3" t="s">
        <v>35</v>
      </c>
      <c r="K870" s="4" t="s">
        <v>620</v>
      </c>
      <c r="L870" s="4" t="s">
        <v>37</v>
      </c>
      <c r="N870" s="21" t="s">
        <v>2000</v>
      </c>
      <c r="O870" s="21"/>
      <c r="P870" s="21" t="s">
        <v>2001</v>
      </c>
      <c r="Q870" s="21"/>
      <c r="R870" s="21"/>
      <c r="S870" s="3" t="s">
        <v>40</v>
      </c>
      <c r="T870" s="21" t="s">
        <v>41</v>
      </c>
      <c r="U870" s="21"/>
      <c r="V870" s="4" t="s">
        <v>42</v>
      </c>
      <c r="W870" s="4" t="s">
        <v>217</v>
      </c>
      <c r="X870" s="4" t="s">
        <v>218</v>
      </c>
      <c r="Y870" s="21" t="s">
        <v>56</v>
      </c>
      <c r="Z870" s="21"/>
      <c r="AA870" s="4" t="s">
        <v>46</v>
      </c>
      <c r="AB870" s="4" t="s">
        <v>47</v>
      </c>
      <c r="AC870" s="4" t="s">
        <v>139</v>
      </c>
      <c r="AD870" s="4" t="s">
        <v>140</v>
      </c>
      <c r="AE870" s="4" t="s">
        <v>48</v>
      </c>
      <c r="AF870" s="4" t="s">
        <v>41</v>
      </c>
      <c r="AG870" s="4" t="s">
        <v>1936</v>
      </c>
    </row>
    <row r="871" spans="1:33" ht="16.5" customHeight="1" x14ac:dyDescent="0.2">
      <c r="A871" s="2" t="s">
        <v>31</v>
      </c>
      <c r="B871" s="19" t="s">
        <v>50</v>
      </c>
      <c r="C871" s="19"/>
      <c r="D871" s="19"/>
      <c r="E871" s="20" t="s">
        <v>33</v>
      </c>
      <c r="F871" s="20"/>
      <c r="G871" s="21" t="s">
        <v>1931</v>
      </c>
      <c r="H871" s="21"/>
      <c r="I871" s="21"/>
      <c r="J871" s="3" t="s">
        <v>35</v>
      </c>
      <c r="K871" s="4" t="s">
        <v>61</v>
      </c>
      <c r="L871" s="4" t="s">
        <v>37</v>
      </c>
      <c r="N871" s="21" t="s">
        <v>2002</v>
      </c>
      <c r="O871" s="21"/>
      <c r="P871" s="21" t="s">
        <v>2003</v>
      </c>
      <c r="Q871" s="21"/>
      <c r="R871" s="21"/>
      <c r="S871" s="3" t="s">
        <v>40</v>
      </c>
      <c r="T871" s="21" t="s">
        <v>41</v>
      </c>
      <c r="U871" s="21"/>
      <c r="V871" s="4" t="s">
        <v>42</v>
      </c>
      <c r="W871" s="4" t="s">
        <v>229</v>
      </c>
      <c r="X871" s="4" t="s">
        <v>448</v>
      </c>
      <c r="Y871" s="21" t="s">
        <v>65</v>
      </c>
      <c r="Z871" s="21"/>
      <c r="AA871" s="4" t="s">
        <v>46</v>
      </c>
      <c r="AB871" s="4" t="s">
        <v>47</v>
      </c>
      <c r="AC871" s="4" t="s">
        <v>57</v>
      </c>
      <c r="AD871" s="4" t="s">
        <v>58</v>
      </c>
      <c r="AE871" s="4" t="s">
        <v>48</v>
      </c>
      <c r="AF871" s="4" t="s">
        <v>41</v>
      </c>
      <c r="AG871" s="4" t="s">
        <v>1936</v>
      </c>
    </row>
    <row r="872" spans="1:33" ht="16.5" customHeight="1" x14ac:dyDescent="0.2">
      <c r="A872" s="2" t="s">
        <v>31</v>
      </c>
      <c r="B872" s="19" t="s">
        <v>50</v>
      </c>
      <c r="C872" s="19"/>
      <c r="D872" s="19"/>
      <c r="E872" s="20" t="s">
        <v>33</v>
      </c>
      <c r="F872" s="20"/>
      <c r="G872" s="21" t="s">
        <v>1931</v>
      </c>
      <c r="H872" s="21"/>
      <c r="I872" s="21"/>
      <c r="J872" s="3" t="s">
        <v>35</v>
      </c>
      <c r="K872" s="4" t="s">
        <v>61</v>
      </c>
      <c r="L872" s="4" t="s">
        <v>68</v>
      </c>
      <c r="N872" s="21" t="s">
        <v>2004</v>
      </c>
      <c r="O872" s="21"/>
      <c r="P872" s="21" t="s">
        <v>2005</v>
      </c>
      <c r="Q872" s="21"/>
      <c r="R872" s="21"/>
      <c r="S872" s="3" t="s">
        <v>40</v>
      </c>
      <c r="T872" s="21" t="s">
        <v>41</v>
      </c>
      <c r="U872" s="21"/>
      <c r="V872" s="4" t="s">
        <v>59</v>
      </c>
      <c r="W872" s="4" t="s">
        <v>157</v>
      </c>
      <c r="X872" s="4" t="s">
        <v>172</v>
      </c>
      <c r="Y872" s="21" t="s">
        <v>65</v>
      </c>
      <c r="Z872" s="21"/>
      <c r="AA872" s="4" t="s">
        <v>46</v>
      </c>
      <c r="AB872" s="4" t="s">
        <v>47</v>
      </c>
      <c r="AC872" s="4" t="s">
        <v>57</v>
      </c>
      <c r="AD872" s="4" t="s">
        <v>98</v>
      </c>
      <c r="AE872" s="4" t="s">
        <v>48</v>
      </c>
      <c r="AF872" s="4" t="s">
        <v>41</v>
      </c>
      <c r="AG872" s="4" t="s">
        <v>1936</v>
      </c>
    </row>
    <row r="873" spans="1:33" ht="16.5" customHeight="1" x14ac:dyDescent="0.2">
      <c r="A873" s="2" t="s">
        <v>31</v>
      </c>
      <c r="B873" s="19" t="s">
        <v>50</v>
      </c>
      <c r="C873" s="19"/>
      <c r="D873" s="19"/>
      <c r="E873" s="20" t="s">
        <v>33</v>
      </c>
      <c r="F873" s="20"/>
      <c r="G873" s="21" t="s">
        <v>1931</v>
      </c>
      <c r="H873" s="21"/>
      <c r="I873" s="21"/>
      <c r="J873" s="3" t="s">
        <v>35</v>
      </c>
      <c r="K873" s="4" t="s">
        <v>99</v>
      </c>
      <c r="L873" s="4" t="s">
        <v>37</v>
      </c>
      <c r="N873" s="21" t="s">
        <v>2006</v>
      </c>
      <c r="O873" s="21"/>
      <c r="P873" s="21" t="s">
        <v>2007</v>
      </c>
      <c r="Q873" s="21"/>
      <c r="R873" s="21"/>
      <c r="S873" s="3" t="s">
        <v>40</v>
      </c>
      <c r="T873" s="21" t="s">
        <v>41</v>
      </c>
      <c r="U873" s="21"/>
      <c r="V873" s="4" t="s">
        <v>42</v>
      </c>
      <c r="W873" s="4" t="s">
        <v>823</v>
      </c>
      <c r="X873" s="4" t="s">
        <v>791</v>
      </c>
      <c r="Y873" s="21" t="s">
        <v>56</v>
      </c>
      <c r="Z873" s="21"/>
      <c r="AA873" s="4" t="s">
        <v>46</v>
      </c>
      <c r="AB873" s="4" t="s">
        <v>47</v>
      </c>
      <c r="AC873" s="4" t="s">
        <v>139</v>
      </c>
      <c r="AD873" s="4" t="s">
        <v>140</v>
      </c>
      <c r="AE873" s="4" t="s">
        <v>48</v>
      </c>
      <c r="AF873" s="4" t="s">
        <v>41</v>
      </c>
      <c r="AG873" s="4" t="s">
        <v>1936</v>
      </c>
    </row>
    <row r="874" spans="1:33" ht="16.5" customHeight="1" x14ac:dyDescent="0.2">
      <c r="A874" s="2" t="s">
        <v>31</v>
      </c>
      <c r="B874" s="19" t="s">
        <v>50</v>
      </c>
      <c r="C874" s="19"/>
      <c r="D874" s="19"/>
      <c r="E874" s="20" t="s">
        <v>33</v>
      </c>
      <c r="F874" s="20"/>
      <c r="G874" s="21" t="s">
        <v>1931</v>
      </c>
      <c r="H874" s="21"/>
      <c r="I874" s="21"/>
      <c r="J874" s="3" t="s">
        <v>35</v>
      </c>
      <c r="K874" s="4" t="s">
        <v>152</v>
      </c>
      <c r="L874" s="4" t="s">
        <v>37</v>
      </c>
      <c r="N874" s="21" t="s">
        <v>2008</v>
      </c>
      <c r="O874" s="21"/>
      <c r="P874" s="21" t="s">
        <v>2009</v>
      </c>
      <c r="Q874" s="21"/>
      <c r="R874" s="21"/>
      <c r="S874" s="3" t="s">
        <v>40</v>
      </c>
      <c r="T874" s="21" t="s">
        <v>41</v>
      </c>
      <c r="U874" s="21"/>
      <c r="V874" s="4" t="s">
        <v>42</v>
      </c>
      <c r="W874" s="4" t="s">
        <v>202</v>
      </c>
      <c r="X874" s="4" t="s">
        <v>203</v>
      </c>
      <c r="Y874" s="21" t="s">
        <v>56</v>
      </c>
      <c r="Z874" s="21"/>
      <c r="AA874" s="4" t="s">
        <v>46</v>
      </c>
      <c r="AB874" s="4" t="s">
        <v>47</v>
      </c>
      <c r="AC874" s="4" t="s">
        <v>139</v>
      </c>
      <c r="AD874" s="4" t="s">
        <v>140</v>
      </c>
      <c r="AE874" s="4" t="s">
        <v>48</v>
      </c>
      <c r="AF874" s="4" t="s">
        <v>41</v>
      </c>
      <c r="AG874" s="4" t="s">
        <v>1936</v>
      </c>
    </row>
    <row r="875" spans="1:33" ht="16.5" customHeight="1" x14ac:dyDescent="0.2">
      <c r="A875" s="2" t="s">
        <v>31</v>
      </c>
      <c r="B875" s="19" t="s">
        <v>50</v>
      </c>
      <c r="C875" s="19"/>
      <c r="D875" s="19"/>
      <c r="E875" s="20" t="s">
        <v>33</v>
      </c>
      <c r="F875" s="20"/>
      <c r="G875" s="21" t="s">
        <v>1931</v>
      </c>
      <c r="H875" s="21"/>
      <c r="I875" s="21"/>
      <c r="J875" s="3" t="s">
        <v>35</v>
      </c>
      <c r="K875" s="4" t="s">
        <v>169</v>
      </c>
      <c r="L875" s="4" t="s">
        <v>278</v>
      </c>
      <c r="N875" s="21" t="s">
        <v>2010</v>
      </c>
      <c r="O875" s="21"/>
      <c r="P875" s="21" t="s">
        <v>2011</v>
      </c>
      <c r="Q875" s="21"/>
      <c r="R875" s="21"/>
      <c r="S875" s="3" t="s">
        <v>40</v>
      </c>
      <c r="T875" s="21" t="s">
        <v>41</v>
      </c>
      <c r="U875" s="21"/>
      <c r="V875" s="4" t="s">
        <v>42</v>
      </c>
      <c r="W875" s="4" t="s">
        <v>431</v>
      </c>
      <c r="X875" s="4" t="s">
        <v>432</v>
      </c>
      <c r="Y875" s="21" t="s">
        <v>56</v>
      </c>
      <c r="Z875" s="21"/>
      <c r="AA875" s="4" t="s">
        <v>46</v>
      </c>
      <c r="AB875" s="4" t="s">
        <v>47</v>
      </c>
      <c r="AC875" s="4" t="s">
        <v>139</v>
      </c>
      <c r="AD875" s="4" t="s">
        <v>69</v>
      </c>
      <c r="AE875" s="4" t="s">
        <v>48</v>
      </c>
      <c r="AF875" s="4" t="s">
        <v>41</v>
      </c>
      <c r="AG875" s="4" t="s">
        <v>1936</v>
      </c>
    </row>
    <row r="876" spans="1:33" ht="16.5" customHeight="1" x14ac:dyDescent="0.2">
      <c r="A876" s="2" t="s">
        <v>31</v>
      </c>
      <c r="B876" s="19" t="s">
        <v>50</v>
      </c>
      <c r="C876" s="19"/>
      <c r="D876" s="19"/>
      <c r="E876" s="20" t="s">
        <v>33</v>
      </c>
      <c r="F876" s="20"/>
      <c r="G876" s="21" t="s">
        <v>1931</v>
      </c>
      <c r="H876" s="21"/>
      <c r="I876" s="21"/>
      <c r="J876" s="3" t="s">
        <v>35</v>
      </c>
      <c r="K876" s="4" t="s">
        <v>169</v>
      </c>
      <c r="L876" s="4" t="s">
        <v>278</v>
      </c>
      <c r="N876" s="21" t="s">
        <v>2010</v>
      </c>
      <c r="O876" s="21"/>
      <c r="P876" s="21" t="s">
        <v>2011</v>
      </c>
      <c r="Q876" s="21"/>
      <c r="R876" s="21"/>
      <c r="S876" s="3" t="s">
        <v>40</v>
      </c>
      <c r="T876" s="21" t="s">
        <v>41</v>
      </c>
      <c r="U876" s="21"/>
      <c r="V876" s="4" t="s">
        <v>59</v>
      </c>
      <c r="W876" s="4" t="s">
        <v>431</v>
      </c>
      <c r="X876" s="4" t="s">
        <v>829</v>
      </c>
      <c r="Y876" s="21" t="s">
        <v>56</v>
      </c>
      <c r="Z876" s="21"/>
      <c r="AA876" s="4" t="s">
        <v>46</v>
      </c>
      <c r="AB876" s="4" t="s">
        <v>47</v>
      </c>
      <c r="AC876" s="4" t="s">
        <v>139</v>
      </c>
      <c r="AD876" s="4" t="s">
        <v>69</v>
      </c>
      <c r="AE876" s="4" t="s">
        <v>48</v>
      </c>
      <c r="AF876" s="4" t="s">
        <v>41</v>
      </c>
      <c r="AG876" s="4" t="s">
        <v>1936</v>
      </c>
    </row>
    <row r="877" spans="1:33" ht="16.5" customHeight="1" x14ac:dyDescent="0.2">
      <c r="A877" s="2" t="s">
        <v>31</v>
      </c>
      <c r="B877" s="19" t="s">
        <v>50</v>
      </c>
      <c r="C877" s="19"/>
      <c r="D877" s="19"/>
      <c r="E877" s="20" t="s">
        <v>33</v>
      </c>
      <c r="F877" s="20"/>
      <c r="G877" s="21" t="s">
        <v>1931</v>
      </c>
      <c r="H877" s="21"/>
      <c r="I877" s="21"/>
      <c r="J877" s="3" t="s">
        <v>35</v>
      </c>
      <c r="K877" s="4" t="s">
        <v>74</v>
      </c>
      <c r="L877" s="4" t="s">
        <v>37</v>
      </c>
      <c r="N877" s="21" t="s">
        <v>2012</v>
      </c>
      <c r="O877" s="21"/>
      <c r="P877" s="21" t="s">
        <v>2013</v>
      </c>
      <c r="Q877" s="21"/>
      <c r="R877" s="21"/>
      <c r="S877" s="3" t="s">
        <v>40</v>
      </c>
      <c r="T877" s="21" t="s">
        <v>41</v>
      </c>
      <c r="U877" s="21"/>
      <c r="V877" s="4" t="s">
        <v>42</v>
      </c>
      <c r="W877" s="4" t="s">
        <v>469</v>
      </c>
      <c r="X877" s="4" t="s">
        <v>470</v>
      </c>
      <c r="Y877" s="21" t="s">
        <v>65</v>
      </c>
      <c r="Z877" s="21"/>
      <c r="AA877" s="4" t="s">
        <v>46</v>
      </c>
      <c r="AB877" s="4" t="s">
        <v>47</v>
      </c>
      <c r="AC877" s="4" t="s">
        <v>57</v>
      </c>
      <c r="AD877" s="4" t="s">
        <v>58</v>
      </c>
      <c r="AE877" s="4" t="s">
        <v>48</v>
      </c>
      <c r="AF877" s="4" t="s">
        <v>41</v>
      </c>
      <c r="AG877" s="4" t="s">
        <v>1936</v>
      </c>
    </row>
    <row r="878" spans="1:33" ht="16.5" customHeight="1" x14ac:dyDescent="0.2">
      <c r="A878" s="2" t="s">
        <v>31</v>
      </c>
      <c r="B878" s="19" t="s">
        <v>50</v>
      </c>
      <c r="C878" s="19"/>
      <c r="D878" s="19"/>
      <c r="E878" s="20" t="s">
        <v>33</v>
      </c>
      <c r="F878" s="20"/>
      <c r="G878" s="21" t="s">
        <v>1931</v>
      </c>
      <c r="H878" s="21"/>
      <c r="I878" s="21"/>
      <c r="J878" s="3" t="s">
        <v>35</v>
      </c>
      <c r="K878" s="4" t="s">
        <v>152</v>
      </c>
      <c r="L878" s="4" t="s">
        <v>37</v>
      </c>
      <c r="N878" s="21" t="s">
        <v>2014</v>
      </c>
      <c r="O878" s="21"/>
      <c r="P878" s="21" t="s">
        <v>2015</v>
      </c>
      <c r="Q878" s="21"/>
      <c r="R878" s="21"/>
      <c r="S878" s="3" t="s">
        <v>40</v>
      </c>
      <c r="T878" s="21" t="s">
        <v>41</v>
      </c>
      <c r="U878" s="21"/>
      <c r="V878" s="4" t="s">
        <v>42</v>
      </c>
      <c r="W878" s="4" t="s">
        <v>43</v>
      </c>
      <c r="X878" s="4" t="s">
        <v>44</v>
      </c>
      <c r="Y878" s="21" t="s">
        <v>56</v>
      </c>
      <c r="Z878" s="21"/>
      <c r="AA878" s="4" t="s">
        <v>46</v>
      </c>
      <c r="AB878" s="4" t="s">
        <v>47</v>
      </c>
      <c r="AC878" s="4" t="s">
        <v>139</v>
      </c>
      <c r="AD878" s="4" t="s">
        <v>140</v>
      </c>
      <c r="AE878" s="4" t="s">
        <v>48</v>
      </c>
      <c r="AF878" s="4" t="s">
        <v>41</v>
      </c>
      <c r="AG878" s="4" t="s">
        <v>1936</v>
      </c>
    </row>
    <row r="879" spans="1:33" ht="16.5" customHeight="1" x14ac:dyDescent="0.2">
      <c r="A879" s="2" t="s">
        <v>31</v>
      </c>
      <c r="B879" s="19" t="s">
        <v>50</v>
      </c>
      <c r="C879" s="19"/>
      <c r="D879" s="19"/>
      <c r="E879" s="20" t="s">
        <v>33</v>
      </c>
      <c r="F879" s="20"/>
      <c r="G879" s="21" t="s">
        <v>1931</v>
      </c>
      <c r="H879" s="21"/>
      <c r="I879" s="21"/>
      <c r="J879" s="3" t="s">
        <v>35</v>
      </c>
      <c r="K879" s="4" t="s">
        <v>74</v>
      </c>
      <c r="L879" s="4" t="s">
        <v>37</v>
      </c>
      <c r="N879" s="21" t="s">
        <v>2016</v>
      </c>
      <c r="O879" s="21"/>
      <c r="P879" s="21" t="s">
        <v>2017</v>
      </c>
      <c r="Q879" s="21"/>
      <c r="R879" s="21"/>
      <c r="S879" s="3" t="s">
        <v>40</v>
      </c>
      <c r="T879" s="21" t="s">
        <v>41</v>
      </c>
      <c r="U879" s="21"/>
      <c r="V879" s="4" t="s">
        <v>42</v>
      </c>
      <c r="W879" s="4" t="s">
        <v>43</v>
      </c>
      <c r="X879" s="4" t="s">
        <v>44</v>
      </c>
      <c r="Y879" s="21" t="s">
        <v>65</v>
      </c>
      <c r="Z879" s="21"/>
      <c r="AA879" s="4" t="s">
        <v>46</v>
      </c>
      <c r="AB879" s="4" t="s">
        <v>47</v>
      </c>
      <c r="AC879" s="4" t="s">
        <v>57</v>
      </c>
      <c r="AD879" s="4" t="s">
        <v>58</v>
      </c>
      <c r="AE879" s="4" t="s">
        <v>48</v>
      </c>
      <c r="AF879" s="4" t="s">
        <v>41</v>
      </c>
      <c r="AG879" s="4" t="s">
        <v>1936</v>
      </c>
    </row>
    <row r="880" spans="1:33" ht="16.5" customHeight="1" x14ac:dyDescent="0.2">
      <c r="A880" s="2" t="s">
        <v>31</v>
      </c>
      <c r="B880" s="19" t="s">
        <v>50</v>
      </c>
      <c r="C880" s="19"/>
      <c r="D880" s="19"/>
      <c r="E880" s="20" t="s">
        <v>33</v>
      </c>
      <c r="F880" s="20"/>
      <c r="G880" s="21" t="s">
        <v>1931</v>
      </c>
      <c r="H880" s="21"/>
      <c r="I880" s="21"/>
      <c r="J880" s="3" t="s">
        <v>35</v>
      </c>
      <c r="K880" s="4" t="s">
        <v>204</v>
      </c>
      <c r="L880" s="4" t="s">
        <v>37</v>
      </c>
      <c r="N880" s="21" t="s">
        <v>2018</v>
      </c>
      <c r="O880" s="21"/>
      <c r="P880" s="21" t="s">
        <v>2019</v>
      </c>
      <c r="Q880" s="21"/>
      <c r="R880" s="21"/>
      <c r="S880" s="3" t="s">
        <v>40</v>
      </c>
      <c r="T880" s="21" t="s">
        <v>41</v>
      </c>
      <c r="U880" s="21"/>
      <c r="V880" s="4" t="s">
        <v>42</v>
      </c>
      <c r="W880" s="4" t="s">
        <v>43</v>
      </c>
      <c r="X880" s="4" t="s">
        <v>44</v>
      </c>
      <c r="Y880" s="21" t="s">
        <v>198</v>
      </c>
      <c r="Z880" s="21"/>
      <c r="AA880" s="4" t="s">
        <v>46</v>
      </c>
      <c r="AB880" s="4" t="s">
        <v>47</v>
      </c>
      <c r="AC880" s="4" t="s">
        <v>257</v>
      </c>
      <c r="AD880" s="4" t="s">
        <v>258</v>
      </c>
      <c r="AE880" s="4" t="s">
        <v>48</v>
      </c>
      <c r="AF880" s="4" t="s">
        <v>41</v>
      </c>
      <c r="AG880" s="4" t="s">
        <v>1936</v>
      </c>
    </row>
    <row r="881" spans="1:33" ht="16.5" customHeight="1" x14ac:dyDescent="0.2">
      <c r="A881" s="2" t="s">
        <v>31</v>
      </c>
      <c r="B881" s="19" t="s">
        <v>50</v>
      </c>
      <c r="C881" s="19"/>
      <c r="D881" s="19"/>
      <c r="E881" s="20" t="s">
        <v>33</v>
      </c>
      <c r="F881" s="20"/>
      <c r="G881" s="21" t="s">
        <v>1931</v>
      </c>
      <c r="H881" s="21"/>
      <c r="I881" s="21"/>
      <c r="J881" s="3" t="s">
        <v>35</v>
      </c>
      <c r="K881" s="4" t="s">
        <v>74</v>
      </c>
      <c r="L881" s="4" t="s">
        <v>37</v>
      </c>
      <c r="N881" s="21" t="s">
        <v>2020</v>
      </c>
      <c r="O881" s="21"/>
      <c r="P881" s="21" t="s">
        <v>2021</v>
      </c>
      <c r="Q881" s="21"/>
      <c r="R881" s="21"/>
      <c r="S881" s="3" t="s">
        <v>40</v>
      </c>
      <c r="T881" s="21" t="s">
        <v>41</v>
      </c>
      <c r="U881" s="21"/>
      <c r="V881" s="4" t="s">
        <v>42</v>
      </c>
      <c r="W881" s="4" t="s">
        <v>43</v>
      </c>
      <c r="X881" s="4" t="s">
        <v>44</v>
      </c>
      <c r="Y881" s="21" t="s">
        <v>65</v>
      </c>
      <c r="Z881" s="21"/>
      <c r="AA881" s="4" t="s">
        <v>46</v>
      </c>
      <c r="AB881" s="4" t="s">
        <v>47</v>
      </c>
      <c r="AC881" s="4" t="s">
        <v>57</v>
      </c>
      <c r="AD881" s="4" t="s">
        <v>58</v>
      </c>
      <c r="AE881" s="4" t="s">
        <v>48</v>
      </c>
      <c r="AF881" s="4" t="s">
        <v>41</v>
      </c>
      <c r="AG881" s="4" t="s">
        <v>1936</v>
      </c>
    </row>
    <row r="882" spans="1:33" ht="16.5" customHeight="1" x14ac:dyDescent="0.2">
      <c r="A882" s="2" t="s">
        <v>31</v>
      </c>
      <c r="B882" s="19" t="s">
        <v>50</v>
      </c>
      <c r="C882" s="19"/>
      <c r="D882" s="19"/>
      <c r="E882" s="20" t="s">
        <v>33</v>
      </c>
      <c r="F882" s="20"/>
      <c r="G882" s="21" t="s">
        <v>1931</v>
      </c>
      <c r="H882" s="21"/>
      <c r="I882" s="21"/>
      <c r="J882" s="3" t="s">
        <v>35</v>
      </c>
      <c r="K882" s="4" t="s">
        <v>120</v>
      </c>
      <c r="L882" s="4" t="s">
        <v>37</v>
      </c>
      <c r="N882" s="21" t="s">
        <v>2022</v>
      </c>
      <c r="O882" s="21"/>
      <c r="P882" s="21" t="s">
        <v>2023</v>
      </c>
      <c r="Q882" s="21"/>
      <c r="R882" s="21"/>
      <c r="S882" s="3" t="s">
        <v>40</v>
      </c>
      <c r="T882" s="21" t="s">
        <v>41</v>
      </c>
      <c r="U882" s="21"/>
      <c r="V882" s="4" t="s">
        <v>59</v>
      </c>
      <c r="W882" s="4" t="s">
        <v>54</v>
      </c>
      <c r="X882" s="4" t="s">
        <v>60</v>
      </c>
      <c r="Y882" s="21" t="s">
        <v>65</v>
      </c>
      <c r="Z882" s="21"/>
      <c r="AA882" s="4" t="s">
        <v>46</v>
      </c>
      <c r="AB882" s="4" t="s">
        <v>47</v>
      </c>
      <c r="AC882" s="4" t="s">
        <v>66</v>
      </c>
      <c r="AD882" s="4" t="s">
        <v>73</v>
      </c>
      <c r="AE882" s="4" t="s">
        <v>48</v>
      </c>
      <c r="AF882" s="4" t="s">
        <v>41</v>
      </c>
      <c r="AG882" s="4" t="s">
        <v>1936</v>
      </c>
    </row>
    <row r="883" spans="1:33" ht="16.5" customHeight="1" x14ac:dyDescent="0.2">
      <c r="A883" s="2" t="s">
        <v>31</v>
      </c>
      <c r="B883" s="19" t="s">
        <v>50</v>
      </c>
      <c r="C883" s="19"/>
      <c r="D883" s="19"/>
      <c r="E883" s="20" t="s">
        <v>33</v>
      </c>
      <c r="F883" s="20"/>
      <c r="G883" s="21" t="s">
        <v>1931</v>
      </c>
      <c r="H883" s="21"/>
      <c r="I883" s="21"/>
      <c r="J883" s="3" t="s">
        <v>35</v>
      </c>
      <c r="K883" s="4" t="s">
        <v>74</v>
      </c>
      <c r="L883" s="4" t="s">
        <v>37</v>
      </c>
      <c r="N883" s="21" t="s">
        <v>2024</v>
      </c>
      <c r="O883" s="21"/>
      <c r="P883" s="21" t="s">
        <v>2025</v>
      </c>
      <c r="Q883" s="21"/>
      <c r="R883" s="21"/>
      <c r="S883" s="3" t="s">
        <v>40</v>
      </c>
      <c r="T883" s="21" t="s">
        <v>41</v>
      </c>
      <c r="U883" s="21"/>
      <c r="V883" s="4" t="s">
        <v>42</v>
      </c>
      <c r="W883" s="4" t="s">
        <v>1008</v>
      </c>
      <c r="X883" s="4" t="s">
        <v>1009</v>
      </c>
      <c r="Y883" s="21" t="s">
        <v>65</v>
      </c>
      <c r="Z883" s="21"/>
      <c r="AA883" s="4" t="s">
        <v>46</v>
      </c>
      <c r="AB883" s="4" t="s">
        <v>47</v>
      </c>
      <c r="AC883" s="4" t="s">
        <v>57</v>
      </c>
      <c r="AD883" s="4" t="s">
        <v>58</v>
      </c>
      <c r="AE883" s="4" t="s">
        <v>48</v>
      </c>
      <c r="AF883" s="4" t="s">
        <v>41</v>
      </c>
      <c r="AG883" s="4" t="s">
        <v>1936</v>
      </c>
    </row>
    <row r="884" spans="1:33" ht="16.5" customHeight="1" x14ac:dyDescent="0.2">
      <c r="A884" s="2" t="s">
        <v>31</v>
      </c>
      <c r="B884" s="19" t="s">
        <v>50</v>
      </c>
      <c r="C884" s="19"/>
      <c r="D884" s="19"/>
      <c r="E884" s="20" t="s">
        <v>33</v>
      </c>
      <c r="F884" s="20"/>
      <c r="G884" s="21" t="s">
        <v>1931</v>
      </c>
      <c r="H884" s="21"/>
      <c r="I884" s="21"/>
      <c r="J884" s="3" t="s">
        <v>35</v>
      </c>
      <c r="K884" s="4" t="s">
        <v>146</v>
      </c>
      <c r="L884" s="4" t="s">
        <v>37</v>
      </c>
      <c r="N884" s="21" t="s">
        <v>2026</v>
      </c>
      <c r="O884" s="21"/>
      <c r="P884" s="21" t="s">
        <v>2027</v>
      </c>
      <c r="Q884" s="21"/>
      <c r="R884" s="21"/>
      <c r="S884" s="3" t="s">
        <v>40</v>
      </c>
      <c r="T884" s="21" t="s">
        <v>41</v>
      </c>
      <c r="U884" s="21"/>
      <c r="V884" s="4" t="s">
        <v>42</v>
      </c>
      <c r="W884" s="4" t="s">
        <v>863</v>
      </c>
      <c r="X884" s="4" t="s">
        <v>864</v>
      </c>
      <c r="Y884" s="21" t="s">
        <v>138</v>
      </c>
      <c r="Z884" s="21"/>
      <c r="AA884" s="4" t="s">
        <v>46</v>
      </c>
      <c r="AB884" s="4" t="s">
        <v>47</v>
      </c>
      <c r="AC884" s="4" t="s">
        <v>139</v>
      </c>
      <c r="AD884" s="4" t="s">
        <v>140</v>
      </c>
      <c r="AE884" s="4" t="s">
        <v>48</v>
      </c>
      <c r="AF884" s="4" t="s">
        <v>41</v>
      </c>
      <c r="AG884" s="4" t="s">
        <v>1936</v>
      </c>
    </row>
    <row r="885" spans="1:33" ht="16.5" customHeight="1" x14ac:dyDescent="0.2">
      <c r="A885" s="2" t="s">
        <v>31</v>
      </c>
      <c r="B885" s="19" t="s">
        <v>50</v>
      </c>
      <c r="C885" s="19"/>
      <c r="D885" s="19"/>
      <c r="E885" s="20" t="s">
        <v>33</v>
      </c>
      <c r="F885" s="20"/>
      <c r="G885" s="21" t="s">
        <v>1931</v>
      </c>
      <c r="H885" s="21"/>
      <c r="I885" s="21"/>
      <c r="J885" s="3" t="s">
        <v>35</v>
      </c>
      <c r="K885" s="4" t="s">
        <v>82</v>
      </c>
      <c r="L885" s="4" t="s">
        <v>68</v>
      </c>
      <c r="N885" s="21" t="s">
        <v>2028</v>
      </c>
      <c r="O885" s="21"/>
      <c r="P885" s="21" t="s">
        <v>2029</v>
      </c>
      <c r="Q885" s="21"/>
      <c r="R885" s="21"/>
      <c r="S885" s="3" t="s">
        <v>40</v>
      </c>
      <c r="T885" s="21" t="s">
        <v>41</v>
      </c>
      <c r="U885" s="21"/>
      <c r="V885" s="4" t="s">
        <v>42</v>
      </c>
      <c r="W885" s="4" t="s">
        <v>234</v>
      </c>
      <c r="X885" s="4" t="s">
        <v>235</v>
      </c>
      <c r="Y885" s="21" t="s">
        <v>56</v>
      </c>
      <c r="Z885" s="21"/>
      <c r="AA885" s="4" t="s">
        <v>46</v>
      </c>
      <c r="AB885" s="4" t="s">
        <v>47</v>
      </c>
      <c r="AC885" s="4" t="s">
        <v>139</v>
      </c>
      <c r="AD885" s="4" t="s">
        <v>151</v>
      </c>
      <c r="AE885" s="4" t="s">
        <v>48</v>
      </c>
      <c r="AF885" s="4" t="s">
        <v>41</v>
      </c>
      <c r="AG885" s="4" t="s">
        <v>1936</v>
      </c>
    </row>
    <row r="886" spans="1:33" ht="16.5" customHeight="1" x14ac:dyDescent="0.2">
      <c r="A886" s="2" t="s">
        <v>31</v>
      </c>
      <c r="B886" s="19" t="s">
        <v>50</v>
      </c>
      <c r="C886" s="19"/>
      <c r="D886" s="19"/>
      <c r="E886" s="20" t="s">
        <v>33</v>
      </c>
      <c r="F886" s="20"/>
      <c r="G886" s="21" t="s">
        <v>1931</v>
      </c>
      <c r="H886" s="21"/>
      <c r="I886" s="21"/>
      <c r="J886" s="3" t="s">
        <v>35</v>
      </c>
      <c r="K886" s="4" t="s">
        <v>74</v>
      </c>
      <c r="L886" s="4" t="s">
        <v>278</v>
      </c>
      <c r="N886" s="21" t="s">
        <v>2030</v>
      </c>
      <c r="O886" s="21"/>
      <c r="P886" s="21" t="s">
        <v>2031</v>
      </c>
      <c r="Q886" s="21"/>
      <c r="R886" s="21"/>
      <c r="S886" s="3" t="s">
        <v>40</v>
      </c>
      <c r="T886" s="21" t="s">
        <v>41</v>
      </c>
      <c r="U886" s="21"/>
      <c r="V886" s="4" t="s">
        <v>42</v>
      </c>
      <c r="W886" s="4" t="s">
        <v>234</v>
      </c>
      <c r="X886" s="4" t="s">
        <v>235</v>
      </c>
      <c r="Y886" s="21" t="s">
        <v>65</v>
      </c>
      <c r="Z886" s="21"/>
      <c r="AA886" s="4" t="s">
        <v>46</v>
      </c>
      <c r="AB886" s="4" t="s">
        <v>47</v>
      </c>
      <c r="AC886" s="4" t="s">
        <v>57</v>
      </c>
      <c r="AD886" s="4" t="s">
        <v>283</v>
      </c>
      <c r="AE886" s="4" t="s">
        <v>48</v>
      </c>
      <c r="AF886" s="4" t="s">
        <v>41</v>
      </c>
      <c r="AG886" s="4" t="s">
        <v>1936</v>
      </c>
    </row>
    <row r="887" spans="1:33" ht="16.5" customHeight="1" x14ac:dyDescent="0.2">
      <c r="A887" s="2" t="s">
        <v>31</v>
      </c>
      <c r="B887" s="19" t="s">
        <v>50</v>
      </c>
      <c r="C887" s="19"/>
      <c r="D887" s="19"/>
      <c r="E887" s="20" t="s">
        <v>33</v>
      </c>
      <c r="F887" s="20"/>
      <c r="G887" s="21" t="s">
        <v>1931</v>
      </c>
      <c r="H887" s="21"/>
      <c r="I887" s="21"/>
      <c r="J887" s="3" t="s">
        <v>35</v>
      </c>
      <c r="K887" s="4" t="s">
        <v>133</v>
      </c>
      <c r="L887" s="4" t="s">
        <v>37</v>
      </c>
      <c r="N887" s="21" t="s">
        <v>2032</v>
      </c>
      <c r="O887" s="21"/>
      <c r="P887" s="21" t="s">
        <v>2033</v>
      </c>
      <c r="Q887" s="21"/>
      <c r="R887" s="21"/>
      <c r="S887" s="3" t="s">
        <v>40</v>
      </c>
      <c r="T887" s="21" t="s">
        <v>41</v>
      </c>
      <c r="U887" s="21"/>
      <c r="V887" s="4" t="s">
        <v>42</v>
      </c>
      <c r="W887" s="4" t="s">
        <v>234</v>
      </c>
      <c r="X887" s="4" t="s">
        <v>235</v>
      </c>
      <c r="Y887" s="21" t="s">
        <v>138</v>
      </c>
      <c r="Z887" s="21"/>
      <c r="AA887" s="4" t="s">
        <v>46</v>
      </c>
      <c r="AB887" s="4" t="s">
        <v>47</v>
      </c>
      <c r="AC887" s="4" t="s">
        <v>139</v>
      </c>
      <c r="AD887" s="4" t="s">
        <v>140</v>
      </c>
      <c r="AE887" s="4" t="s">
        <v>48</v>
      </c>
      <c r="AF887" s="4" t="s">
        <v>41</v>
      </c>
      <c r="AG887" s="4" t="s">
        <v>1936</v>
      </c>
    </row>
    <row r="888" spans="1:33" ht="16.5" customHeight="1" x14ac:dyDescent="0.2">
      <c r="A888" s="2" t="s">
        <v>31</v>
      </c>
      <c r="B888" s="19" t="s">
        <v>50</v>
      </c>
      <c r="C888" s="19"/>
      <c r="D888" s="19"/>
      <c r="E888" s="20" t="s">
        <v>33</v>
      </c>
      <c r="F888" s="20"/>
      <c r="G888" s="21" t="s">
        <v>1931</v>
      </c>
      <c r="H888" s="21"/>
      <c r="I888" s="21"/>
      <c r="J888" s="3" t="s">
        <v>35</v>
      </c>
      <c r="K888" s="4" t="s">
        <v>87</v>
      </c>
      <c r="L888" s="4" t="s">
        <v>37</v>
      </c>
      <c r="N888" s="21" t="s">
        <v>2034</v>
      </c>
      <c r="O888" s="21"/>
      <c r="P888" s="21" t="s">
        <v>2035</v>
      </c>
      <c r="Q888" s="21"/>
      <c r="R888" s="21"/>
      <c r="S888" s="3" t="s">
        <v>40</v>
      </c>
      <c r="T888" s="21" t="s">
        <v>41</v>
      </c>
      <c r="U888" s="21"/>
      <c r="V888" s="4" t="s">
        <v>42</v>
      </c>
      <c r="W888" s="4" t="s">
        <v>355</v>
      </c>
      <c r="X888" s="4" t="s">
        <v>356</v>
      </c>
      <c r="Y888" s="21" t="s">
        <v>56</v>
      </c>
      <c r="Z888" s="21"/>
      <c r="AA888" s="4" t="s">
        <v>46</v>
      </c>
      <c r="AB888" s="4" t="s">
        <v>47</v>
      </c>
      <c r="AC888" s="4" t="s">
        <v>139</v>
      </c>
      <c r="AD888" s="4" t="s">
        <v>140</v>
      </c>
      <c r="AE888" s="4" t="s">
        <v>48</v>
      </c>
      <c r="AF888" s="4" t="s">
        <v>41</v>
      </c>
      <c r="AG888" s="4" t="s">
        <v>1936</v>
      </c>
    </row>
    <row r="889" spans="1:33" ht="16.5" customHeight="1" x14ac:dyDescent="0.2">
      <c r="A889" s="2" t="s">
        <v>31</v>
      </c>
      <c r="B889" s="19" t="s">
        <v>50</v>
      </c>
      <c r="C889" s="19"/>
      <c r="D889" s="19"/>
      <c r="E889" s="20" t="s">
        <v>33</v>
      </c>
      <c r="F889" s="20"/>
      <c r="G889" s="21" t="s">
        <v>1931</v>
      </c>
      <c r="H889" s="21"/>
      <c r="I889" s="21"/>
      <c r="J889" s="3" t="s">
        <v>35</v>
      </c>
      <c r="K889" s="4" t="s">
        <v>87</v>
      </c>
      <c r="L889" s="4" t="s">
        <v>37</v>
      </c>
      <c r="N889" s="21" t="s">
        <v>2036</v>
      </c>
      <c r="O889" s="21"/>
      <c r="P889" s="21" t="s">
        <v>2037</v>
      </c>
      <c r="Q889" s="21"/>
      <c r="R889" s="21"/>
      <c r="S889" s="3" t="s">
        <v>40</v>
      </c>
      <c r="T889" s="21" t="s">
        <v>41</v>
      </c>
      <c r="U889" s="21"/>
      <c r="V889" s="4" t="s">
        <v>42</v>
      </c>
      <c r="W889" s="4" t="s">
        <v>355</v>
      </c>
      <c r="X889" s="4" t="s">
        <v>356</v>
      </c>
      <c r="Y889" s="21" t="s">
        <v>56</v>
      </c>
      <c r="Z889" s="21"/>
      <c r="AA889" s="4" t="s">
        <v>46</v>
      </c>
      <c r="AB889" s="4" t="s">
        <v>47</v>
      </c>
      <c r="AC889" s="4" t="s">
        <v>139</v>
      </c>
      <c r="AD889" s="4" t="s">
        <v>140</v>
      </c>
      <c r="AE889" s="4" t="s">
        <v>48</v>
      </c>
      <c r="AF889" s="4" t="s">
        <v>41</v>
      </c>
      <c r="AG889" s="4" t="s">
        <v>1936</v>
      </c>
    </row>
    <row r="890" spans="1:33" ht="16.5" customHeight="1" x14ac:dyDescent="0.2">
      <c r="A890" s="2" t="s">
        <v>31</v>
      </c>
      <c r="B890" s="19" t="s">
        <v>50</v>
      </c>
      <c r="C890" s="19"/>
      <c r="D890" s="19"/>
      <c r="E890" s="20" t="s">
        <v>33</v>
      </c>
      <c r="F890" s="20"/>
      <c r="G890" s="21" t="s">
        <v>1931</v>
      </c>
      <c r="H890" s="21"/>
      <c r="I890" s="21"/>
      <c r="J890" s="3" t="s">
        <v>35</v>
      </c>
      <c r="K890" s="4" t="s">
        <v>146</v>
      </c>
      <c r="L890" s="4" t="s">
        <v>68</v>
      </c>
      <c r="N890" s="21" t="s">
        <v>2038</v>
      </c>
      <c r="O890" s="21"/>
      <c r="P890" s="21" t="s">
        <v>2039</v>
      </c>
      <c r="Q890" s="21"/>
      <c r="R890" s="21"/>
      <c r="S890" s="3" t="s">
        <v>40</v>
      </c>
      <c r="T890" s="21" t="s">
        <v>41</v>
      </c>
      <c r="U890" s="21"/>
      <c r="V890" s="4" t="s">
        <v>42</v>
      </c>
      <c r="W890" s="4" t="s">
        <v>182</v>
      </c>
      <c r="X890" s="4" t="s">
        <v>294</v>
      </c>
      <c r="Y890" s="21" t="s">
        <v>138</v>
      </c>
      <c r="Z890" s="21"/>
      <c r="AA890" s="4" t="s">
        <v>46</v>
      </c>
      <c r="AB890" s="4" t="s">
        <v>47</v>
      </c>
      <c r="AC890" s="4" t="s">
        <v>57</v>
      </c>
      <c r="AD890" s="4" t="s">
        <v>98</v>
      </c>
      <c r="AE890" s="4" t="s">
        <v>48</v>
      </c>
      <c r="AF890" s="4" t="s">
        <v>41</v>
      </c>
      <c r="AG890" s="4" t="s">
        <v>1936</v>
      </c>
    </row>
    <row r="891" spans="1:33" ht="16.5" customHeight="1" x14ac:dyDescent="0.2">
      <c r="A891" s="2" t="s">
        <v>31</v>
      </c>
      <c r="B891" s="19" t="s">
        <v>50</v>
      </c>
      <c r="C891" s="19"/>
      <c r="D891" s="19"/>
      <c r="E891" s="20" t="s">
        <v>33</v>
      </c>
      <c r="F891" s="20"/>
      <c r="G891" s="21" t="s">
        <v>1931</v>
      </c>
      <c r="H891" s="21"/>
      <c r="I891" s="21"/>
      <c r="J891" s="3" t="s">
        <v>35</v>
      </c>
      <c r="K891" s="4" t="s">
        <v>120</v>
      </c>
      <c r="L891" s="4" t="s">
        <v>37</v>
      </c>
      <c r="N891" s="21" t="s">
        <v>2040</v>
      </c>
      <c r="O891" s="21"/>
      <c r="P891" s="21" t="s">
        <v>2041</v>
      </c>
      <c r="Q891" s="21"/>
      <c r="R891" s="21"/>
      <c r="S891" s="3" t="s">
        <v>40</v>
      </c>
      <c r="T891" s="21" t="s">
        <v>41</v>
      </c>
      <c r="U891" s="21"/>
      <c r="V891" s="4" t="s">
        <v>42</v>
      </c>
      <c r="W891" s="4" t="s">
        <v>94</v>
      </c>
      <c r="X891" s="4" t="s">
        <v>95</v>
      </c>
      <c r="Y891" s="21" t="s">
        <v>65</v>
      </c>
      <c r="Z891" s="21"/>
      <c r="AA891" s="4" t="s">
        <v>46</v>
      </c>
      <c r="AB891" s="4" t="s">
        <v>47</v>
      </c>
      <c r="AC891" s="4" t="s">
        <v>66</v>
      </c>
      <c r="AD891" s="4" t="s">
        <v>73</v>
      </c>
      <c r="AE891" s="4" t="s">
        <v>48</v>
      </c>
      <c r="AF891" s="4" t="s">
        <v>41</v>
      </c>
      <c r="AG891" s="4" t="s">
        <v>1936</v>
      </c>
    </row>
    <row r="892" spans="1:33" ht="16.5" customHeight="1" x14ac:dyDescent="0.2">
      <c r="A892" s="2" t="s">
        <v>31</v>
      </c>
      <c r="B892" s="19" t="s">
        <v>50</v>
      </c>
      <c r="C892" s="19"/>
      <c r="D892" s="19"/>
      <c r="E892" s="20" t="s">
        <v>33</v>
      </c>
      <c r="F892" s="20"/>
      <c r="G892" s="21" t="s">
        <v>1931</v>
      </c>
      <c r="H892" s="21"/>
      <c r="I892" s="21"/>
      <c r="J892" s="3" t="s">
        <v>35</v>
      </c>
      <c r="K892" s="4" t="s">
        <v>51</v>
      </c>
      <c r="L892" s="4" t="s">
        <v>37</v>
      </c>
      <c r="N892" s="21" t="s">
        <v>2042</v>
      </c>
      <c r="O892" s="21"/>
      <c r="P892" s="21" t="s">
        <v>2043</v>
      </c>
      <c r="Q892" s="21"/>
      <c r="R892" s="21"/>
      <c r="S892" s="3" t="s">
        <v>40</v>
      </c>
      <c r="T892" s="21" t="s">
        <v>41</v>
      </c>
      <c r="U892" s="21"/>
      <c r="V892" s="4" t="s">
        <v>42</v>
      </c>
      <c r="W892" s="4" t="s">
        <v>54</v>
      </c>
      <c r="X892" s="4" t="s">
        <v>55</v>
      </c>
      <c r="Y892" s="21" t="s">
        <v>56</v>
      </c>
      <c r="Z892" s="21"/>
      <c r="AA892" s="4" t="s">
        <v>46</v>
      </c>
      <c r="AB892" s="4" t="s">
        <v>47</v>
      </c>
      <c r="AC892" s="4" t="s">
        <v>57</v>
      </c>
      <c r="AD892" s="4" t="s">
        <v>58</v>
      </c>
      <c r="AE892" s="4" t="s">
        <v>48</v>
      </c>
      <c r="AF892" s="4" t="s">
        <v>41</v>
      </c>
      <c r="AG892" s="4" t="s">
        <v>1936</v>
      </c>
    </row>
    <row r="893" spans="1:33" ht="16.5" customHeight="1" x14ac:dyDescent="0.2">
      <c r="A893" s="2" t="s">
        <v>31</v>
      </c>
      <c r="B893" s="19" t="s">
        <v>50</v>
      </c>
      <c r="C893" s="19"/>
      <c r="D893" s="19"/>
      <c r="E893" s="20" t="s">
        <v>33</v>
      </c>
      <c r="F893" s="20"/>
      <c r="G893" s="21" t="s">
        <v>1931</v>
      </c>
      <c r="H893" s="21"/>
      <c r="I893" s="21"/>
      <c r="J893" s="3" t="s">
        <v>35</v>
      </c>
      <c r="K893" s="4" t="s">
        <v>120</v>
      </c>
      <c r="L893" s="4" t="s">
        <v>37</v>
      </c>
      <c r="N893" s="21" t="s">
        <v>2044</v>
      </c>
      <c r="O893" s="21"/>
      <c r="P893" s="21" t="s">
        <v>2045</v>
      </c>
      <c r="Q893" s="21"/>
      <c r="R893" s="21"/>
      <c r="S893" s="3" t="s">
        <v>40</v>
      </c>
      <c r="T893" s="21" t="s">
        <v>41</v>
      </c>
      <c r="U893" s="21"/>
      <c r="V893" s="4" t="s">
        <v>42</v>
      </c>
      <c r="W893" s="4" t="s">
        <v>54</v>
      </c>
      <c r="X893" s="4" t="s">
        <v>55</v>
      </c>
      <c r="Y893" s="21" t="s">
        <v>65</v>
      </c>
      <c r="Z893" s="21"/>
      <c r="AA893" s="4" t="s">
        <v>46</v>
      </c>
      <c r="AB893" s="4" t="s">
        <v>47</v>
      </c>
      <c r="AC893" s="4" t="s">
        <v>66</v>
      </c>
      <c r="AD893" s="4" t="s">
        <v>73</v>
      </c>
      <c r="AE893" s="4" t="s">
        <v>48</v>
      </c>
      <c r="AF893" s="4" t="s">
        <v>41</v>
      </c>
      <c r="AG893" s="4" t="s">
        <v>1936</v>
      </c>
    </row>
    <row r="894" spans="1:33" ht="16.5" customHeight="1" x14ac:dyDescent="0.2">
      <c r="A894" s="2" t="s">
        <v>31</v>
      </c>
      <c r="B894" s="19" t="s">
        <v>50</v>
      </c>
      <c r="C894" s="19"/>
      <c r="D894" s="19"/>
      <c r="E894" s="20" t="s">
        <v>33</v>
      </c>
      <c r="F894" s="20"/>
      <c r="G894" s="21" t="s">
        <v>1931</v>
      </c>
      <c r="H894" s="21"/>
      <c r="I894" s="21"/>
      <c r="J894" s="3" t="s">
        <v>35</v>
      </c>
      <c r="K894" s="4" t="s">
        <v>383</v>
      </c>
      <c r="L894" s="4" t="s">
        <v>37</v>
      </c>
      <c r="N894" s="21" t="s">
        <v>2046</v>
      </c>
      <c r="O894" s="21"/>
      <c r="P894" s="21" t="s">
        <v>2047</v>
      </c>
      <c r="Q894" s="21"/>
      <c r="R894" s="21"/>
      <c r="S894" s="3" t="s">
        <v>40</v>
      </c>
      <c r="T894" s="21" t="s">
        <v>41</v>
      </c>
      <c r="U894" s="21"/>
      <c r="V894" s="4" t="s">
        <v>42</v>
      </c>
      <c r="W894" s="4" t="s">
        <v>54</v>
      </c>
      <c r="X894" s="4" t="s">
        <v>55</v>
      </c>
      <c r="Y894" s="21" t="s">
        <v>198</v>
      </c>
      <c r="Z894" s="21"/>
      <c r="AA894" s="4" t="s">
        <v>46</v>
      </c>
      <c r="AB894" s="4" t="s">
        <v>47</v>
      </c>
      <c r="AC894" s="4" t="s">
        <v>139</v>
      </c>
      <c r="AD894" s="4" t="s">
        <v>140</v>
      </c>
      <c r="AE894" s="4" t="s">
        <v>48</v>
      </c>
      <c r="AF894" s="4" t="s">
        <v>41</v>
      </c>
      <c r="AG894" s="4" t="s">
        <v>1936</v>
      </c>
    </row>
    <row r="895" spans="1:33" ht="16.5" customHeight="1" x14ac:dyDescent="0.2">
      <c r="A895" s="2" t="s">
        <v>31</v>
      </c>
      <c r="B895" s="19" t="s">
        <v>50</v>
      </c>
      <c r="C895" s="19"/>
      <c r="D895" s="19"/>
      <c r="E895" s="20" t="s">
        <v>33</v>
      </c>
      <c r="F895" s="20"/>
      <c r="G895" s="21" t="s">
        <v>1931</v>
      </c>
      <c r="H895" s="21"/>
      <c r="I895" s="21"/>
      <c r="J895" s="3" t="s">
        <v>35</v>
      </c>
      <c r="K895" s="4" t="s">
        <v>82</v>
      </c>
      <c r="L895" s="4" t="s">
        <v>37</v>
      </c>
      <c r="N895" s="21" t="s">
        <v>2048</v>
      </c>
      <c r="O895" s="21"/>
      <c r="P895" s="21" t="s">
        <v>2049</v>
      </c>
      <c r="Q895" s="21"/>
      <c r="R895" s="21"/>
      <c r="S895" s="3" t="s">
        <v>40</v>
      </c>
      <c r="T895" s="21" t="s">
        <v>41</v>
      </c>
      <c r="U895" s="21"/>
      <c r="V895" s="4" t="s">
        <v>42</v>
      </c>
      <c r="W895" s="4" t="s">
        <v>54</v>
      </c>
      <c r="X895" s="4" t="s">
        <v>55</v>
      </c>
      <c r="Y895" s="21" t="s">
        <v>56</v>
      </c>
      <c r="Z895" s="21"/>
      <c r="AA895" s="4" t="s">
        <v>46</v>
      </c>
      <c r="AB895" s="4" t="s">
        <v>47</v>
      </c>
      <c r="AC895" s="4" t="s">
        <v>57</v>
      </c>
      <c r="AD895" s="4" t="s">
        <v>58</v>
      </c>
      <c r="AE895" s="4" t="s">
        <v>48</v>
      </c>
      <c r="AF895" s="4" t="s">
        <v>41</v>
      </c>
      <c r="AG895" s="4" t="s">
        <v>1936</v>
      </c>
    </row>
    <row r="896" spans="1:33" ht="0.75" customHeight="1" x14ac:dyDescent="0.2"/>
    <row r="897" spans="1:33" ht="12" customHeight="1" x14ac:dyDescent="0.2"/>
    <row r="898" spans="1:33" ht="16.5" customHeight="1" x14ac:dyDescent="0.2">
      <c r="A898" s="2" t="s">
        <v>31</v>
      </c>
      <c r="B898" s="19" t="s">
        <v>50</v>
      </c>
      <c r="C898" s="19"/>
      <c r="D898" s="19"/>
      <c r="E898" s="20" t="s">
        <v>33</v>
      </c>
      <c r="F898" s="20"/>
      <c r="G898" s="21" t="s">
        <v>1931</v>
      </c>
      <c r="H898" s="21"/>
      <c r="I898" s="21"/>
      <c r="J898" s="3" t="s">
        <v>35</v>
      </c>
      <c r="K898" s="4" t="s">
        <v>120</v>
      </c>
      <c r="L898" s="4" t="s">
        <v>68</v>
      </c>
      <c r="N898" s="21" t="s">
        <v>2050</v>
      </c>
      <c r="O898" s="21"/>
      <c r="P898" s="21" t="s">
        <v>2051</v>
      </c>
      <c r="Q898" s="21"/>
      <c r="R898" s="21"/>
      <c r="S898" s="3" t="s">
        <v>40</v>
      </c>
      <c r="T898" s="21" t="s">
        <v>41</v>
      </c>
      <c r="U898" s="21"/>
      <c r="V898" s="4" t="s">
        <v>42</v>
      </c>
      <c r="W898" s="4" t="s">
        <v>130</v>
      </c>
      <c r="X898" s="4" t="s">
        <v>60</v>
      </c>
      <c r="Y898" s="21" t="s">
        <v>65</v>
      </c>
      <c r="Z898" s="21"/>
      <c r="AA898" s="4" t="s">
        <v>46</v>
      </c>
      <c r="AB898" s="4" t="s">
        <v>47</v>
      </c>
      <c r="AC898" s="4" t="s">
        <v>66</v>
      </c>
      <c r="AD898" s="4" t="s">
        <v>69</v>
      </c>
      <c r="AE898" s="4" t="s">
        <v>48</v>
      </c>
      <c r="AF898" s="4" t="s">
        <v>41</v>
      </c>
      <c r="AG898" s="4" t="s">
        <v>1936</v>
      </c>
    </row>
    <row r="899" spans="1:33" ht="16.5" customHeight="1" x14ac:dyDescent="0.2">
      <c r="A899" s="2" t="s">
        <v>31</v>
      </c>
      <c r="B899" s="19" t="s">
        <v>50</v>
      </c>
      <c r="C899" s="19"/>
      <c r="D899" s="19"/>
      <c r="E899" s="20" t="s">
        <v>33</v>
      </c>
      <c r="F899" s="20"/>
      <c r="G899" s="21" t="s">
        <v>1931</v>
      </c>
      <c r="H899" s="21"/>
      <c r="I899" s="21"/>
      <c r="J899" s="3" t="s">
        <v>35</v>
      </c>
      <c r="K899" s="4" t="s">
        <v>82</v>
      </c>
      <c r="L899" s="4" t="s">
        <v>37</v>
      </c>
      <c r="N899" s="21" t="s">
        <v>2052</v>
      </c>
      <c r="O899" s="21"/>
      <c r="P899" s="21" t="s">
        <v>2053</v>
      </c>
      <c r="Q899" s="21"/>
      <c r="R899" s="21"/>
      <c r="S899" s="3" t="s">
        <v>40</v>
      </c>
      <c r="T899" s="21" t="s">
        <v>41</v>
      </c>
      <c r="U899" s="21"/>
      <c r="V899" s="4" t="s">
        <v>42</v>
      </c>
      <c r="W899" s="4" t="s">
        <v>59</v>
      </c>
      <c r="X899" s="4" t="s">
        <v>131</v>
      </c>
      <c r="Y899" s="21" t="s">
        <v>56</v>
      </c>
      <c r="Z899" s="21"/>
      <c r="AA899" s="4" t="s">
        <v>46</v>
      </c>
      <c r="AB899" s="4" t="s">
        <v>47</v>
      </c>
      <c r="AC899" s="4" t="s">
        <v>57</v>
      </c>
      <c r="AD899" s="4" t="s">
        <v>58</v>
      </c>
      <c r="AE899" s="4" t="s">
        <v>48</v>
      </c>
      <c r="AF899" s="4" t="s">
        <v>41</v>
      </c>
      <c r="AG899" s="4" t="s">
        <v>1936</v>
      </c>
    </row>
    <row r="900" spans="1:33" ht="16.5" customHeight="1" x14ac:dyDescent="0.2">
      <c r="A900" s="2" t="s">
        <v>31</v>
      </c>
      <c r="B900" s="19" t="s">
        <v>110</v>
      </c>
      <c r="C900" s="19"/>
      <c r="D900" s="19"/>
      <c r="E900" s="20" t="s">
        <v>33</v>
      </c>
      <c r="F900" s="20"/>
      <c r="G900" s="21" t="s">
        <v>1931</v>
      </c>
      <c r="H900" s="21"/>
      <c r="I900" s="21"/>
      <c r="J900" s="3" t="s">
        <v>35</v>
      </c>
      <c r="K900" s="4" t="s">
        <v>394</v>
      </c>
      <c r="N900" s="21" t="s">
        <v>2054</v>
      </c>
      <c r="O900" s="21"/>
      <c r="P900" s="21" t="s">
        <v>2055</v>
      </c>
      <c r="Q900" s="21"/>
      <c r="R900" s="21"/>
      <c r="S900" s="3" t="s">
        <v>40</v>
      </c>
      <c r="T900" s="21" t="s">
        <v>2056</v>
      </c>
      <c r="U900" s="21"/>
      <c r="V900" s="4" t="s">
        <v>42</v>
      </c>
      <c r="W900" s="4" t="s">
        <v>54</v>
      </c>
      <c r="X900" s="4" t="s">
        <v>55</v>
      </c>
      <c r="Y900" s="21" t="s">
        <v>398</v>
      </c>
      <c r="Z900" s="21"/>
      <c r="AA900" s="4" t="s">
        <v>46</v>
      </c>
      <c r="AB900" s="4" t="s">
        <v>117</v>
      </c>
      <c r="AC900" s="4" t="s">
        <v>399</v>
      </c>
      <c r="AD900" s="4" t="s">
        <v>2057</v>
      </c>
      <c r="AE900" s="4" t="s">
        <v>48</v>
      </c>
      <c r="AF900" s="4" t="s">
        <v>41</v>
      </c>
      <c r="AG900" s="4" t="s">
        <v>1936</v>
      </c>
    </row>
    <row r="901" spans="1:33" ht="16.5" customHeight="1" x14ac:dyDescent="0.2">
      <c r="A901" s="2" t="s">
        <v>31</v>
      </c>
      <c r="B901" s="19" t="s">
        <v>50</v>
      </c>
      <c r="C901" s="19"/>
      <c r="D901" s="19"/>
      <c r="E901" s="20" t="s">
        <v>33</v>
      </c>
      <c r="F901" s="20"/>
      <c r="G901" s="21" t="s">
        <v>2058</v>
      </c>
      <c r="H901" s="21"/>
      <c r="I901" s="21"/>
      <c r="J901" s="3" t="s">
        <v>35</v>
      </c>
      <c r="K901" s="4" t="s">
        <v>1914</v>
      </c>
      <c r="L901" s="4" t="s">
        <v>68</v>
      </c>
      <c r="N901" s="21" t="s">
        <v>2059</v>
      </c>
      <c r="O901" s="21"/>
      <c r="P901" s="21" t="s">
        <v>2060</v>
      </c>
      <c r="Q901" s="21"/>
      <c r="R901" s="21"/>
      <c r="S901" s="3" t="s">
        <v>40</v>
      </c>
      <c r="T901" s="21" t="s">
        <v>41</v>
      </c>
      <c r="U901" s="21"/>
      <c r="V901" s="4" t="s">
        <v>42</v>
      </c>
      <c r="W901" s="4" t="s">
        <v>234</v>
      </c>
      <c r="X901" s="4" t="s">
        <v>235</v>
      </c>
      <c r="Y901" s="21" t="s">
        <v>198</v>
      </c>
      <c r="Z901" s="21"/>
      <c r="AA901" s="4" t="s">
        <v>46</v>
      </c>
      <c r="AB901" s="4" t="s">
        <v>47</v>
      </c>
      <c r="AC901" s="4" t="s">
        <v>257</v>
      </c>
      <c r="AD901" s="4" t="s">
        <v>73</v>
      </c>
      <c r="AE901" s="4" t="s">
        <v>48</v>
      </c>
      <c r="AF901" s="4" t="s">
        <v>41</v>
      </c>
      <c r="AG901" s="4" t="s">
        <v>2061</v>
      </c>
    </row>
    <row r="902" spans="1:33" ht="16.5" customHeight="1" x14ac:dyDescent="0.2">
      <c r="A902" s="2" t="s">
        <v>31</v>
      </c>
      <c r="B902" s="19" t="s">
        <v>50</v>
      </c>
      <c r="C902" s="19"/>
      <c r="D902" s="19"/>
      <c r="E902" s="20" t="s">
        <v>33</v>
      </c>
      <c r="F902" s="20"/>
      <c r="G902" s="21" t="s">
        <v>2058</v>
      </c>
      <c r="H902" s="21"/>
      <c r="I902" s="21"/>
      <c r="J902" s="3" t="s">
        <v>35</v>
      </c>
      <c r="K902" s="4" t="s">
        <v>61</v>
      </c>
      <c r="L902" s="4" t="s">
        <v>37</v>
      </c>
      <c r="N902" s="21" t="s">
        <v>2062</v>
      </c>
      <c r="O902" s="21"/>
      <c r="P902" s="21" t="s">
        <v>2063</v>
      </c>
      <c r="Q902" s="21"/>
      <c r="R902" s="21"/>
      <c r="S902" s="3" t="s">
        <v>40</v>
      </c>
      <c r="T902" s="21" t="s">
        <v>41</v>
      </c>
      <c r="U902" s="21"/>
      <c r="V902" s="4" t="s">
        <v>42</v>
      </c>
      <c r="W902" s="4" t="s">
        <v>213</v>
      </c>
      <c r="X902" s="4" t="s">
        <v>531</v>
      </c>
      <c r="Y902" s="21" t="s">
        <v>65</v>
      </c>
      <c r="Z902" s="21"/>
      <c r="AA902" s="4" t="s">
        <v>46</v>
      </c>
      <c r="AB902" s="4" t="s">
        <v>47</v>
      </c>
      <c r="AC902" s="4" t="s">
        <v>57</v>
      </c>
      <c r="AD902" s="4" t="s">
        <v>58</v>
      </c>
      <c r="AE902" s="4" t="s">
        <v>48</v>
      </c>
      <c r="AF902" s="4" t="s">
        <v>41</v>
      </c>
      <c r="AG902" s="4" t="s">
        <v>2061</v>
      </c>
    </row>
    <row r="903" spans="1:33" ht="16.5" customHeight="1" x14ac:dyDescent="0.2">
      <c r="A903" s="2" t="s">
        <v>31</v>
      </c>
      <c r="B903" s="19" t="s">
        <v>50</v>
      </c>
      <c r="C903" s="19"/>
      <c r="D903" s="19"/>
      <c r="E903" s="20" t="s">
        <v>33</v>
      </c>
      <c r="F903" s="20"/>
      <c r="G903" s="21" t="s">
        <v>2058</v>
      </c>
      <c r="H903" s="21"/>
      <c r="I903" s="21"/>
      <c r="J903" s="3" t="s">
        <v>35</v>
      </c>
      <c r="K903" s="4" t="s">
        <v>247</v>
      </c>
      <c r="L903" s="4" t="s">
        <v>68</v>
      </c>
      <c r="N903" s="21" t="s">
        <v>2064</v>
      </c>
      <c r="O903" s="21"/>
      <c r="P903" s="21" t="s">
        <v>2065</v>
      </c>
      <c r="Q903" s="21"/>
      <c r="R903" s="21"/>
      <c r="S903" s="3" t="s">
        <v>40</v>
      </c>
      <c r="T903" s="21" t="s">
        <v>41</v>
      </c>
      <c r="U903" s="21"/>
      <c r="V903" s="4" t="s">
        <v>42</v>
      </c>
      <c r="W903" s="4" t="s">
        <v>54</v>
      </c>
      <c r="X903" s="4" t="s">
        <v>55</v>
      </c>
      <c r="Y903" s="21" t="s">
        <v>65</v>
      </c>
      <c r="Z903" s="21"/>
      <c r="AA903" s="4" t="s">
        <v>46</v>
      </c>
      <c r="AB903" s="4" t="s">
        <v>47</v>
      </c>
      <c r="AC903" s="4" t="s">
        <v>66</v>
      </c>
      <c r="AD903" s="4" t="s">
        <v>69</v>
      </c>
      <c r="AE903" s="4" t="s">
        <v>48</v>
      </c>
      <c r="AF903" s="4" t="s">
        <v>41</v>
      </c>
      <c r="AG903" s="4" t="s">
        <v>2061</v>
      </c>
    </row>
    <row r="904" spans="1:33" ht="16.5" customHeight="1" x14ac:dyDescent="0.2">
      <c r="A904" s="2" t="s">
        <v>31</v>
      </c>
      <c r="B904" s="19" t="s">
        <v>50</v>
      </c>
      <c r="C904" s="19"/>
      <c r="D904" s="19"/>
      <c r="E904" s="20" t="s">
        <v>33</v>
      </c>
      <c r="F904" s="20"/>
      <c r="G904" s="21" t="s">
        <v>2058</v>
      </c>
      <c r="H904" s="21"/>
      <c r="I904" s="21"/>
      <c r="J904" s="3" t="s">
        <v>35</v>
      </c>
      <c r="K904" s="4" t="s">
        <v>204</v>
      </c>
      <c r="L904" s="4" t="s">
        <v>37</v>
      </c>
      <c r="N904" s="21" t="s">
        <v>2066</v>
      </c>
      <c r="O904" s="21"/>
      <c r="P904" s="21" t="s">
        <v>2067</v>
      </c>
      <c r="Q904" s="21"/>
      <c r="R904" s="21"/>
      <c r="S904" s="3" t="s">
        <v>40</v>
      </c>
      <c r="T904" s="21" t="s">
        <v>41</v>
      </c>
      <c r="U904" s="21"/>
      <c r="V904" s="4" t="s">
        <v>42</v>
      </c>
      <c r="W904" s="4" t="s">
        <v>130</v>
      </c>
      <c r="X904" s="4" t="s">
        <v>60</v>
      </c>
      <c r="Y904" s="21" t="s">
        <v>198</v>
      </c>
      <c r="Z904" s="21"/>
      <c r="AA904" s="4" t="s">
        <v>46</v>
      </c>
      <c r="AB904" s="4" t="s">
        <v>47</v>
      </c>
      <c r="AC904" s="4" t="s">
        <v>139</v>
      </c>
      <c r="AD904" s="4" t="s">
        <v>140</v>
      </c>
      <c r="AE904" s="4" t="s">
        <v>48</v>
      </c>
      <c r="AF904" s="4" t="s">
        <v>41</v>
      </c>
      <c r="AG904" s="4" t="s">
        <v>2061</v>
      </c>
    </row>
    <row r="905" spans="1:33" ht="16.5" customHeight="1" x14ac:dyDescent="0.2">
      <c r="A905" s="2" t="s">
        <v>31</v>
      </c>
      <c r="B905" s="19" t="s">
        <v>50</v>
      </c>
      <c r="C905" s="19"/>
      <c r="D905" s="19"/>
      <c r="E905" s="20" t="s">
        <v>33</v>
      </c>
      <c r="F905" s="20"/>
      <c r="G905" s="21" t="s">
        <v>2058</v>
      </c>
      <c r="H905" s="21"/>
      <c r="I905" s="21"/>
      <c r="J905" s="3" t="s">
        <v>35</v>
      </c>
      <c r="K905" s="4" t="s">
        <v>383</v>
      </c>
      <c r="L905" s="4" t="s">
        <v>37</v>
      </c>
      <c r="N905" s="21" t="s">
        <v>2068</v>
      </c>
      <c r="O905" s="21"/>
      <c r="P905" s="21" t="s">
        <v>2069</v>
      </c>
      <c r="Q905" s="21"/>
      <c r="R905" s="21"/>
      <c r="S905" s="3" t="s">
        <v>40</v>
      </c>
      <c r="T905" s="21" t="s">
        <v>41</v>
      </c>
      <c r="U905" s="21"/>
      <c r="V905" s="4" t="s">
        <v>42</v>
      </c>
      <c r="W905" s="4" t="s">
        <v>157</v>
      </c>
      <c r="X905" s="4" t="s">
        <v>158</v>
      </c>
      <c r="Y905" s="21" t="s">
        <v>198</v>
      </c>
      <c r="Z905" s="21"/>
      <c r="AA905" s="4" t="s">
        <v>46</v>
      </c>
      <c r="AB905" s="4" t="s">
        <v>47</v>
      </c>
      <c r="AC905" s="4" t="s">
        <v>257</v>
      </c>
      <c r="AD905" s="4" t="s">
        <v>258</v>
      </c>
      <c r="AE905" s="4" t="s">
        <v>48</v>
      </c>
      <c r="AF905" s="4" t="s">
        <v>41</v>
      </c>
      <c r="AG905" s="4" t="s">
        <v>2061</v>
      </c>
    </row>
    <row r="906" spans="1:33" ht="16.5" customHeight="1" x14ac:dyDescent="0.2">
      <c r="A906" s="2" t="s">
        <v>31</v>
      </c>
      <c r="B906" s="19" t="s">
        <v>50</v>
      </c>
      <c r="C906" s="19"/>
      <c r="D906" s="19"/>
      <c r="E906" s="20" t="s">
        <v>33</v>
      </c>
      <c r="F906" s="20"/>
      <c r="G906" s="21" t="s">
        <v>2058</v>
      </c>
      <c r="H906" s="21"/>
      <c r="I906" s="21"/>
      <c r="J906" s="3" t="s">
        <v>35</v>
      </c>
      <c r="K906" s="4" t="s">
        <v>383</v>
      </c>
      <c r="L906" s="4" t="s">
        <v>37</v>
      </c>
      <c r="N906" s="21" t="s">
        <v>2068</v>
      </c>
      <c r="O906" s="21"/>
      <c r="P906" s="21" t="s">
        <v>2069</v>
      </c>
      <c r="Q906" s="21"/>
      <c r="R906" s="21"/>
      <c r="S906" s="3" t="s">
        <v>40</v>
      </c>
      <c r="T906" s="21" t="s">
        <v>41</v>
      </c>
      <c r="U906" s="21"/>
      <c r="V906" s="4" t="s">
        <v>59</v>
      </c>
      <c r="W906" s="4" t="s">
        <v>157</v>
      </c>
      <c r="X906" s="4" t="s">
        <v>172</v>
      </c>
      <c r="Y906" s="21" t="s">
        <v>198</v>
      </c>
      <c r="Z906" s="21"/>
      <c r="AA906" s="4" t="s">
        <v>46</v>
      </c>
      <c r="AB906" s="4" t="s">
        <v>47</v>
      </c>
      <c r="AC906" s="4" t="s">
        <v>257</v>
      </c>
      <c r="AD906" s="4" t="s">
        <v>258</v>
      </c>
      <c r="AE906" s="4" t="s">
        <v>48</v>
      </c>
      <c r="AF906" s="4" t="s">
        <v>41</v>
      </c>
      <c r="AG906" s="4" t="s">
        <v>2061</v>
      </c>
    </row>
    <row r="907" spans="1:33" ht="16.5" customHeight="1" x14ac:dyDescent="0.2">
      <c r="A907" s="2" t="s">
        <v>31</v>
      </c>
      <c r="B907" s="19" t="s">
        <v>50</v>
      </c>
      <c r="C907" s="19"/>
      <c r="D907" s="19"/>
      <c r="E907" s="20" t="s">
        <v>33</v>
      </c>
      <c r="F907" s="20"/>
      <c r="G907" s="21" t="s">
        <v>2058</v>
      </c>
      <c r="H907" s="21"/>
      <c r="I907" s="21"/>
      <c r="J907" s="3" t="s">
        <v>35</v>
      </c>
      <c r="K907" s="4" t="s">
        <v>169</v>
      </c>
      <c r="L907" s="4" t="s">
        <v>445</v>
      </c>
      <c r="N907" s="21" t="s">
        <v>2070</v>
      </c>
      <c r="O907" s="21"/>
      <c r="P907" s="21" t="s">
        <v>2071</v>
      </c>
      <c r="Q907" s="21"/>
      <c r="R907" s="21"/>
      <c r="S907" s="3" t="s">
        <v>40</v>
      </c>
      <c r="T907" s="21" t="s">
        <v>41</v>
      </c>
      <c r="U907" s="21"/>
      <c r="V907" s="4" t="s">
        <v>59</v>
      </c>
      <c r="W907" s="4" t="s">
        <v>202</v>
      </c>
      <c r="X907" s="4" t="s">
        <v>791</v>
      </c>
      <c r="Y907" s="21" t="s">
        <v>56</v>
      </c>
      <c r="Z907" s="21"/>
      <c r="AA907" s="4" t="s">
        <v>46</v>
      </c>
      <c r="AB907" s="4" t="s">
        <v>47</v>
      </c>
      <c r="AC907" s="4" t="s">
        <v>139</v>
      </c>
      <c r="AD907" s="4" t="s">
        <v>466</v>
      </c>
      <c r="AE907" s="4" t="s">
        <v>48</v>
      </c>
      <c r="AF907" s="4" t="s">
        <v>41</v>
      </c>
      <c r="AG907" s="4" t="s">
        <v>2061</v>
      </c>
    </row>
    <row r="908" spans="1:33" ht="16.5" customHeight="1" x14ac:dyDescent="0.2">
      <c r="A908" s="2" t="s">
        <v>31</v>
      </c>
      <c r="B908" s="19" t="s">
        <v>50</v>
      </c>
      <c r="C908" s="19"/>
      <c r="D908" s="19"/>
      <c r="E908" s="20" t="s">
        <v>33</v>
      </c>
      <c r="F908" s="20"/>
      <c r="G908" s="21" t="s">
        <v>2058</v>
      </c>
      <c r="H908" s="21"/>
      <c r="I908" s="21"/>
      <c r="J908" s="3" t="s">
        <v>35</v>
      </c>
      <c r="K908" s="4" t="s">
        <v>152</v>
      </c>
      <c r="L908" s="4" t="s">
        <v>37</v>
      </c>
      <c r="N908" s="21" t="s">
        <v>2072</v>
      </c>
      <c r="O908" s="21"/>
      <c r="P908" s="21" t="s">
        <v>2073</v>
      </c>
      <c r="Q908" s="21"/>
      <c r="R908" s="21"/>
      <c r="S908" s="3" t="s">
        <v>40</v>
      </c>
      <c r="T908" s="21" t="s">
        <v>41</v>
      </c>
      <c r="U908" s="21"/>
      <c r="V908" s="4" t="s">
        <v>42</v>
      </c>
      <c r="W908" s="4" t="s">
        <v>161</v>
      </c>
      <c r="X908" s="4" t="s">
        <v>162</v>
      </c>
      <c r="Y908" s="21" t="s">
        <v>56</v>
      </c>
      <c r="Z908" s="21"/>
      <c r="AA908" s="4" t="s">
        <v>46</v>
      </c>
      <c r="AB908" s="4" t="s">
        <v>47</v>
      </c>
      <c r="AC908" s="4" t="s">
        <v>139</v>
      </c>
      <c r="AD908" s="4" t="s">
        <v>140</v>
      </c>
      <c r="AE908" s="4" t="s">
        <v>48</v>
      </c>
      <c r="AF908" s="4" t="s">
        <v>41</v>
      </c>
      <c r="AG908" s="4" t="s">
        <v>2061</v>
      </c>
    </row>
    <row r="909" spans="1:33" ht="16.5" customHeight="1" x14ac:dyDescent="0.2">
      <c r="A909" s="2" t="s">
        <v>31</v>
      </c>
      <c r="B909" s="19" t="s">
        <v>50</v>
      </c>
      <c r="C909" s="19"/>
      <c r="D909" s="19"/>
      <c r="E909" s="20" t="s">
        <v>33</v>
      </c>
      <c r="F909" s="20"/>
      <c r="G909" s="21" t="s">
        <v>2058</v>
      </c>
      <c r="H909" s="21"/>
      <c r="I909" s="21"/>
      <c r="J909" s="3" t="s">
        <v>35</v>
      </c>
      <c r="K909" s="4" t="s">
        <v>169</v>
      </c>
      <c r="L909" s="4" t="s">
        <v>278</v>
      </c>
      <c r="N909" s="21" t="s">
        <v>2074</v>
      </c>
      <c r="O909" s="21"/>
      <c r="P909" s="21" t="s">
        <v>2075</v>
      </c>
      <c r="Q909" s="21"/>
      <c r="R909" s="21"/>
      <c r="S909" s="3" t="s">
        <v>40</v>
      </c>
      <c r="T909" s="21" t="s">
        <v>41</v>
      </c>
      <c r="U909" s="21"/>
      <c r="V909" s="4" t="s">
        <v>59</v>
      </c>
      <c r="W909" s="4" t="s">
        <v>234</v>
      </c>
      <c r="X909" s="4" t="s">
        <v>339</v>
      </c>
      <c r="Y909" s="21" t="s">
        <v>56</v>
      </c>
      <c r="Z909" s="21"/>
      <c r="AA909" s="4" t="s">
        <v>46</v>
      </c>
      <c r="AB909" s="4" t="s">
        <v>47</v>
      </c>
      <c r="AC909" s="4" t="s">
        <v>139</v>
      </c>
      <c r="AD909" s="4" t="s">
        <v>69</v>
      </c>
      <c r="AE909" s="4" t="s">
        <v>48</v>
      </c>
      <c r="AF909" s="4" t="s">
        <v>41</v>
      </c>
      <c r="AG909" s="4" t="s">
        <v>2061</v>
      </c>
    </row>
    <row r="910" spans="1:33" ht="16.5" customHeight="1" x14ac:dyDescent="0.2">
      <c r="A910" s="2" t="s">
        <v>31</v>
      </c>
      <c r="B910" s="19" t="s">
        <v>50</v>
      </c>
      <c r="C910" s="19"/>
      <c r="D910" s="19"/>
      <c r="E910" s="20" t="s">
        <v>33</v>
      </c>
      <c r="F910" s="20"/>
      <c r="G910" s="21" t="s">
        <v>2058</v>
      </c>
      <c r="H910" s="21"/>
      <c r="I910" s="21"/>
      <c r="J910" s="3" t="s">
        <v>35</v>
      </c>
      <c r="K910" s="4" t="s">
        <v>74</v>
      </c>
      <c r="L910" s="4" t="s">
        <v>37</v>
      </c>
      <c r="N910" s="21" t="s">
        <v>2076</v>
      </c>
      <c r="O910" s="21"/>
      <c r="P910" s="21" t="s">
        <v>2077</v>
      </c>
      <c r="Q910" s="21"/>
      <c r="R910" s="21"/>
      <c r="S910" s="3" t="s">
        <v>40</v>
      </c>
      <c r="T910" s="21" t="s">
        <v>41</v>
      </c>
      <c r="U910" s="21"/>
      <c r="V910" s="4" t="s">
        <v>59</v>
      </c>
      <c r="W910" s="4" t="s">
        <v>410</v>
      </c>
      <c r="X910" s="4" t="s">
        <v>560</v>
      </c>
      <c r="Y910" s="21" t="s">
        <v>65</v>
      </c>
      <c r="Z910" s="21"/>
      <c r="AA910" s="4" t="s">
        <v>46</v>
      </c>
      <c r="AB910" s="4" t="s">
        <v>47</v>
      </c>
      <c r="AC910" s="4" t="s">
        <v>57</v>
      </c>
      <c r="AD910" s="4" t="s">
        <v>58</v>
      </c>
      <c r="AE910" s="4" t="s">
        <v>48</v>
      </c>
      <c r="AF910" s="4" t="s">
        <v>41</v>
      </c>
      <c r="AG910" s="4" t="s">
        <v>2061</v>
      </c>
    </row>
    <row r="911" spans="1:33" ht="16.5" customHeight="1" x14ac:dyDescent="0.2">
      <c r="A911" s="2" t="s">
        <v>31</v>
      </c>
      <c r="B911" s="19" t="s">
        <v>50</v>
      </c>
      <c r="C911" s="19"/>
      <c r="D911" s="19"/>
      <c r="E911" s="20" t="s">
        <v>33</v>
      </c>
      <c r="F911" s="20"/>
      <c r="G911" s="21" t="s">
        <v>2058</v>
      </c>
      <c r="H911" s="21"/>
      <c r="I911" s="21"/>
      <c r="J911" s="3" t="s">
        <v>35</v>
      </c>
      <c r="K911" s="4" t="s">
        <v>204</v>
      </c>
      <c r="L911" s="4" t="s">
        <v>68</v>
      </c>
      <c r="N911" s="21" t="s">
        <v>2078</v>
      </c>
      <c r="O911" s="21"/>
      <c r="P911" s="21" t="s">
        <v>2079</v>
      </c>
      <c r="Q911" s="21"/>
      <c r="R911" s="21"/>
      <c r="S911" s="3" t="s">
        <v>40</v>
      </c>
      <c r="T911" s="21" t="s">
        <v>41</v>
      </c>
      <c r="U911" s="21"/>
      <c r="V911" s="4" t="s">
        <v>42</v>
      </c>
      <c r="W911" s="4" t="s">
        <v>54</v>
      </c>
      <c r="X911" s="4" t="s">
        <v>55</v>
      </c>
      <c r="Y911" s="21" t="s">
        <v>198</v>
      </c>
      <c r="Z911" s="21"/>
      <c r="AA911" s="4" t="s">
        <v>46</v>
      </c>
      <c r="AB911" s="4" t="s">
        <v>47</v>
      </c>
      <c r="AC911" s="4" t="s">
        <v>139</v>
      </c>
      <c r="AD911" s="4" t="s">
        <v>151</v>
      </c>
      <c r="AE911" s="4" t="s">
        <v>48</v>
      </c>
      <c r="AF911" s="4" t="s">
        <v>41</v>
      </c>
      <c r="AG911" s="4" t="s">
        <v>2061</v>
      </c>
    </row>
    <row r="912" spans="1:33" ht="16.5" customHeight="1" x14ac:dyDescent="0.2">
      <c r="A912" s="2" t="s">
        <v>31</v>
      </c>
      <c r="B912" s="19" t="s">
        <v>50</v>
      </c>
      <c r="C912" s="19"/>
      <c r="D912" s="19"/>
      <c r="E912" s="20" t="s">
        <v>33</v>
      </c>
      <c r="F912" s="20"/>
      <c r="G912" s="21" t="s">
        <v>2058</v>
      </c>
      <c r="H912" s="21"/>
      <c r="I912" s="21"/>
      <c r="J912" s="3" t="s">
        <v>35</v>
      </c>
      <c r="K912" s="4" t="s">
        <v>61</v>
      </c>
      <c r="L912" s="4" t="s">
        <v>37</v>
      </c>
      <c r="N912" s="21" t="s">
        <v>2080</v>
      </c>
      <c r="O912" s="21"/>
      <c r="P912" s="21" t="s">
        <v>2081</v>
      </c>
      <c r="Q912" s="21"/>
      <c r="R912" s="21"/>
      <c r="S912" s="3" t="s">
        <v>40</v>
      </c>
      <c r="T912" s="21" t="s">
        <v>41</v>
      </c>
      <c r="U912" s="21"/>
      <c r="V912" s="4" t="s">
        <v>42</v>
      </c>
      <c r="W912" s="4" t="s">
        <v>217</v>
      </c>
      <c r="X912" s="4" t="s">
        <v>218</v>
      </c>
      <c r="Y912" s="21" t="s">
        <v>65</v>
      </c>
      <c r="Z912" s="21"/>
      <c r="AA912" s="4" t="s">
        <v>46</v>
      </c>
      <c r="AB912" s="4" t="s">
        <v>47</v>
      </c>
      <c r="AC912" s="4" t="s">
        <v>57</v>
      </c>
      <c r="AD912" s="4" t="s">
        <v>58</v>
      </c>
      <c r="AE912" s="4" t="s">
        <v>48</v>
      </c>
      <c r="AF912" s="4" t="s">
        <v>41</v>
      </c>
      <c r="AG912" s="4" t="s">
        <v>2061</v>
      </c>
    </row>
    <row r="913" spans="1:33" ht="16.5" customHeight="1" x14ac:dyDescent="0.2">
      <c r="A913" s="2" t="s">
        <v>31</v>
      </c>
      <c r="B913" s="19" t="s">
        <v>50</v>
      </c>
      <c r="C913" s="19"/>
      <c r="D913" s="19"/>
      <c r="E913" s="20" t="s">
        <v>33</v>
      </c>
      <c r="F913" s="20"/>
      <c r="G913" s="21" t="s">
        <v>2058</v>
      </c>
      <c r="H913" s="21"/>
      <c r="I913" s="21"/>
      <c r="J913" s="3" t="s">
        <v>35</v>
      </c>
      <c r="K913" s="4" t="s">
        <v>61</v>
      </c>
      <c r="L913" s="4" t="s">
        <v>37</v>
      </c>
      <c r="N913" s="21" t="s">
        <v>2082</v>
      </c>
      <c r="O913" s="21"/>
      <c r="P913" s="21" t="s">
        <v>2083</v>
      </c>
      <c r="Q913" s="21"/>
      <c r="R913" s="21"/>
      <c r="S913" s="3" t="s">
        <v>40</v>
      </c>
      <c r="T913" s="21" t="s">
        <v>41</v>
      </c>
      <c r="U913" s="21"/>
      <c r="V913" s="4" t="s">
        <v>42</v>
      </c>
      <c r="W913" s="4" t="s">
        <v>2084</v>
      </c>
      <c r="X913" s="4" t="s">
        <v>2085</v>
      </c>
      <c r="Y913" s="21" t="s">
        <v>65</v>
      </c>
      <c r="Z913" s="21"/>
      <c r="AA913" s="4" t="s">
        <v>46</v>
      </c>
      <c r="AB913" s="4" t="s">
        <v>47</v>
      </c>
      <c r="AC913" s="4" t="s">
        <v>81</v>
      </c>
      <c r="AD913" s="4" t="s">
        <v>41</v>
      </c>
      <c r="AE913" s="4" t="s">
        <v>48</v>
      </c>
      <c r="AF913" s="4" t="s">
        <v>41</v>
      </c>
      <c r="AG913" s="4" t="s">
        <v>2061</v>
      </c>
    </row>
    <row r="914" spans="1:33" ht="16.5" customHeight="1" x14ac:dyDescent="0.2">
      <c r="A914" s="2" t="s">
        <v>31</v>
      </c>
      <c r="B914" s="19" t="s">
        <v>50</v>
      </c>
      <c r="C914" s="19"/>
      <c r="D914" s="19"/>
      <c r="E914" s="20" t="s">
        <v>33</v>
      </c>
      <c r="F914" s="20"/>
      <c r="G914" s="21" t="s">
        <v>2058</v>
      </c>
      <c r="H914" s="21"/>
      <c r="I914" s="21"/>
      <c r="J914" s="3" t="s">
        <v>35</v>
      </c>
      <c r="K914" s="4" t="s">
        <v>61</v>
      </c>
      <c r="L914" s="4" t="s">
        <v>278</v>
      </c>
      <c r="N914" s="21" t="s">
        <v>2086</v>
      </c>
      <c r="O914" s="21"/>
      <c r="P914" s="21" t="s">
        <v>2087</v>
      </c>
      <c r="Q914" s="21"/>
      <c r="R914" s="21"/>
      <c r="S914" s="3" t="s">
        <v>40</v>
      </c>
      <c r="T914" s="21" t="s">
        <v>41</v>
      </c>
      <c r="U914" s="21"/>
      <c r="V914" s="4" t="s">
        <v>42</v>
      </c>
      <c r="W914" s="4" t="s">
        <v>213</v>
      </c>
      <c r="X914" s="4" t="s">
        <v>531</v>
      </c>
      <c r="Y914" s="21" t="s">
        <v>65</v>
      </c>
      <c r="Z914" s="21"/>
      <c r="AA914" s="4" t="s">
        <v>46</v>
      </c>
      <c r="AB914" s="4" t="s">
        <v>47</v>
      </c>
      <c r="AC914" s="4" t="s">
        <v>57</v>
      </c>
      <c r="AD914" s="4" t="s">
        <v>283</v>
      </c>
      <c r="AE914" s="4" t="s">
        <v>48</v>
      </c>
      <c r="AF914" s="4" t="s">
        <v>41</v>
      </c>
      <c r="AG914" s="4" t="s">
        <v>2061</v>
      </c>
    </row>
    <row r="915" spans="1:33" ht="16.5" customHeight="1" x14ac:dyDescent="0.2">
      <c r="A915" s="2" t="s">
        <v>31</v>
      </c>
      <c r="B915" s="19" t="s">
        <v>50</v>
      </c>
      <c r="C915" s="19"/>
      <c r="D915" s="19"/>
      <c r="E915" s="20" t="s">
        <v>33</v>
      </c>
      <c r="F915" s="20"/>
      <c r="G915" s="21" t="s">
        <v>2058</v>
      </c>
      <c r="H915" s="21"/>
      <c r="I915" s="21"/>
      <c r="J915" s="3" t="s">
        <v>35</v>
      </c>
      <c r="K915" s="4" t="s">
        <v>247</v>
      </c>
      <c r="L915" s="4" t="s">
        <v>37</v>
      </c>
      <c r="N915" s="21" t="s">
        <v>2088</v>
      </c>
      <c r="O915" s="21"/>
      <c r="P915" s="21" t="s">
        <v>2089</v>
      </c>
      <c r="Q915" s="21"/>
      <c r="R915" s="21"/>
      <c r="S915" s="3" t="s">
        <v>40</v>
      </c>
      <c r="T915" s="21" t="s">
        <v>41</v>
      </c>
      <c r="U915" s="21"/>
      <c r="V915" s="4" t="s">
        <v>42</v>
      </c>
      <c r="W915" s="4" t="s">
        <v>130</v>
      </c>
      <c r="X915" s="4" t="s">
        <v>60</v>
      </c>
      <c r="Y915" s="21" t="s">
        <v>65</v>
      </c>
      <c r="Z915" s="21"/>
      <c r="AA915" s="4" t="s">
        <v>46</v>
      </c>
      <c r="AB915" s="4" t="s">
        <v>47</v>
      </c>
      <c r="AC915" s="4" t="s">
        <v>66</v>
      </c>
      <c r="AD915" s="4" t="s">
        <v>73</v>
      </c>
      <c r="AE915" s="4" t="s">
        <v>48</v>
      </c>
      <c r="AF915" s="4" t="s">
        <v>41</v>
      </c>
      <c r="AG915" s="4" t="s">
        <v>2061</v>
      </c>
    </row>
    <row r="916" spans="1:33" ht="16.5" customHeight="1" x14ac:dyDescent="0.2">
      <c r="A916" s="2" t="s">
        <v>31</v>
      </c>
      <c r="B916" s="19" t="s">
        <v>50</v>
      </c>
      <c r="C916" s="19"/>
      <c r="D916" s="19"/>
      <c r="E916" s="20" t="s">
        <v>33</v>
      </c>
      <c r="F916" s="20"/>
      <c r="G916" s="21" t="s">
        <v>2058</v>
      </c>
      <c r="H916" s="21"/>
      <c r="I916" s="21"/>
      <c r="J916" s="3" t="s">
        <v>35</v>
      </c>
      <c r="K916" s="4" t="s">
        <v>133</v>
      </c>
      <c r="L916" s="4" t="s">
        <v>37</v>
      </c>
      <c r="N916" s="21" t="s">
        <v>2090</v>
      </c>
      <c r="O916" s="21"/>
      <c r="P916" s="21" t="s">
        <v>2091</v>
      </c>
      <c r="Q916" s="21"/>
      <c r="R916" s="21"/>
      <c r="S916" s="3" t="s">
        <v>40</v>
      </c>
      <c r="T916" s="21" t="s">
        <v>41</v>
      </c>
      <c r="U916" s="21"/>
      <c r="V916" s="4" t="s">
        <v>42</v>
      </c>
      <c r="W916" s="4" t="s">
        <v>229</v>
      </c>
      <c r="X916" s="4" t="s">
        <v>448</v>
      </c>
      <c r="Y916" s="21" t="s">
        <v>138</v>
      </c>
      <c r="Z916" s="21"/>
      <c r="AA916" s="4" t="s">
        <v>46</v>
      </c>
      <c r="AB916" s="4" t="s">
        <v>47</v>
      </c>
      <c r="AC916" s="4" t="s">
        <v>139</v>
      </c>
      <c r="AD916" s="4" t="s">
        <v>140</v>
      </c>
      <c r="AE916" s="4" t="s">
        <v>48</v>
      </c>
      <c r="AF916" s="4" t="s">
        <v>41</v>
      </c>
      <c r="AG916" s="4" t="s">
        <v>2061</v>
      </c>
    </row>
    <row r="917" spans="1:33" ht="16.5" customHeight="1" x14ac:dyDescent="0.2">
      <c r="A917" s="2" t="s">
        <v>31</v>
      </c>
      <c r="B917" s="19" t="s">
        <v>50</v>
      </c>
      <c r="C917" s="19"/>
      <c r="D917" s="19"/>
      <c r="E917" s="20" t="s">
        <v>33</v>
      </c>
      <c r="F917" s="20"/>
      <c r="G917" s="21" t="s">
        <v>2058</v>
      </c>
      <c r="H917" s="21"/>
      <c r="I917" s="21"/>
      <c r="J917" s="3" t="s">
        <v>35</v>
      </c>
      <c r="K917" s="4" t="s">
        <v>661</v>
      </c>
      <c r="L917" s="4" t="s">
        <v>37</v>
      </c>
      <c r="N917" s="21" t="s">
        <v>2092</v>
      </c>
      <c r="O917" s="21"/>
      <c r="P917" s="21" t="s">
        <v>2093</v>
      </c>
      <c r="Q917" s="21"/>
      <c r="R917" s="21"/>
      <c r="S917" s="3" t="s">
        <v>40</v>
      </c>
      <c r="T917" s="21" t="s">
        <v>41</v>
      </c>
      <c r="U917" s="21"/>
      <c r="V917" s="4" t="s">
        <v>42</v>
      </c>
      <c r="W917" s="4" t="s">
        <v>94</v>
      </c>
      <c r="X917" s="4" t="s">
        <v>95</v>
      </c>
      <c r="Y917" s="21" t="s">
        <v>198</v>
      </c>
      <c r="Z917" s="21"/>
      <c r="AA917" s="4" t="s">
        <v>46</v>
      </c>
      <c r="AB917" s="4" t="s">
        <v>47</v>
      </c>
      <c r="AC917" s="4" t="s">
        <v>139</v>
      </c>
      <c r="AD917" s="4" t="s">
        <v>140</v>
      </c>
      <c r="AE917" s="4" t="s">
        <v>48</v>
      </c>
      <c r="AF917" s="4" t="s">
        <v>41</v>
      </c>
      <c r="AG917" s="4" t="s">
        <v>2061</v>
      </c>
    </row>
    <row r="918" spans="1:33" ht="16.5" customHeight="1" x14ac:dyDescent="0.2">
      <c r="A918" s="2" t="s">
        <v>31</v>
      </c>
      <c r="B918" s="19" t="s">
        <v>50</v>
      </c>
      <c r="C918" s="19"/>
      <c r="D918" s="19"/>
      <c r="E918" s="20" t="s">
        <v>33</v>
      </c>
      <c r="F918" s="20"/>
      <c r="G918" s="21" t="s">
        <v>2058</v>
      </c>
      <c r="H918" s="21"/>
      <c r="I918" s="21"/>
      <c r="J918" s="3" t="s">
        <v>35</v>
      </c>
      <c r="K918" s="4" t="s">
        <v>661</v>
      </c>
      <c r="L918" s="4" t="s">
        <v>37</v>
      </c>
      <c r="N918" s="21" t="s">
        <v>2092</v>
      </c>
      <c r="O918" s="21"/>
      <c r="P918" s="21" t="s">
        <v>2093</v>
      </c>
      <c r="Q918" s="21"/>
      <c r="R918" s="21"/>
      <c r="S918" s="3" t="s">
        <v>40</v>
      </c>
      <c r="T918" s="21" t="s">
        <v>41</v>
      </c>
      <c r="U918" s="21"/>
      <c r="V918" s="4" t="s">
        <v>59</v>
      </c>
      <c r="W918" s="4" t="s">
        <v>94</v>
      </c>
      <c r="X918" s="4" t="s">
        <v>105</v>
      </c>
      <c r="Y918" s="21" t="s">
        <v>198</v>
      </c>
      <c r="Z918" s="21"/>
      <c r="AA918" s="4" t="s">
        <v>46</v>
      </c>
      <c r="AB918" s="4" t="s">
        <v>47</v>
      </c>
      <c r="AC918" s="4" t="s">
        <v>139</v>
      </c>
      <c r="AD918" s="4" t="s">
        <v>140</v>
      </c>
      <c r="AE918" s="4" t="s">
        <v>48</v>
      </c>
      <c r="AF918" s="4" t="s">
        <v>41</v>
      </c>
      <c r="AG918" s="4" t="s">
        <v>2061</v>
      </c>
    </row>
    <row r="919" spans="1:33" ht="16.5" customHeight="1" x14ac:dyDescent="0.2">
      <c r="A919" s="2" t="s">
        <v>31</v>
      </c>
      <c r="B919" s="19" t="s">
        <v>50</v>
      </c>
      <c r="C919" s="19"/>
      <c r="D919" s="19"/>
      <c r="E919" s="20" t="s">
        <v>33</v>
      </c>
      <c r="F919" s="20"/>
      <c r="G919" s="21" t="s">
        <v>2058</v>
      </c>
      <c r="H919" s="21"/>
      <c r="I919" s="21"/>
      <c r="J919" s="3" t="s">
        <v>35</v>
      </c>
      <c r="K919" s="4" t="s">
        <v>51</v>
      </c>
      <c r="L919" s="4" t="s">
        <v>37</v>
      </c>
      <c r="N919" s="21" t="s">
        <v>2094</v>
      </c>
      <c r="O919" s="21"/>
      <c r="P919" s="21" t="s">
        <v>2095</v>
      </c>
      <c r="Q919" s="21"/>
      <c r="R919" s="21"/>
      <c r="S919" s="3" t="s">
        <v>40</v>
      </c>
      <c r="T919" s="21" t="s">
        <v>41</v>
      </c>
      <c r="U919" s="21"/>
      <c r="V919" s="4" t="s">
        <v>42</v>
      </c>
      <c r="W919" s="4" t="s">
        <v>149</v>
      </c>
      <c r="X919" s="4" t="s">
        <v>150</v>
      </c>
      <c r="Y919" s="21" t="s">
        <v>56</v>
      </c>
      <c r="Z919" s="21"/>
      <c r="AA919" s="4" t="s">
        <v>46</v>
      </c>
      <c r="AB919" s="4" t="s">
        <v>47</v>
      </c>
      <c r="AC919" s="4" t="s">
        <v>139</v>
      </c>
      <c r="AD919" s="4" t="s">
        <v>140</v>
      </c>
      <c r="AE919" s="4" t="s">
        <v>48</v>
      </c>
      <c r="AF919" s="4" t="s">
        <v>41</v>
      </c>
      <c r="AG919" s="4" t="s">
        <v>2061</v>
      </c>
    </row>
    <row r="920" spans="1:33" ht="16.5" customHeight="1" x14ac:dyDescent="0.2">
      <c r="A920" s="2" t="s">
        <v>31</v>
      </c>
      <c r="B920" s="19" t="s">
        <v>50</v>
      </c>
      <c r="C920" s="19"/>
      <c r="D920" s="19"/>
      <c r="E920" s="20" t="s">
        <v>33</v>
      </c>
      <c r="F920" s="20"/>
      <c r="G920" s="21" t="s">
        <v>2058</v>
      </c>
      <c r="H920" s="21"/>
      <c r="I920" s="21"/>
      <c r="J920" s="3" t="s">
        <v>35</v>
      </c>
      <c r="K920" s="4" t="s">
        <v>82</v>
      </c>
      <c r="L920" s="4" t="s">
        <v>68</v>
      </c>
      <c r="N920" s="21" t="s">
        <v>2096</v>
      </c>
      <c r="O920" s="21"/>
      <c r="P920" s="21" t="s">
        <v>2097</v>
      </c>
      <c r="Q920" s="21"/>
      <c r="R920" s="21"/>
      <c r="S920" s="3" t="s">
        <v>40</v>
      </c>
      <c r="T920" s="21" t="s">
        <v>41</v>
      </c>
      <c r="U920" s="21"/>
      <c r="V920" s="4" t="s">
        <v>42</v>
      </c>
      <c r="W920" s="4" t="s">
        <v>776</v>
      </c>
      <c r="X920" s="4" t="s">
        <v>230</v>
      </c>
      <c r="Y920" s="21" t="s">
        <v>56</v>
      </c>
      <c r="Z920" s="21"/>
      <c r="AA920" s="4" t="s">
        <v>46</v>
      </c>
      <c r="AB920" s="4" t="s">
        <v>47</v>
      </c>
      <c r="AC920" s="4" t="s">
        <v>139</v>
      </c>
      <c r="AD920" s="4" t="s">
        <v>151</v>
      </c>
      <c r="AE920" s="4" t="s">
        <v>48</v>
      </c>
      <c r="AF920" s="4" t="s">
        <v>41</v>
      </c>
      <c r="AG920" s="4" t="s">
        <v>2061</v>
      </c>
    </row>
    <row r="921" spans="1:33" ht="16.5" customHeight="1" x14ac:dyDescent="0.2">
      <c r="A921" s="2" t="s">
        <v>31</v>
      </c>
      <c r="B921" s="19" t="s">
        <v>50</v>
      </c>
      <c r="C921" s="19"/>
      <c r="D921" s="19"/>
      <c r="E921" s="20" t="s">
        <v>33</v>
      </c>
      <c r="F921" s="20"/>
      <c r="G921" s="21" t="s">
        <v>2058</v>
      </c>
      <c r="H921" s="21"/>
      <c r="I921" s="21"/>
      <c r="J921" s="3" t="s">
        <v>35</v>
      </c>
      <c r="K921" s="4" t="s">
        <v>146</v>
      </c>
      <c r="L921" s="4" t="s">
        <v>37</v>
      </c>
      <c r="N921" s="21" t="s">
        <v>2098</v>
      </c>
      <c r="O921" s="21"/>
      <c r="P921" s="21" t="s">
        <v>2099</v>
      </c>
      <c r="Q921" s="21"/>
      <c r="R921" s="21"/>
      <c r="S921" s="3" t="s">
        <v>40</v>
      </c>
      <c r="T921" s="21" t="s">
        <v>41</v>
      </c>
      <c r="U921" s="21"/>
      <c r="V921" s="4" t="s">
        <v>42</v>
      </c>
      <c r="W921" s="4" t="s">
        <v>333</v>
      </c>
      <c r="X921" s="4" t="s">
        <v>334</v>
      </c>
      <c r="Y921" s="21" t="s">
        <v>138</v>
      </c>
      <c r="Z921" s="21"/>
      <c r="AA921" s="4" t="s">
        <v>46</v>
      </c>
      <c r="AB921" s="4" t="s">
        <v>47</v>
      </c>
      <c r="AC921" s="4" t="s">
        <v>139</v>
      </c>
      <c r="AD921" s="4" t="s">
        <v>140</v>
      </c>
      <c r="AE921" s="4" t="s">
        <v>48</v>
      </c>
      <c r="AF921" s="4" t="s">
        <v>41</v>
      </c>
      <c r="AG921" s="4" t="s">
        <v>2061</v>
      </c>
    </row>
    <row r="922" spans="1:33" ht="16.5" customHeight="1" x14ac:dyDescent="0.2">
      <c r="A922" s="2" t="s">
        <v>31</v>
      </c>
      <c r="B922" s="19" t="s">
        <v>50</v>
      </c>
      <c r="C922" s="19"/>
      <c r="D922" s="19"/>
      <c r="E922" s="20" t="s">
        <v>33</v>
      </c>
      <c r="F922" s="20"/>
      <c r="G922" s="21" t="s">
        <v>2058</v>
      </c>
      <c r="H922" s="21"/>
      <c r="I922" s="21"/>
      <c r="J922" s="3" t="s">
        <v>35</v>
      </c>
      <c r="K922" s="4" t="s">
        <v>146</v>
      </c>
      <c r="L922" s="4" t="s">
        <v>37</v>
      </c>
      <c r="N922" s="21" t="s">
        <v>2100</v>
      </c>
      <c r="O922" s="21"/>
      <c r="P922" s="21" t="s">
        <v>2101</v>
      </c>
      <c r="Q922" s="21"/>
      <c r="R922" s="21"/>
      <c r="S922" s="3" t="s">
        <v>40</v>
      </c>
      <c r="T922" s="21" t="s">
        <v>41</v>
      </c>
      <c r="U922" s="21"/>
      <c r="V922" s="4" t="s">
        <v>42</v>
      </c>
      <c r="W922" s="4" t="s">
        <v>567</v>
      </c>
      <c r="X922" s="4" t="s">
        <v>568</v>
      </c>
      <c r="Y922" s="21" t="s">
        <v>138</v>
      </c>
      <c r="Z922" s="21"/>
      <c r="AA922" s="4" t="s">
        <v>46</v>
      </c>
      <c r="AB922" s="4" t="s">
        <v>47</v>
      </c>
      <c r="AC922" s="4" t="s">
        <v>139</v>
      </c>
      <c r="AD922" s="4" t="s">
        <v>140</v>
      </c>
      <c r="AE922" s="4" t="s">
        <v>48</v>
      </c>
      <c r="AF922" s="4" t="s">
        <v>41</v>
      </c>
      <c r="AG922" s="4" t="s">
        <v>2061</v>
      </c>
    </row>
    <row r="923" spans="1:33" ht="16.5" customHeight="1" x14ac:dyDescent="0.2">
      <c r="A923" s="2" t="s">
        <v>31</v>
      </c>
      <c r="B923" s="19" t="s">
        <v>50</v>
      </c>
      <c r="C923" s="19"/>
      <c r="D923" s="19"/>
      <c r="E923" s="20" t="s">
        <v>33</v>
      </c>
      <c r="F923" s="20"/>
      <c r="G923" s="21" t="s">
        <v>2058</v>
      </c>
      <c r="H923" s="21"/>
      <c r="I923" s="21"/>
      <c r="J923" s="3" t="s">
        <v>35</v>
      </c>
      <c r="K923" s="4" t="s">
        <v>152</v>
      </c>
      <c r="L923" s="4" t="s">
        <v>37</v>
      </c>
      <c r="N923" s="21" t="s">
        <v>2102</v>
      </c>
      <c r="O923" s="21"/>
      <c r="P923" s="21" t="s">
        <v>2103</v>
      </c>
      <c r="Q923" s="21"/>
      <c r="R923" s="21"/>
      <c r="S923" s="3" t="s">
        <v>40</v>
      </c>
      <c r="T923" s="21" t="s">
        <v>41</v>
      </c>
      <c r="U923" s="21"/>
      <c r="V923" s="4" t="s">
        <v>42</v>
      </c>
      <c r="W923" s="4" t="s">
        <v>157</v>
      </c>
      <c r="X923" s="4" t="s">
        <v>158</v>
      </c>
      <c r="Y923" s="21" t="s">
        <v>56</v>
      </c>
      <c r="Z923" s="21"/>
      <c r="AA923" s="4" t="s">
        <v>46</v>
      </c>
      <c r="AB923" s="4" t="s">
        <v>47</v>
      </c>
      <c r="AC923" s="4" t="s">
        <v>139</v>
      </c>
      <c r="AD923" s="4" t="s">
        <v>140</v>
      </c>
      <c r="AE923" s="4" t="s">
        <v>48</v>
      </c>
      <c r="AF923" s="4" t="s">
        <v>41</v>
      </c>
      <c r="AG923" s="4" t="s">
        <v>2061</v>
      </c>
    </row>
    <row r="924" spans="1:33" ht="16.5" customHeight="1" x14ac:dyDescent="0.2">
      <c r="A924" s="2" t="s">
        <v>31</v>
      </c>
      <c r="B924" s="19" t="s">
        <v>110</v>
      </c>
      <c r="C924" s="19"/>
      <c r="D924" s="19"/>
      <c r="E924" s="20" t="s">
        <v>33</v>
      </c>
      <c r="F924" s="20"/>
      <c r="G924" s="21" t="s">
        <v>2058</v>
      </c>
      <c r="H924" s="21"/>
      <c r="I924" s="21"/>
      <c r="J924" s="3" t="s">
        <v>111</v>
      </c>
      <c r="K924" s="4" t="s">
        <v>561</v>
      </c>
      <c r="N924" s="21" t="s">
        <v>2102</v>
      </c>
      <c r="O924" s="21"/>
      <c r="P924" s="21" t="s">
        <v>2103</v>
      </c>
      <c r="Q924" s="21"/>
      <c r="R924" s="21"/>
      <c r="S924" s="3" t="s">
        <v>40</v>
      </c>
      <c r="T924" s="21" t="s">
        <v>427</v>
      </c>
      <c r="U924" s="21"/>
      <c r="V924" s="4" t="s">
        <v>42</v>
      </c>
      <c r="W924" s="4" t="s">
        <v>130</v>
      </c>
      <c r="X924" s="4" t="s">
        <v>158</v>
      </c>
      <c r="Y924" s="21" t="s">
        <v>116</v>
      </c>
      <c r="Z924" s="21"/>
      <c r="AA924" s="4" t="s">
        <v>46</v>
      </c>
      <c r="AB924" s="4" t="s">
        <v>117</v>
      </c>
      <c r="AC924" s="4" t="s">
        <v>243</v>
      </c>
      <c r="AD924" s="4" t="s">
        <v>428</v>
      </c>
      <c r="AE924" s="4" t="s">
        <v>48</v>
      </c>
      <c r="AF924" s="4" t="s">
        <v>41</v>
      </c>
      <c r="AG924" s="4" t="s">
        <v>2061</v>
      </c>
    </row>
    <row r="925" spans="1:33" ht="16.5" customHeight="1" x14ac:dyDescent="0.2">
      <c r="A925" s="2" t="s">
        <v>31</v>
      </c>
      <c r="B925" s="19" t="s">
        <v>50</v>
      </c>
      <c r="C925" s="19"/>
      <c r="D925" s="19"/>
      <c r="E925" s="20" t="s">
        <v>33</v>
      </c>
      <c r="F925" s="20"/>
      <c r="G925" s="21" t="s">
        <v>2058</v>
      </c>
      <c r="H925" s="21"/>
      <c r="I925" s="21"/>
      <c r="J925" s="3" t="s">
        <v>35</v>
      </c>
      <c r="K925" s="4" t="s">
        <v>74</v>
      </c>
      <c r="L925" s="4" t="s">
        <v>37</v>
      </c>
      <c r="N925" s="21" t="s">
        <v>2104</v>
      </c>
      <c r="O925" s="21"/>
      <c r="P925" s="21" t="s">
        <v>2105</v>
      </c>
      <c r="Q925" s="21"/>
      <c r="R925" s="21"/>
      <c r="S925" s="3" t="s">
        <v>40</v>
      </c>
      <c r="T925" s="21" t="s">
        <v>41</v>
      </c>
      <c r="U925" s="21"/>
      <c r="V925" s="4" t="s">
        <v>42</v>
      </c>
      <c r="W925" s="4" t="s">
        <v>77</v>
      </c>
      <c r="X925" s="4" t="s">
        <v>78</v>
      </c>
      <c r="Y925" s="21" t="s">
        <v>65</v>
      </c>
      <c r="Z925" s="21"/>
      <c r="AA925" s="4" t="s">
        <v>46</v>
      </c>
      <c r="AB925" s="4" t="s">
        <v>47</v>
      </c>
      <c r="AC925" s="4" t="s">
        <v>66</v>
      </c>
      <c r="AD925" s="4" t="s">
        <v>73</v>
      </c>
      <c r="AE925" s="4" t="s">
        <v>48</v>
      </c>
      <c r="AF925" s="4" t="s">
        <v>41</v>
      </c>
      <c r="AG925" s="4" t="s">
        <v>2061</v>
      </c>
    </row>
    <row r="926" spans="1:33" ht="16.5" customHeight="1" x14ac:dyDescent="0.2">
      <c r="A926" s="2" t="s">
        <v>31</v>
      </c>
      <c r="B926" s="19" t="s">
        <v>50</v>
      </c>
      <c r="C926" s="19"/>
      <c r="D926" s="19"/>
      <c r="E926" s="20" t="s">
        <v>33</v>
      </c>
      <c r="F926" s="20"/>
      <c r="G926" s="21" t="s">
        <v>2058</v>
      </c>
      <c r="H926" s="21"/>
      <c r="I926" s="21"/>
      <c r="J926" s="3" t="s">
        <v>35</v>
      </c>
      <c r="K926" s="4" t="s">
        <v>74</v>
      </c>
      <c r="L926" s="4" t="s">
        <v>37</v>
      </c>
      <c r="N926" s="21" t="s">
        <v>2104</v>
      </c>
      <c r="O926" s="21"/>
      <c r="P926" s="21" t="s">
        <v>2105</v>
      </c>
      <c r="Q926" s="21"/>
      <c r="R926" s="21"/>
      <c r="S926" s="3" t="s">
        <v>40</v>
      </c>
      <c r="T926" s="21" t="s">
        <v>41</v>
      </c>
      <c r="U926" s="21"/>
      <c r="V926" s="4" t="s">
        <v>59</v>
      </c>
      <c r="W926" s="4" t="s">
        <v>77</v>
      </c>
      <c r="X926" s="4" t="s">
        <v>311</v>
      </c>
      <c r="Y926" s="21" t="s">
        <v>65</v>
      </c>
      <c r="Z926" s="21"/>
      <c r="AA926" s="4" t="s">
        <v>46</v>
      </c>
      <c r="AB926" s="4" t="s">
        <v>47</v>
      </c>
      <c r="AC926" s="4" t="s">
        <v>66</v>
      </c>
      <c r="AD926" s="4" t="s">
        <v>73</v>
      </c>
      <c r="AE926" s="4" t="s">
        <v>48</v>
      </c>
      <c r="AF926" s="4" t="s">
        <v>41</v>
      </c>
      <c r="AG926" s="4" t="s">
        <v>2061</v>
      </c>
    </row>
    <row r="927" spans="1:33" ht="16.5" customHeight="1" x14ac:dyDescent="0.2">
      <c r="A927" s="2" t="s">
        <v>31</v>
      </c>
      <c r="B927" s="19" t="s">
        <v>50</v>
      </c>
      <c r="C927" s="19"/>
      <c r="D927" s="19"/>
      <c r="E927" s="20" t="s">
        <v>33</v>
      </c>
      <c r="F927" s="20"/>
      <c r="G927" s="21" t="s">
        <v>2058</v>
      </c>
      <c r="H927" s="21"/>
      <c r="I927" s="21"/>
      <c r="J927" s="3" t="s">
        <v>35</v>
      </c>
      <c r="K927" s="4" t="s">
        <v>51</v>
      </c>
      <c r="L927" s="4" t="s">
        <v>231</v>
      </c>
      <c r="N927" s="21" t="s">
        <v>2106</v>
      </c>
      <c r="O927" s="21"/>
      <c r="P927" s="21" t="s">
        <v>2107</v>
      </c>
      <c r="Q927" s="21"/>
      <c r="R927" s="21"/>
      <c r="S927" s="3" t="s">
        <v>40</v>
      </c>
      <c r="T927" s="21" t="s">
        <v>41</v>
      </c>
      <c r="U927" s="21"/>
      <c r="V927" s="4" t="s">
        <v>42</v>
      </c>
      <c r="W927" s="4" t="s">
        <v>54</v>
      </c>
      <c r="X927" s="4" t="s">
        <v>55</v>
      </c>
      <c r="Y927" s="21" t="s">
        <v>56</v>
      </c>
      <c r="Z927" s="21"/>
      <c r="AA927" s="4" t="s">
        <v>46</v>
      </c>
      <c r="AB927" s="4" t="s">
        <v>47</v>
      </c>
      <c r="AC927" s="4" t="s">
        <v>81</v>
      </c>
      <c r="AD927" s="4" t="s">
        <v>41</v>
      </c>
      <c r="AE927" s="4" t="s">
        <v>48</v>
      </c>
      <c r="AF927" s="4" t="s">
        <v>41</v>
      </c>
      <c r="AG927" s="4" t="s">
        <v>2061</v>
      </c>
    </row>
    <row r="928" spans="1:33" ht="16.5" customHeight="1" x14ac:dyDescent="0.2">
      <c r="A928" s="2" t="s">
        <v>31</v>
      </c>
      <c r="B928" s="19" t="s">
        <v>50</v>
      </c>
      <c r="C928" s="19"/>
      <c r="D928" s="19"/>
      <c r="E928" s="20" t="s">
        <v>33</v>
      </c>
      <c r="F928" s="20"/>
      <c r="G928" s="21" t="s">
        <v>2058</v>
      </c>
      <c r="H928" s="21"/>
      <c r="I928" s="21"/>
      <c r="J928" s="3" t="s">
        <v>35</v>
      </c>
      <c r="K928" s="4" t="s">
        <v>146</v>
      </c>
      <c r="L928" s="4" t="s">
        <v>37</v>
      </c>
      <c r="N928" s="21" t="s">
        <v>2108</v>
      </c>
      <c r="O928" s="21"/>
      <c r="P928" s="21" t="s">
        <v>2109</v>
      </c>
      <c r="Q928" s="21"/>
      <c r="R928" s="21"/>
      <c r="S928" s="3" t="s">
        <v>40</v>
      </c>
      <c r="T928" s="21" t="s">
        <v>41</v>
      </c>
      <c r="U928" s="21"/>
      <c r="V928" s="4" t="s">
        <v>42</v>
      </c>
      <c r="W928" s="4" t="s">
        <v>798</v>
      </c>
      <c r="X928" s="4" t="s">
        <v>1005</v>
      </c>
      <c r="Y928" s="21" t="s">
        <v>138</v>
      </c>
      <c r="Z928" s="21"/>
      <c r="AA928" s="4" t="s">
        <v>46</v>
      </c>
      <c r="AB928" s="4" t="s">
        <v>47</v>
      </c>
      <c r="AC928" s="4" t="s">
        <v>139</v>
      </c>
      <c r="AD928" s="4" t="s">
        <v>140</v>
      </c>
      <c r="AE928" s="4" t="s">
        <v>48</v>
      </c>
      <c r="AF928" s="4" t="s">
        <v>41</v>
      </c>
      <c r="AG928" s="4" t="s">
        <v>2061</v>
      </c>
    </row>
    <row r="929" spans="1:33" ht="16.5" customHeight="1" x14ac:dyDescent="0.2">
      <c r="A929" s="2" t="s">
        <v>31</v>
      </c>
      <c r="B929" s="19" t="s">
        <v>50</v>
      </c>
      <c r="C929" s="19"/>
      <c r="D929" s="19"/>
      <c r="E929" s="20" t="s">
        <v>33</v>
      </c>
      <c r="F929" s="20"/>
      <c r="G929" s="21" t="s">
        <v>2058</v>
      </c>
      <c r="H929" s="21"/>
      <c r="I929" s="21"/>
      <c r="J929" s="3" t="s">
        <v>35</v>
      </c>
      <c r="K929" s="4" t="s">
        <v>99</v>
      </c>
      <c r="L929" s="4" t="s">
        <v>37</v>
      </c>
      <c r="N929" s="21" t="s">
        <v>2110</v>
      </c>
      <c r="O929" s="21"/>
      <c r="P929" s="21" t="s">
        <v>2111</v>
      </c>
      <c r="Q929" s="21"/>
      <c r="R929" s="21"/>
      <c r="S929" s="3" t="s">
        <v>40</v>
      </c>
      <c r="T929" s="21" t="s">
        <v>41</v>
      </c>
      <c r="U929" s="21"/>
      <c r="V929" s="4" t="s">
        <v>42</v>
      </c>
      <c r="W929" s="4" t="s">
        <v>209</v>
      </c>
      <c r="X929" s="4" t="s">
        <v>210</v>
      </c>
      <c r="Y929" s="21" t="s">
        <v>56</v>
      </c>
      <c r="Z929" s="21"/>
      <c r="AA929" s="4" t="s">
        <v>46</v>
      </c>
      <c r="AB929" s="4" t="s">
        <v>47</v>
      </c>
      <c r="AC929" s="4" t="s">
        <v>139</v>
      </c>
      <c r="AD929" s="4" t="s">
        <v>140</v>
      </c>
      <c r="AE929" s="4" t="s">
        <v>48</v>
      </c>
      <c r="AF929" s="4" t="s">
        <v>41</v>
      </c>
      <c r="AG929" s="4" t="s">
        <v>2061</v>
      </c>
    </row>
    <row r="930" spans="1:33" ht="16.5" customHeight="1" x14ac:dyDescent="0.2">
      <c r="A930" s="2" t="s">
        <v>31</v>
      </c>
      <c r="B930" s="19" t="s">
        <v>50</v>
      </c>
      <c r="C930" s="19"/>
      <c r="D930" s="19"/>
      <c r="E930" s="20" t="s">
        <v>33</v>
      </c>
      <c r="F930" s="20"/>
      <c r="G930" s="21" t="s">
        <v>2058</v>
      </c>
      <c r="H930" s="21"/>
      <c r="I930" s="21"/>
      <c r="J930" s="3" t="s">
        <v>35</v>
      </c>
      <c r="K930" s="4" t="s">
        <v>120</v>
      </c>
      <c r="L930" s="4" t="s">
        <v>68</v>
      </c>
      <c r="N930" s="21" t="s">
        <v>2112</v>
      </c>
      <c r="O930" s="21"/>
      <c r="P930" s="21" t="s">
        <v>2113</v>
      </c>
      <c r="Q930" s="21"/>
      <c r="R930" s="21"/>
      <c r="S930" s="3" t="s">
        <v>40</v>
      </c>
      <c r="T930" s="21" t="s">
        <v>41</v>
      </c>
      <c r="U930" s="21"/>
      <c r="V930" s="4" t="s">
        <v>42</v>
      </c>
      <c r="W930" s="4" t="s">
        <v>54</v>
      </c>
      <c r="X930" s="4" t="s">
        <v>55</v>
      </c>
      <c r="Y930" s="21" t="s">
        <v>65</v>
      </c>
      <c r="Z930" s="21"/>
      <c r="AA930" s="4" t="s">
        <v>46</v>
      </c>
      <c r="AB930" s="4" t="s">
        <v>47</v>
      </c>
      <c r="AC930" s="4" t="s">
        <v>66</v>
      </c>
      <c r="AD930" s="4" t="s">
        <v>69</v>
      </c>
      <c r="AE930" s="4" t="s">
        <v>48</v>
      </c>
      <c r="AF930" s="4" t="s">
        <v>41</v>
      </c>
      <c r="AG930" s="4" t="s">
        <v>2061</v>
      </c>
    </row>
    <row r="931" spans="1:33" ht="16.5" customHeight="1" x14ac:dyDescent="0.2">
      <c r="A931" s="2" t="s">
        <v>31</v>
      </c>
      <c r="B931" s="19" t="s">
        <v>50</v>
      </c>
      <c r="C931" s="19"/>
      <c r="D931" s="19"/>
      <c r="E931" s="20" t="s">
        <v>33</v>
      </c>
      <c r="F931" s="20"/>
      <c r="G931" s="21" t="s">
        <v>2058</v>
      </c>
      <c r="H931" s="21"/>
      <c r="I931" s="21"/>
      <c r="J931" s="3" t="s">
        <v>35</v>
      </c>
      <c r="K931" s="4" t="s">
        <v>146</v>
      </c>
      <c r="L931" s="4" t="s">
        <v>68</v>
      </c>
      <c r="N931" s="21" t="s">
        <v>2114</v>
      </c>
      <c r="O931" s="21"/>
      <c r="P931" s="21" t="s">
        <v>2115</v>
      </c>
      <c r="Q931" s="21"/>
      <c r="R931" s="21"/>
      <c r="S931" s="3" t="s">
        <v>40</v>
      </c>
      <c r="T931" s="21" t="s">
        <v>41</v>
      </c>
      <c r="U931" s="21"/>
      <c r="V931" s="4" t="s">
        <v>42</v>
      </c>
      <c r="W931" s="4" t="s">
        <v>823</v>
      </c>
      <c r="X931" s="4" t="s">
        <v>791</v>
      </c>
      <c r="Y931" s="21" t="s">
        <v>138</v>
      </c>
      <c r="Z931" s="21"/>
      <c r="AA931" s="4" t="s">
        <v>46</v>
      </c>
      <c r="AB931" s="4" t="s">
        <v>47</v>
      </c>
      <c r="AC931" s="4" t="s">
        <v>139</v>
      </c>
      <c r="AD931" s="4" t="s">
        <v>151</v>
      </c>
      <c r="AE931" s="4" t="s">
        <v>48</v>
      </c>
      <c r="AF931" s="4" t="s">
        <v>41</v>
      </c>
      <c r="AG931" s="4" t="s">
        <v>2061</v>
      </c>
    </row>
    <row r="932" spans="1:33" ht="16.5" customHeight="1" x14ac:dyDescent="0.2">
      <c r="A932" s="2" t="s">
        <v>31</v>
      </c>
      <c r="B932" s="19" t="s">
        <v>50</v>
      </c>
      <c r="C932" s="19"/>
      <c r="D932" s="19"/>
      <c r="E932" s="20" t="s">
        <v>33</v>
      </c>
      <c r="F932" s="20"/>
      <c r="G932" s="21" t="s">
        <v>2058</v>
      </c>
      <c r="H932" s="21"/>
      <c r="I932" s="21"/>
      <c r="J932" s="3" t="s">
        <v>35</v>
      </c>
      <c r="K932" s="4" t="s">
        <v>146</v>
      </c>
      <c r="L932" s="4" t="s">
        <v>37</v>
      </c>
      <c r="N932" s="21" t="s">
        <v>2116</v>
      </c>
      <c r="O932" s="21"/>
      <c r="P932" s="21" t="s">
        <v>2117</v>
      </c>
      <c r="Q932" s="21"/>
      <c r="R932" s="21"/>
      <c r="S932" s="3" t="s">
        <v>40</v>
      </c>
      <c r="T932" s="21" t="s">
        <v>41</v>
      </c>
      <c r="U932" s="21"/>
      <c r="V932" s="4" t="s">
        <v>42</v>
      </c>
      <c r="W932" s="4" t="s">
        <v>431</v>
      </c>
      <c r="X932" s="4" t="s">
        <v>432</v>
      </c>
      <c r="Y932" s="21" t="s">
        <v>138</v>
      </c>
      <c r="Z932" s="21"/>
      <c r="AA932" s="4" t="s">
        <v>46</v>
      </c>
      <c r="AB932" s="4" t="s">
        <v>47</v>
      </c>
      <c r="AC932" s="4" t="s">
        <v>139</v>
      </c>
      <c r="AD932" s="4" t="s">
        <v>140</v>
      </c>
      <c r="AE932" s="4" t="s">
        <v>48</v>
      </c>
      <c r="AF932" s="4" t="s">
        <v>41</v>
      </c>
      <c r="AG932" s="4" t="s">
        <v>2061</v>
      </c>
    </row>
    <row r="933" spans="1:33" ht="16.5" customHeight="1" x14ac:dyDescent="0.2">
      <c r="A933" s="2" t="s">
        <v>31</v>
      </c>
      <c r="B933" s="19" t="s">
        <v>50</v>
      </c>
      <c r="C933" s="19"/>
      <c r="D933" s="19"/>
      <c r="E933" s="20" t="s">
        <v>33</v>
      </c>
      <c r="F933" s="20"/>
      <c r="G933" s="21" t="s">
        <v>2058</v>
      </c>
      <c r="H933" s="21"/>
      <c r="I933" s="21"/>
      <c r="J933" s="3" t="s">
        <v>35</v>
      </c>
      <c r="K933" s="4" t="s">
        <v>146</v>
      </c>
      <c r="L933" s="4" t="s">
        <v>37</v>
      </c>
      <c r="N933" s="21" t="s">
        <v>2116</v>
      </c>
      <c r="O933" s="21"/>
      <c r="P933" s="21" t="s">
        <v>2117</v>
      </c>
      <c r="Q933" s="21"/>
      <c r="R933" s="21"/>
      <c r="S933" s="3" t="s">
        <v>40</v>
      </c>
      <c r="T933" s="21" t="s">
        <v>41</v>
      </c>
      <c r="U933" s="21"/>
      <c r="V933" s="4" t="s">
        <v>59</v>
      </c>
      <c r="W933" s="4" t="s">
        <v>431</v>
      </c>
      <c r="X933" s="4" t="s">
        <v>829</v>
      </c>
      <c r="Y933" s="21" t="s">
        <v>138</v>
      </c>
      <c r="Z933" s="21"/>
      <c r="AA933" s="4" t="s">
        <v>46</v>
      </c>
      <c r="AB933" s="4" t="s">
        <v>47</v>
      </c>
      <c r="AC933" s="4" t="s">
        <v>139</v>
      </c>
      <c r="AD933" s="4" t="s">
        <v>140</v>
      </c>
      <c r="AE933" s="4" t="s">
        <v>48</v>
      </c>
      <c r="AF933" s="4" t="s">
        <v>41</v>
      </c>
      <c r="AG933" s="4" t="s">
        <v>2061</v>
      </c>
    </row>
    <row r="934" spans="1:33" ht="16.5" customHeight="1" x14ac:dyDescent="0.2">
      <c r="A934" s="2" t="s">
        <v>31</v>
      </c>
      <c r="B934" s="19" t="s">
        <v>50</v>
      </c>
      <c r="C934" s="19"/>
      <c r="D934" s="19"/>
      <c r="E934" s="20" t="s">
        <v>33</v>
      </c>
      <c r="F934" s="20"/>
      <c r="G934" s="21" t="s">
        <v>2058</v>
      </c>
      <c r="H934" s="21"/>
      <c r="I934" s="21"/>
      <c r="J934" s="3" t="s">
        <v>35</v>
      </c>
      <c r="K934" s="4" t="s">
        <v>169</v>
      </c>
      <c r="L934" s="4" t="s">
        <v>68</v>
      </c>
      <c r="N934" s="21" t="s">
        <v>2118</v>
      </c>
      <c r="O934" s="21"/>
      <c r="P934" s="21" t="s">
        <v>2119</v>
      </c>
      <c r="Q934" s="21"/>
      <c r="R934" s="21"/>
      <c r="S934" s="3" t="s">
        <v>40</v>
      </c>
      <c r="T934" s="21" t="s">
        <v>41</v>
      </c>
      <c r="U934" s="21"/>
      <c r="V934" s="4" t="s">
        <v>42</v>
      </c>
      <c r="W934" s="4" t="s">
        <v>54</v>
      </c>
      <c r="X934" s="4" t="s">
        <v>55</v>
      </c>
      <c r="Y934" s="21" t="s">
        <v>56</v>
      </c>
      <c r="Z934" s="21"/>
      <c r="AA934" s="4" t="s">
        <v>46</v>
      </c>
      <c r="AB934" s="4" t="s">
        <v>47</v>
      </c>
      <c r="AC934" s="4" t="s">
        <v>81</v>
      </c>
      <c r="AD934" s="4" t="s">
        <v>41</v>
      </c>
      <c r="AE934" s="4" t="s">
        <v>48</v>
      </c>
      <c r="AF934" s="4" t="s">
        <v>41</v>
      </c>
      <c r="AG934" s="4" t="s">
        <v>2061</v>
      </c>
    </row>
    <row r="935" spans="1:33" ht="16.5" customHeight="1" x14ac:dyDescent="0.2">
      <c r="A935" s="2" t="s">
        <v>31</v>
      </c>
      <c r="B935" s="19" t="s">
        <v>50</v>
      </c>
      <c r="C935" s="19"/>
      <c r="D935" s="19"/>
      <c r="E935" s="20" t="s">
        <v>33</v>
      </c>
      <c r="F935" s="20"/>
      <c r="G935" s="21" t="s">
        <v>2058</v>
      </c>
      <c r="H935" s="21"/>
      <c r="I935" s="21"/>
      <c r="J935" s="3" t="s">
        <v>35</v>
      </c>
      <c r="K935" s="4" t="s">
        <v>169</v>
      </c>
      <c r="L935" s="4" t="s">
        <v>68</v>
      </c>
      <c r="N935" s="21" t="s">
        <v>2118</v>
      </c>
      <c r="O935" s="21"/>
      <c r="P935" s="21" t="s">
        <v>2119</v>
      </c>
      <c r="Q935" s="21"/>
      <c r="R935" s="21"/>
      <c r="S935" s="3" t="s">
        <v>40</v>
      </c>
      <c r="T935" s="21" t="s">
        <v>41</v>
      </c>
      <c r="U935" s="21"/>
      <c r="V935" s="4" t="s">
        <v>59</v>
      </c>
      <c r="W935" s="4" t="s">
        <v>54</v>
      </c>
      <c r="X935" s="4" t="s">
        <v>60</v>
      </c>
      <c r="Y935" s="21" t="s">
        <v>56</v>
      </c>
      <c r="Z935" s="21"/>
      <c r="AA935" s="4" t="s">
        <v>46</v>
      </c>
      <c r="AB935" s="4" t="s">
        <v>47</v>
      </c>
      <c r="AC935" s="4" t="s">
        <v>81</v>
      </c>
      <c r="AD935" s="4" t="s">
        <v>41</v>
      </c>
      <c r="AE935" s="4" t="s">
        <v>48</v>
      </c>
      <c r="AF935" s="4" t="s">
        <v>41</v>
      </c>
      <c r="AG935" s="4" t="s">
        <v>2061</v>
      </c>
    </row>
    <row r="936" spans="1:33" ht="16.5" customHeight="1" x14ac:dyDescent="0.2">
      <c r="A936" s="2" t="s">
        <v>31</v>
      </c>
      <c r="B936" s="19" t="s">
        <v>50</v>
      </c>
      <c r="C936" s="19"/>
      <c r="D936" s="19"/>
      <c r="E936" s="20" t="s">
        <v>33</v>
      </c>
      <c r="F936" s="20"/>
      <c r="G936" s="21" t="s">
        <v>2058</v>
      </c>
      <c r="H936" s="21"/>
      <c r="I936" s="21"/>
      <c r="J936" s="3" t="s">
        <v>35</v>
      </c>
      <c r="K936" s="4" t="s">
        <v>146</v>
      </c>
      <c r="L936" s="4" t="s">
        <v>231</v>
      </c>
      <c r="N936" s="21" t="s">
        <v>2120</v>
      </c>
      <c r="O936" s="21"/>
      <c r="P936" s="21" t="s">
        <v>2121</v>
      </c>
      <c r="Q936" s="21"/>
      <c r="R936" s="21"/>
      <c r="S936" s="3" t="s">
        <v>40</v>
      </c>
      <c r="T936" s="21" t="s">
        <v>41</v>
      </c>
      <c r="U936" s="21"/>
      <c r="V936" s="4" t="s">
        <v>42</v>
      </c>
      <c r="W936" s="4" t="s">
        <v>307</v>
      </c>
      <c r="X936" s="4" t="s">
        <v>304</v>
      </c>
      <c r="Y936" s="21" t="s">
        <v>138</v>
      </c>
      <c r="Z936" s="21"/>
      <c r="AA936" s="4" t="s">
        <v>46</v>
      </c>
      <c r="AB936" s="4" t="s">
        <v>47</v>
      </c>
      <c r="AC936" s="4" t="s">
        <v>139</v>
      </c>
      <c r="AD936" s="4" t="s">
        <v>449</v>
      </c>
      <c r="AE936" s="4" t="s">
        <v>48</v>
      </c>
      <c r="AF936" s="4" t="s">
        <v>41</v>
      </c>
      <c r="AG936" s="4" t="s">
        <v>2061</v>
      </c>
    </row>
    <row r="937" spans="1:33" ht="16.5" customHeight="1" x14ac:dyDescent="0.2">
      <c r="A937" s="2" t="s">
        <v>31</v>
      </c>
      <c r="B937" s="19" t="s">
        <v>50</v>
      </c>
      <c r="C937" s="19"/>
      <c r="D937" s="19"/>
      <c r="E937" s="20" t="s">
        <v>33</v>
      </c>
      <c r="F937" s="20"/>
      <c r="G937" s="21" t="s">
        <v>2058</v>
      </c>
      <c r="H937" s="21"/>
      <c r="I937" s="21"/>
      <c r="J937" s="3" t="s">
        <v>35</v>
      </c>
      <c r="K937" s="4" t="s">
        <v>169</v>
      </c>
      <c r="L937" s="4" t="s">
        <v>37</v>
      </c>
      <c r="N937" s="21" t="s">
        <v>2122</v>
      </c>
      <c r="O937" s="21"/>
      <c r="P937" s="21" t="s">
        <v>2123</v>
      </c>
      <c r="Q937" s="21"/>
      <c r="R937" s="21"/>
      <c r="S937" s="3" t="s">
        <v>40</v>
      </c>
      <c r="T937" s="21" t="s">
        <v>41</v>
      </c>
      <c r="U937" s="21"/>
      <c r="V937" s="4" t="s">
        <v>42</v>
      </c>
      <c r="W937" s="4" t="s">
        <v>43</v>
      </c>
      <c r="X937" s="4" t="s">
        <v>44</v>
      </c>
      <c r="Y937" s="21" t="s">
        <v>56</v>
      </c>
      <c r="Z937" s="21"/>
      <c r="AA937" s="4" t="s">
        <v>46</v>
      </c>
      <c r="AB937" s="4" t="s">
        <v>47</v>
      </c>
      <c r="AC937" s="4" t="s">
        <v>139</v>
      </c>
      <c r="AD937" s="4" t="s">
        <v>140</v>
      </c>
      <c r="AE937" s="4" t="s">
        <v>48</v>
      </c>
      <c r="AF937" s="4" t="s">
        <v>41</v>
      </c>
      <c r="AG937" s="4" t="s">
        <v>2061</v>
      </c>
    </row>
    <row r="938" spans="1:33" ht="16.5" customHeight="1" x14ac:dyDescent="0.2">
      <c r="A938" s="2" t="s">
        <v>31</v>
      </c>
      <c r="B938" s="19" t="s">
        <v>50</v>
      </c>
      <c r="C938" s="19"/>
      <c r="D938" s="19"/>
      <c r="E938" s="20" t="s">
        <v>33</v>
      </c>
      <c r="F938" s="20"/>
      <c r="G938" s="21" t="s">
        <v>2058</v>
      </c>
      <c r="H938" s="21"/>
      <c r="I938" s="21"/>
      <c r="J938" s="3" t="s">
        <v>35</v>
      </c>
      <c r="K938" s="4" t="s">
        <v>169</v>
      </c>
      <c r="L938" s="4" t="s">
        <v>37</v>
      </c>
      <c r="N938" s="21" t="s">
        <v>2124</v>
      </c>
      <c r="O938" s="21"/>
      <c r="P938" s="21" t="s">
        <v>2125</v>
      </c>
      <c r="Q938" s="21"/>
      <c r="R938" s="21"/>
      <c r="S938" s="3" t="s">
        <v>40</v>
      </c>
      <c r="T938" s="21" t="s">
        <v>41</v>
      </c>
      <c r="U938" s="21"/>
      <c r="V938" s="4" t="s">
        <v>42</v>
      </c>
      <c r="W938" s="4" t="s">
        <v>43</v>
      </c>
      <c r="X938" s="4" t="s">
        <v>44</v>
      </c>
      <c r="Y938" s="21" t="s">
        <v>56</v>
      </c>
      <c r="Z938" s="21"/>
      <c r="AA938" s="4" t="s">
        <v>46</v>
      </c>
      <c r="AB938" s="4" t="s">
        <v>47</v>
      </c>
      <c r="AC938" s="4" t="s">
        <v>139</v>
      </c>
      <c r="AD938" s="4" t="s">
        <v>140</v>
      </c>
      <c r="AE938" s="4" t="s">
        <v>48</v>
      </c>
      <c r="AF938" s="4" t="s">
        <v>41</v>
      </c>
      <c r="AG938" s="4" t="s">
        <v>2061</v>
      </c>
    </row>
    <row r="939" spans="1:33" ht="16.5" customHeight="1" x14ac:dyDescent="0.2">
      <c r="A939" s="2" t="s">
        <v>31</v>
      </c>
      <c r="B939" s="19" t="s">
        <v>50</v>
      </c>
      <c r="C939" s="19"/>
      <c r="D939" s="19"/>
      <c r="E939" s="20" t="s">
        <v>33</v>
      </c>
      <c r="F939" s="20"/>
      <c r="G939" s="21" t="s">
        <v>2058</v>
      </c>
      <c r="H939" s="21"/>
      <c r="I939" s="21"/>
      <c r="J939" s="3" t="s">
        <v>35</v>
      </c>
      <c r="K939" s="4" t="s">
        <v>74</v>
      </c>
      <c r="L939" s="4" t="s">
        <v>37</v>
      </c>
      <c r="N939" s="21" t="s">
        <v>2126</v>
      </c>
      <c r="O939" s="21"/>
      <c r="P939" s="21" t="s">
        <v>2127</v>
      </c>
      <c r="Q939" s="21"/>
      <c r="R939" s="21"/>
      <c r="S939" s="3" t="s">
        <v>40</v>
      </c>
      <c r="T939" s="21" t="s">
        <v>41</v>
      </c>
      <c r="U939" s="21"/>
      <c r="V939" s="4" t="s">
        <v>42</v>
      </c>
      <c r="W939" s="4" t="s">
        <v>330</v>
      </c>
      <c r="X939" s="4" t="s">
        <v>320</v>
      </c>
      <c r="Y939" s="21" t="s">
        <v>65</v>
      </c>
      <c r="Z939" s="21"/>
      <c r="AA939" s="4" t="s">
        <v>46</v>
      </c>
      <c r="AB939" s="4" t="s">
        <v>47</v>
      </c>
      <c r="AC939" s="4" t="s">
        <v>57</v>
      </c>
      <c r="AD939" s="4" t="s">
        <v>58</v>
      </c>
      <c r="AE939" s="4" t="s">
        <v>48</v>
      </c>
      <c r="AF939" s="4" t="s">
        <v>41</v>
      </c>
      <c r="AG939" s="4" t="s">
        <v>2061</v>
      </c>
    </row>
    <row r="940" spans="1:33" ht="16.5" customHeight="1" x14ac:dyDescent="0.2">
      <c r="A940" s="2" t="s">
        <v>31</v>
      </c>
      <c r="B940" s="19" t="s">
        <v>50</v>
      </c>
      <c r="C940" s="19"/>
      <c r="D940" s="19"/>
      <c r="E940" s="20" t="s">
        <v>33</v>
      </c>
      <c r="F940" s="20"/>
      <c r="G940" s="21" t="s">
        <v>2058</v>
      </c>
      <c r="H940" s="21"/>
      <c r="I940" s="21"/>
      <c r="J940" s="3" t="s">
        <v>35</v>
      </c>
      <c r="K940" s="4" t="s">
        <v>152</v>
      </c>
      <c r="L940" s="4" t="s">
        <v>37</v>
      </c>
      <c r="N940" s="21" t="s">
        <v>2128</v>
      </c>
      <c r="O940" s="21"/>
      <c r="P940" s="21" t="s">
        <v>2129</v>
      </c>
      <c r="Q940" s="21"/>
      <c r="R940" s="21"/>
      <c r="S940" s="3" t="s">
        <v>40</v>
      </c>
      <c r="T940" s="21" t="s">
        <v>41</v>
      </c>
      <c r="U940" s="21"/>
      <c r="V940" s="4" t="s">
        <v>42</v>
      </c>
      <c r="W940" s="4" t="s">
        <v>330</v>
      </c>
      <c r="X940" s="4" t="s">
        <v>320</v>
      </c>
      <c r="Y940" s="21" t="s">
        <v>56</v>
      </c>
      <c r="Z940" s="21"/>
      <c r="AA940" s="4" t="s">
        <v>46</v>
      </c>
      <c r="AB940" s="4" t="s">
        <v>47</v>
      </c>
      <c r="AC940" s="4" t="s">
        <v>139</v>
      </c>
      <c r="AD940" s="4" t="s">
        <v>140</v>
      </c>
      <c r="AE940" s="4" t="s">
        <v>48</v>
      </c>
      <c r="AF940" s="4" t="s">
        <v>41</v>
      </c>
      <c r="AG940" s="4" t="s">
        <v>2061</v>
      </c>
    </row>
    <row r="941" spans="1:33" ht="16.5" customHeight="1" x14ac:dyDescent="0.2">
      <c r="A941" s="2" t="s">
        <v>31</v>
      </c>
      <c r="B941" s="19" t="s">
        <v>50</v>
      </c>
      <c r="C941" s="19"/>
      <c r="D941" s="19"/>
      <c r="E941" s="20" t="s">
        <v>33</v>
      </c>
      <c r="F941" s="20"/>
      <c r="G941" s="21" t="s">
        <v>2058</v>
      </c>
      <c r="H941" s="21"/>
      <c r="I941" s="21"/>
      <c r="J941" s="3" t="s">
        <v>35</v>
      </c>
      <c r="K941" s="4" t="s">
        <v>146</v>
      </c>
      <c r="L941" s="4" t="s">
        <v>37</v>
      </c>
      <c r="N941" s="21" t="s">
        <v>2130</v>
      </c>
      <c r="O941" s="21"/>
      <c r="P941" s="21" t="s">
        <v>2131</v>
      </c>
      <c r="Q941" s="21"/>
      <c r="R941" s="21"/>
      <c r="S941" s="3" t="s">
        <v>40</v>
      </c>
      <c r="T941" s="21" t="s">
        <v>41</v>
      </c>
      <c r="U941" s="21"/>
      <c r="V941" s="4" t="s">
        <v>42</v>
      </c>
      <c r="W941" s="4" t="s">
        <v>854</v>
      </c>
      <c r="X941" s="4" t="s">
        <v>577</v>
      </c>
      <c r="Y941" s="21" t="s">
        <v>138</v>
      </c>
      <c r="Z941" s="21"/>
      <c r="AA941" s="4" t="s">
        <v>46</v>
      </c>
      <c r="AB941" s="4" t="s">
        <v>47</v>
      </c>
      <c r="AC941" s="4" t="s">
        <v>139</v>
      </c>
      <c r="AD941" s="4" t="s">
        <v>140</v>
      </c>
      <c r="AE941" s="4" t="s">
        <v>48</v>
      </c>
      <c r="AF941" s="4" t="s">
        <v>41</v>
      </c>
      <c r="AG941" s="4" t="s">
        <v>2061</v>
      </c>
    </row>
    <row r="942" spans="1:33" ht="16.5" customHeight="1" x14ac:dyDescent="0.2">
      <c r="A942" s="2" t="s">
        <v>31</v>
      </c>
      <c r="B942" s="19" t="s">
        <v>50</v>
      </c>
      <c r="C942" s="19"/>
      <c r="D942" s="19"/>
      <c r="E942" s="20" t="s">
        <v>33</v>
      </c>
      <c r="F942" s="20"/>
      <c r="G942" s="21" t="s">
        <v>2058</v>
      </c>
      <c r="H942" s="21"/>
      <c r="I942" s="21"/>
      <c r="J942" s="3" t="s">
        <v>35</v>
      </c>
      <c r="K942" s="4" t="s">
        <v>146</v>
      </c>
      <c r="L942" s="4" t="s">
        <v>37</v>
      </c>
      <c r="N942" s="21" t="s">
        <v>2132</v>
      </c>
      <c r="O942" s="21"/>
      <c r="P942" s="21" t="s">
        <v>2133</v>
      </c>
      <c r="Q942" s="21"/>
      <c r="R942" s="21"/>
      <c r="S942" s="3" t="s">
        <v>40</v>
      </c>
      <c r="T942" s="21" t="s">
        <v>41</v>
      </c>
      <c r="U942" s="21"/>
      <c r="V942" s="4" t="s">
        <v>42</v>
      </c>
      <c r="W942" s="4" t="s">
        <v>149</v>
      </c>
      <c r="X942" s="4" t="s">
        <v>150</v>
      </c>
      <c r="Y942" s="21" t="s">
        <v>138</v>
      </c>
      <c r="Z942" s="21"/>
      <c r="AA942" s="4" t="s">
        <v>46</v>
      </c>
      <c r="AB942" s="4" t="s">
        <v>47</v>
      </c>
      <c r="AC942" s="4" t="s">
        <v>139</v>
      </c>
      <c r="AD942" s="4" t="s">
        <v>140</v>
      </c>
      <c r="AE942" s="4" t="s">
        <v>48</v>
      </c>
      <c r="AF942" s="4" t="s">
        <v>41</v>
      </c>
      <c r="AG942" s="4" t="s">
        <v>2061</v>
      </c>
    </row>
    <row r="943" spans="1:33" ht="16.5" customHeight="1" x14ac:dyDescent="0.2">
      <c r="A943" s="2" t="s">
        <v>31</v>
      </c>
      <c r="B943" s="19" t="s">
        <v>50</v>
      </c>
      <c r="C943" s="19"/>
      <c r="D943" s="19"/>
      <c r="E943" s="20" t="s">
        <v>33</v>
      </c>
      <c r="F943" s="20"/>
      <c r="G943" s="21" t="s">
        <v>2058</v>
      </c>
      <c r="H943" s="21"/>
      <c r="I943" s="21"/>
      <c r="J943" s="3" t="s">
        <v>35</v>
      </c>
      <c r="K943" s="4" t="s">
        <v>146</v>
      </c>
      <c r="L943" s="4" t="s">
        <v>37</v>
      </c>
      <c r="N943" s="21" t="s">
        <v>2134</v>
      </c>
      <c r="O943" s="21"/>
      <c r="P943" s="21" t="s">
        <v>2135</v>
      </c>
      <c r="Q943" s="21"/>
      <c r="R943" s="21"/>
      <c r="S943" s="3" t="s">
        <v>40</v>
      </c>
      <c r="T943" s="21" t="s">
        <v>41</v>
      </c>
      <c r="U943" s="21"/>
      <c r="V943" s="4" t="s">
        <v>42</v>
      </c>
      <c r="W943" s="4" t="s">
        <v>863</v>
      </c>
      <c r="X943" s="4" t="s">
        <v>864</v>
      </c>
      <c r="Y943" s="21" t="s">
        <v>138</v>
      </c>
      <c r="Z943" s="21"/>
      <c r="AA943" s="4" t="s">
        <v>46</v>
      </c>
      <c r="AB943" s="4" t="s">
        <v>47</v>
      </c>
      <c r="AC943" s="4" t="s">
        <v>139</v>
      </c>
      <c r="AD943" s="4" t="s">
        <v>140</v>
      </c>
      <c r="AE943" s="4" t="s">
        <v>48</v>
      </c>
      <c r="AF943" s="4" t="s">
        <v>41</v>
      </c>
      <c r="AG943" s="4" t="s">
        <v>2061</v>
      </c>
    </row>
    <row r="944" spans="1:33" ht="16.5" customHeight="1" x14ac:dyDescent="0.2">
      <c r="A944" s="2" t="s">
        <v>31</v>
      </c>
      <c r="B944" s="19" t="s">
        <v>50</v>
      </c>
      <c r="C944" s="19"/>
      <c r="D944" s="19"/>
      <c r="E944" s="20" t="s">
        <v>33</v>
      </c>
      <c r="F944" s="20"/>
      <c r="G944" s="21" t="s">
        <v>2058</v>
      </c>
      <c r="H944" s="21"/>
      <c r="I944" s="21"/>
      <c r="J944" s="3" t="s">
        <v>35</v>
      </c>
      <c r="K944" s="4" t="s">
        <v>152</v>
      </c>
      <c r="L944" s="4" t="s">
        <v>37</v>
      </c>
      <c r="N944" s="21" t="s">
        <v>2136</v>
      </c>
      <c r="O944" s="21"/>
      <c r="P944" s="21" t="s">
        <v>2137</v>
      </c>
      <c r="Q944" s="21"/>
      <c r="R944" s="21"/>
      <c r="S944" s="3" t="s">
        <v>40</v>
      </c>
      <c r="T944" s="21" t="s">
        <v>41</v>
      </c>
      <c r="U944" s="21"/>
      <c r="V944" s="4" t="s">
        <v>42</v>
      </c>
      <c r="W944" s="4" t="s">
        <v>234</v>
      </c>
      <c r="X944" s="4" t="s">
        <v>235</v>
      </c>
      <c r="Y944" s="21" t="s">
        <v>56</v>
      </c>
      <c r="Z944" s="21"/>
      <c r="AA944" s="4" t="s">
        <v>46</v>
      </c>
      <c r="AB944" s="4" t="s">
        <v>47</v>
      </c>
      <c r="AC944" s="4" t="s">
        <v>139</v>
      </c>
      <c r="AD944" s="4" t="s">
        <v>140</v>
      </c>
      <c r="AE944" s="4" t="s">
        <v>48</v>
      </c>
      <c r="AF944" s="4" t="s">
        <v>41</v>
      </c>
      <c r="AG944" s="4" t="s">
        <v>2061</v>
      </c>
    </row>
    <row r="945" spans="1:33" ht="16.5" customHeight="1" x14ac:dyDescent="0.2">
      <c r="A945" s="2" t="s">
        <v>31</v>
      </c>
      <c r="B945" s="19" t="s">
        <v>50</v>
      </c>
      <c r="C945" s="19"/>
      <c r="D945" s="19"/>
      <c r="E945" s="20" t="s">
        <v>33</v>
      </c>
      <c r="F945" s="20"/>
      <c r="G945" s="21" t="s">
        <v>2058</v>
      </c>
      <c r="H945" s="21"/>
      <c r="I945" s="21"/>
      <c r="J945" s="3" t="s">
        <v>35</v>
      </c>
      <c r="K945" s="4" t="s">
        <v>61</v>
      </c>
      <c r="L945" s="4" t="s">
        <v>37</v>
      </c>
      <c r="N945" s="21" t="s">
        <v>2138</v>
      </c>
      <c r="O945" s="21"/>
      <c r="P945" s="21" t="s">
        <v>2139</v>
      </c>
      <c r="Q945" s="21"/>
      <c r="R945" s="21"/>
      <c r="S945" s="3" t="s">
        <v>40</v>
      </c>
      <c r="T945" s="21" t="s">
        <v>41</v>
      </c>
      <c r="U945" s="21"/>
      <c r="V945" s="4" t="s">
        <v>42</v>
      </c>
      <c r="W945" s="4" t="s">
        <v>234</v>
      </c>
      <c r="X945" s="4" t="s">
        <v>235</v>
      </c>
      <c r="Y945" s="21" t="s">
        <v>65</v>
      </c>
      <c r="Z945" s="21"/>
      <c r="AA945" s="4" t="s">
        <v>46</v>
      </c>
      <c r="AB945" s="4" t="s">
        <v>47</v>
      </c>
      <c r="AC945" s="4" t="s">
        <v>57</v>
      </c>
      <c r="AD945" s="4" t="s">
        <v>58</v>
      </c>
      <c r="AE945" s="4" t="s">
        <v>48</v>
      </c>
      <c r="AF945" s="4" t="s">
        <v>41</v>
      </c>
      <c r="AG945" s="4" t="s">
        <v>2061</v>
      </c>
    </row>
    <row r="946" spans="1:33" ht="16.5" customHeight="1" x14ac:dyDescent="0.2">
      <c r="A946" s="2" t="s">
        <v>31</v>
      </c>
      <c r="B946" s="19" t="s">
        <v>50</v>
      </c>
      <c r="C946" s="19"/>
      <c r="D946" s="19"/>
      <c r="E946" s="20" t="s">
        <v>33</v>
      </c>
      <c r="F946" s="20"/>
      <c r="G946" s="21" t="s">
        <v>2058</v>
      </c>
      <c r="H946" s="21"/>
      <c r="I946" s="21"/>
      <c r="J946" s="3" t="s">
        <v>35</v>
      </c>
      <c r="K946" s="4" t="s">
        <v>247</v>
      </c>
      <c r="L946" s="4" t="s">
        <v>37</v>
      </c>
      <c r="N946" s="21" t="s">
        <v>2140</v>
      </c>
      <c r="O946" s="21"/>
      <c r="P946" s="21" t="s">
        <v>2141</v>
      </c>
      <c r="Q946" s="21"/>
      <c r="R946" s="21"/>
      <c r="S946" s="3" t="s">
        <v>40</v>
      </c>
      <c r="T946" s="21" t="s">
        <v>41</v>
      </c>
      <c r="U946" s="21"/>
      <c r="V946" s="4" t="s">
        <v>42</v>
      </c>
      <c r="W946" s="4" t="s">
        <v>54</v>
      </c>
      <c r="X946" s="4" t="s">
        <v>55</v>
      </c>
      <c r="Y946" s="21" t="s">
        <v>65</v>
      </c>
      <c r="Z946" s="21"/>
      <c r="AA946" s="4" t="s">
        <v>46</v>
      </c>
      <c r="AB946" s="4" t="s">
        <v>47</v>
      </c>
      <c r="AC946" s="4" t="s">
        <v>81</v>
      </c>
      <c r="AD946" s="4" t="s">
        <v>41</v>
      </c>
      <c r="AE946" s="4" t="s">
        <v>48</v>
      </c>
      <c r="AF946" s="4" t="s">
        <v>41</v>
      </c>
      <c r="AG946" s="4" t="s">
        <v>2061</v>
      </c>
    </row>
    <row r="947" spans="1:33" ht="16.5" customHeight="1" x14ac:dyDescent="0.2">
      <c r="A947" s="2" t="s">
        <v>31</v>
      </c>
      <c r="B947" s="19" t="s">
        <v>50</v>
      </c>
      <c r="C947" s="19"/>
      <c r="D947" s="19"/>
      <c r="E947" s="20" t="s">
        <v>33</v>
      </c>
      <c r="F947" s="20"/>
      <c r="G947" s="21" t="s">
        <v>2058</v>
      </c>
      <c r="H947" s="21"/>
      <c r="I947" s="21"/>
      <c r="J947" s="3" t="s">
        <v>35</v>
      </c>
      <c r="K947" s="4" t="s">
        <v>51</v>
      </c>
      <c r="L947" s="4" t="s">
        <v>37</v>
      </c>
      <c r="N947" s="21" t="s">
        <v>2142</v>
      </c>
      <c r="O947" s="21"/>
      <c r="P947" s="21" t="s">
        <v>2143</v>
      </c>
      <c r="Q947" s="21"/>
      <c r="R947" s="21"/>
      <c r="S947" s="3" t="s">
        <v>40</v>
      </c>
      <c r="T947" s="21" t="s">
        <v>41</v>
      </c>
      <c r="U947" s="21"/>
      <c r="V947" s="4" t="s">
        <v>42</v>
      </c>
      <c r="W947" s="4" t="s">
        <v>94</v>
      </c>
      <c r="X947" s="4" t="s">
        <v>95</v>
      </c>
      <c r="Y947" s="21" t="s">
        <v>56</v>
      </c>
      <c r="Z947" s="21"/>
      <c r="AA947" s="4" t="s">
        <v>46</v>
      </c>
      <c r="AB947" s="4" t="s">
        <v>47</v>
      </c>
      <c r="AC947" s="4" t="s">
        <v>57</v>
      </c>
      <c r="AD947" s="4" t="s">
        <v>58</v>
      </c>
      <c r="AE947" s="4" t="s">
        <v>48</v>
      </c>
      <c r="AF947" s="4" t="s">
        <v>41</v>
      </c>
      <c r="AG947" s="4" t="s">
        <v>2061</v>
      </c>
    </row>
    <row r="948" spans="1:33" ht="16.5" customHeight="1" x14ac:dyDescent="0.2">
      <c r="A948" s="2" t="s">
        <v>31</v>
      </c>
      <c r="B948" s="19" t="s">
        <v>50</v>
      </c>
      <c r="C948" s="19"/>
      <c r="D948" s="19"/>
      <c r="E948" s="20" t="s">
        <v>33</v>
      </c>
      <c r="F948" s="20"/>
      <c r="G948" s="21" t="s">
        <v>2058</v>
      </c>
      <c r="H948" s="21"/>
      <c r="I948" s="21"/>
      <c r="J948" s="3" t="s">
        <v>35</v>
      </c>
      <c r="K948" s="4" t="s">
        <v>82</v>
      </c>
      <c r="L948" s="4" t="s">
        <v>37</v>
      </c>
      <c r="N948" s="21" t="s">
        <v>2144</v>
      </c>
      <c r="O948" s="21"/>
      <c r="P948" s="21" t="s">
        <v>2145</v>
      </c>
      <c r="Q948" s="21"/>
      <c r="R948" s="21"/>
      <c r="S948" s="3" t="s">
        <v>40</v>
      </c>
      <c r="T948" s="21" t="s">
        <v>41</v>
      </c>
      <c r="U948" s="21"/>
      <c r="V948" s="4" t="s">
        <v>42</v>
      </c>
      <c r="W948" s="4" t="s">
        <v>94</v>
      </c>
      <c r="X948" s="4" t="s">
        <v>95</v>
      </c>
      <c r="Y948" s="21" t="s">
        <v>56</v>
      </c>
      <c r="Z948" s="21"/>
      <c r="AA948" s="4" t="s">
        <v>46</v>
      </c>
      <c r="AB948" s="4" t="s">
        <v>47</v>
      </c>
      <c r="AC948" s="4" t="s">
        <v>57</v>
      </c>
      <c r="AD948" s="4" t="s">
        <v>58</v>
      </c>
      <c r="AE948" s="4" t="s">
        <v>48</v>
      </c>
      <c r="AF948" s="4" t="s">
        <v>41</v>
      </c>
      <c r="AG948" s="4" t="s">
        <v>2061</v>
      </c>
    </row>
    <row r="949" spans="1:33" ht="16.5" customHeight="1" x14ac:dyDescent="0.2">
      <c r="A949" s="2" t="s">
        <v>31</v>
      </c>
      <c r="B949" s="19" t="s">
        <v>50</v>
      </c>
      <c r="C949" s="19"/>
      <c r="D949" s="19"/>
      <c r="E949" s="20" t="s">
        <v>33</v>
      </c>
      <c r="F949" s="20"/>
      <c r="G949" s="21" t="s">
        <v>2058</v>
      </c>
      <c r="H949" s="21"/>
      <c r="I949" s="21"/>
      <c r="J949" s="3" t="s">
        <v>35</v>
      </c>
      <c r="K949" s="4" t="s">
        <v>661</v>
      </c>
      <c r="L949" s="4" t="s">
        <v>37</v>
      </c>
      <c r="N949" s="21" t="s">
        <v>2146</v>
      </c>
      <c r="O949" s="21"/>
      <c r="P949" s="21" t="s">
        <v>2147</v>
      </c>
      <c r="Q949" s="21"/>
      <c r="R949" s="21"/>
      <c r="S949" s="3" t="s">
        <v>40</v>
      </c>
      <c r="T949" s="21" t="s">
        <v>41</v>
      </c>
      <c r="U949" s="21"/>
      <c r="V949" s="4" t="s">
        <v>42</v>
      </c>
      <c r="W949" s="4" t="s">
        <v>54</v>
      </c>
      <c r="X949" s="4" t="s">
        <v>55</v>
      </c>
      <c r="Y949" s="21" t="s">
        <v>198</v>
      </c>
      <c r="Z949" s="21"/>
      <c r="AA949" s="4" t="s">
        <v>46</v>
      </c>
      <c r="AB949" s="4" t="s">
        <v>47</v>
      </c>
      <c r="AC949" s="4" t="s">
        <v>139</v>
      </c>
      <c r="AD949" s="4" t="s">
        <v>140</v>
      </c>
      <c r="AE949" s="4" t="s">
        <v>48</v>
      </c>
      <c r="AF949" s="4" t="s">
        <v>41</v>
      </c>
      <c r="AG949" s="4" t="s">
        <v>2061</v>
      </c>
    </row>
    <row r="950" spans="1:33" ht="16.5" customHeight="1" x14ac:dyDescent="0.2">
      <c r="A950" s="2" t="s">
        <v>31</v>
      </c>
      <c r="B950" s="19" t="s">
        <v>50</v>
      </c>
      <c r="C950" s="19"/>
      <c r="D950" s="19"/>
      <c r="E950" s="20" t="s">
        <v>33</v>
      </c>
      <c r="F950" s="20"/>
      <c r="G950" s="21" t="s">
        <v>2058</v>
      </c>
      <c r="H950" s="21"/>
      <c r="I950" s="21"/>
      <c r="J950" s="3" t="s">
        <v>35</v>
      </c>
      <c r="K950" s="4" t="s">
        <v>661</v>
      </c>
      <c r="L950" s="4" t="s">
        <v>68</v>
      </c>
      <c r="N950" s="21" t="s">
        <v>2148</v>
      </c>
      <c r="O950" s="21"/>
      <c r="P950" s="21" t="s">
        <v>2149</v>
      </c>
      <c r="Q950" s="21"/>
      <c r="R950" s="21"/>
      <c r="S950" s="3" t="s">
        <v>40</v>
      </c>
      <c r="T950" s="21" t="s">
        <v>41</v>
      </c>
      <c r="U950" s="21"/>
      <c r="V950" s="4" t="s">
        <v>42</v>
      </c>
      <c r="W950" s="4" t="s">
        <v>54</v>
      </c>
      <c r="X950" s="4" t="s">
        <v>55</v>
      </c>
      <c r="Y950" s="21" t="s">
        <v>198</v>
      </c>
      <c r="Z950" s="21"/>
      <c r="AA950" s="4" t="s">
        <v>46</v>
      </c>
      <c r="AB950" s="4" t="s">
        <v>47</v>
      </c>
      <c r="AC950" s="4" t="s">
        <v>139</v>
      </c>
      <c r="AD950" s="4" t="s">
        <v>151</v>
      </c>
      <c r="AE950" s="4" t="s">
        <v>48</v>
      </c>
      <c r="AF950" s="4" t="s">
        <v>41</v>
      </c>
      <c r="AG950" s="4" t="s">
        <v>2061</v>
      </c>
    </row>
    <row r="951" spans="1:33" ht="16.5" customHeight="1" x14ac:dyDescent="0.2">
      <c r="A951" s="2" t="s">
        <v>31</v>
      </c>
      <c r="B951" s="19" t="s">
        <v>50</v>
      </c>
      <c r="C951" s="19"/>
      <c r="D951" s="19"/>
      <c r="E951" s="20" t="s">
        <v>33</v>
      </c>
      <c r="F951" s="20"/>
      <c r="G951" s="21" t="s">
        <v>2058</v>
      </c>
      <c r="H951" s="21"/>
      <c r="I951" s="21"/>
      <c r="J951" s="3" t="s">
        <v>35</v>
      </c>
      <c r="K951" s="4" t="s">
        <v>247</v>
      </c>
      <c r="L951" s="4" t="s">
        <v>37</v>
      </c>
      <c r="N951" s="21" t="s">
        <v>2150</v>
      </c>
      <c r="O951" s="21"/>
      <c r="P951" s="21" t="s">
        <v>2151</v>
      </c>
      <c r="Q951" s="21"/>
      <c r="R951" s="21"/>
      <c r="S951" s="3" t="s">
        <v>40</v>
      </c>
      <c r="T951" s="21" t="s">
        <v>41</v>
      </c>
      <c r="U951" s="21"/>
      <c r="V951" s="4" t="s">
        <v>59</v>
      </c>
      <c r="W951" s="4" t="s">
        <v>54</v>
      </c>
      <c r="X951" s="4" t="s">
        <v>60</v>
      </c>
      <c r="Y951" s="21" t="s">
        <v>65</v>
      </c>
      <c r="Z951" s="21"/>
      <c r="AA951" s="4" t="s">
        <v>46</v>
      </c>
      <c r="AB951" s="4" t="s">
        <v>47</v>
      </c>
      <c r="AC951" s="4" t="s">
        <v>66</v>
      </c>
      <c r="AD951" s="4" t="s">
        <v>73</v>
      </c>
      <c r="AE951" s="4" t="s">
        <v>48</v>
      </c>
      <c r="AF951" s="4" t="s">
        <v>41</v>
      </c>
      <c r="AG951" s="4" t="s">
        <v>2061</v>
      </c>
    </row>
    <row r="952" spans="1:33" ht="16.5" customHeight="1" x14ac:dyDescent="0.2">
      <c r="A952" s="2" t="s">
        <v>31</v>
      </c>
      <c r="B952" s="19" t="s">
        <v>50</v>
      </c>
      <c r="C952" s="19"/>
      <c r="D952" s="19"/>
      <c r="E952" s="20" t="s">
        <v>33</v>
      </c>
      <c r="F952" s="20"/>
      <c r="G952" s="21" t="s">
        <v>2058</v>
      </c>
      <c r="H952" s="21"/>
      <c r="I952" s="21"/>
      <c r="J952" s="3" t="s">
        <v>35</v>
      </c>
      <c r="K952" s="4" t="s">
        <v>413</v>
      </c>
      <c r="L952" s="4" t="s">
        <v>37</v>
      </c>
      <c r="N952" s="21" t="s">
        <v>2152</v>
      </c>
      <c r="O952" s="21"/>
      <c r="P952" s="21" t="s">
        <v>2153</v>
      </c>
      <c r="Q952" s="21"/>
      <c r="R952" s="21"/>
      <c r="S952" s="3" t="s">
        <v>40</v>
      </c>
      <c r="T952" s="21" t="s">
        <v>41</v>
      </c>
      <c r="U952" s="21"/>
      <c r="V952" s="4" t="s">
        <v>42</v>
      </c>
      <c r="W952" s="4" t="s">
        <v>130</v>
      </c>
      <c r="X952" s="4" t="s">
        <v>60</v>
      </c>
      <c r="Y952" s="21" t="s">
        <v>198</v>
      </c>
      <c r="Z952" s="21"/>
      <c r="AA952" s="4" t="s">
        <v>46</v>
      </c>
      <c r="AB952" s="4" t="s">
        <v>47</v>
      </c>
      <c r="AC952" s="4" t="s">
        <v>139</v>
      </c>
      <c r="AD952" s="4" t="s">
        <v>140</v>
      </c>
      <c r="AE952" s="4" t="s">
        <v>48</v>
      </c>
      <c r="AF952" s="4" t="s">
        <v>41</v>
      </c>
      <c r="AG952" s="4" t="s">
        <v>2061</v>
      </c>
    </row>
    <row r="953" spans="1:33" ht="16.5" customHeight="1" x14ac:dyDescent="0.2">
      <c r="A953" s="2" t="s">
        <v>31</v>
      </c>
      <c r="B953" s="19" t="s">
        <v>50</v>
      </c>
      <c r="C953" s="19"/>
      <c r="D953" s="19"/>
      <c r="E953" s="20" t="s">
        <v>33</v>
      </c>
      <c r="F953" s="20"/>
      <c r="G953" s="21" t="s">
        <v>2058</v>
      </c>
      <c r="H953" s="21"/>
      <c r="I953" s="21"/>
      <c r="J953" s="3" t="s">
        <v>35</v>
      </c>
      <c r="K953" s="4" t="s">
        <v>661</v>
      </c>
      <c r="L953" s="4" t="s">
        <v>37</v>
      </c>
      <c r="N953" s="21" t="s">
        <v>2154</v>
      </c>
      <c r="O953" s="21"/>
      <c r="P953" s="21" t="s">
        <v>2155</v>
      </c>
      <c r="Q953" s="21"/>
      <c r="R953" s="21"/>
      <c r="S953" s="3" t="s">
        <v>40</v>
      </c>
      <c r="T953" s="21" t="s">
        <v>41</v>
      </c>
      <c r="U953" s="21"/>
      <c r="V953" s="4" t="s">
        <v>42</v>
      </c>
      <c r="W953" s="4" t="s">
        <v>130</v>
      </c>
      <c r="X953" s="4" t="s">
        <v>60</v>
      </c>
      <c r="Y953" s="21" t="s">
        <v>198</v>
      </c>
      <c r="Z953" s="21"/>
      <c r="AA953" s="4" t="s">
        <v>46</v>
      </c>
      <c r="AB953" s="4" t="s">
        <v>47</v>
      </c>
      <c r="AC953" s="4" t="s">
        <v>139</v>
      </c>
      <c r="AD953" s="4" t="s">
        <v>140</v>
      </c>
      <c r="AE953" s="4" t="s">
        <v>48</v>
      </c>
      <c r="AF953" s="4" t="s">
        <v>41</v>
      </c>
      <c r="AG953" s="4" t="s">
        <v>2061</v>
      </c>
    </row>
    <row r="954" spans="1:33" ht="16.5" customHeight="1" x14ac:dyDescent="0.2">
      <c r="A954" s="2" t="s">
        <v>31</v>
      </c>
      <c r="B954" s="19" t="s">
        <v>50</v>
      </c>
      <c r="C954" s="19"/>
      <c r="D954" s="19"/>
      <c r="E954" s="20" t="s">
        <v>33</v>
      </c>
      <c r="F954" s="20"/>
      <c r="G954" s="21" t="s">
        <v>2058</v>
      </c>
      <c r="H954" s="21"/>
      <c r="I954" s="21"/>
      <c r="J954" s="3" t="s">
        <v>35</v>
      </c>
      <c r="K954" s="4" t="s">
        <v>247</v>
      </c>
      <c r="L954" s="4" t="s">
        <v>37</v>
      </c>
      <c r="N954" s="21" t="s">
        <v>2156</v>
      </c>
      <c r="O954" s="21"/>
      <c r="P954" s="21" t="s">
        <v>2157</v>
      </c>
      <c r="Q954" s="21"/>
      <c r="R954" s="21"/>
      <c r="S954" s="3" t="s">
        <v>40</v>
      </c>
      <c r="T954" s="21" t="s">
        <v>41</v>
      </c>
      <c r="U954" s="21"/>
      <c r="V954" s="4" t="s">
        <v>42</v>
      </c>
      <c r="W954" s="4" t="s">
        <v>130</v>
      </c>
      <c r="X954" s="4" t="s">
        <v>60</v>
      </c>
      <c r="Y954" s="21" t="s">
        <v>65</v>
      </c>
      <c r="Z954" s="21"/>
      <c r="AA954" s="4" t="s">
        <v>46</v>
      </c>
      <c r="AB954" s="4" t="s">
        <v>47</v>
      </c>
      <c r="AC954" s="4" t="s">
        <v>66</v>
      </c>
      <c r="AD954" s="4" t="s">
        <v>73</v>
      </c>
      <c r="AE954" s="4" t="s">
        <v>48</v>
      </c>
      <c r="AF954" s="4" t="s">
        <v>41</v>
      </c>
      <c r="AG954" s="4" t="s">
        <v>2061</v>
      </c>
    </row>
    <row r="955" spans="1:33" ht="16.5" customHeight="1" x14ac:dyDescent="0.2">
      <c r="A955" s="2" t="s">
        <v>31</v>
      </c>
      <c r="B955" s="19" t="s">
        <v>50</v>
      </c>
      <c r="C955" s="19"/>
      <c r="D955" s="19"/>
      <c r="E955" s="20" t="s">
        <v>33</v>
      </c>
      <c r="F955" s="20"/>
      <c r="G955" s="21" t="s">
        <v>2058</v>
      </c>
      <c r="H955" s="21"/>
      <c r="I955" s="21"/>
      <c r="J955" s="3" t="s">
        <v>35</v>
      </c>
      <c r="K955" s="4" t="s">
        <v>413</v>
      </c>
      <c r="L955" s="4" t="s">
        <v>37</v>
      </c>
      <c r="N955" s="21" t="s">
        <v>2158</v>
      </c>
      <c r="O955" s="21"/>
      <c r="P955" s="21" t="s">
        <v>2159</v>
      </c>
      <c r="Q955" s="21"/>
      <c r="R955" s="21"/>
      <c r="S955" s="3" t="s">
        <v>40</v>
      </c>
      <c r="T955" s="21" t="s">
        <v>41</v>
      </c>
      <c r="U955" s="21"/>
      <c r="V955" s="4" t="s">
        <v>42</v>
      </c>
      <c r="W955" s="4" t="s">
        <v>130</v>
      </c>
      <c r="X955" s="4" t="s">
        <v>60</v>
      </c>
      <c r="Y955" s="21" t="s">
        <v>198</v>
      </c>
      <c r="Z955" s="21"/>
      <c r="AA955" s="4" t="s">
        <v>46</v>
      </c>
      <c r="AB955" s="4" t="s">
        <v>47</v>
      </c>
      <c r="AC955" s="4" t="s">
        <v>139</v>
      </c>
      <c r="AD955" s="4" t="s">
        <v>140</v>
      </c>
      <c r="AE955" s="4" t="s">
        <v>48</v>
      </c>
      <c r="AF955" s="4" t="s">
        <v>41</v>
      </c>
      <c r="AG955" s="4" t="s">
        <v>2061</v>
      </c>
    </row>
    <row r="956" spans="1:33" ht="16.5" customHeight="1" x14ac:dyDescent="0.2">
      <c r="A956" s="2" t="s">
        <v>31</v>
      </c>
      <c r="B956" s="19" t="s">
        <v>110</v>
      </c>
      <c r="C956" s="19"/>
      <c r="D956" s="19"/>
      <c r="E956" s="20" t="s">
        <v>33</v>
      </c>
      <c r="F956" s="20"/>
      <c r="G956" s="21" t="s">
        <v>2058</v>
      </c>
      <c r="H956" s="21"/>
      <c r="I956" s="21"/>
      <c r="J956" s="3" t="s">
        <v>35</v>
      </c>
      <c r="K956" s="4" t="s">
        <v>394</v>
      </c>
      <c r="N956" s="21" t="s">
        <v>2160</v>
      </c>
      <c r="O956" s="21"/>
      <c r="P956" s="21" t="s">
        <v>2161</v>
      </c>
      <c r="Q956" s="21"/>
      <c r="R956" s="21"/>
      <c r="S956" s="3" t="s">
        <v>40</v>
      </c>
      <c r="T956" s="21" t="s">
        <v>397</v>
      </c>
      <c r="U956" s="21"/>
      <c r="V956" s="4" t="s">
        <v>59</v>
      </c>
      <c r="W956" s="4" t="s">
        <v>85</v>
      </c>
      <c r="X956" s="4" t="s">
        <v>95</v>
      </c>
      <c r="Y956" s="21" t="s">
        <v>398</v>
      </c>
      <c r="Z956" s="21"/>
      <c r="AA956" s="4" t="s">
        <v>46</v>
      </c>
      <c r="AB956" s="4" t="s">
        <v>117</v>
      </c>
      <c r="AC956" s="4" t="s">
        <v>399</v>
      </c>
      <c r="AD956" s="4" t="s">
        <v>400</v>
      </c>
      <c r="AE956" s="4" t="s">
        <v>48</v>
      </c>
      <c r="AF956" s="4" t="s">
        <v>41</v>
      </c>
      <c r="AG956" s="4" t="s">
        <v>2061</v>
      </c>
    </row>
    <row r="957" spans="1:33" ht="16.5" customHeight="1" x14ac:dyDescent="0.2">
      <c r="A957" s="2" t="s">
        <v>31</v>
      </c>
      <c r="B957" s="19" t="s">
        <v>110</v>
      </c>
      <c r="C957" s="19"/>
      <c r="D957" s="19"/>
      <c r="E957" s="20" t="s">
        <v>33</v>
      </c>
      <c r="F957" s="20"/>
      <c r="G957" s="21" t="s">
        <v>2058</v>
      </c>
      <c r="H957" s="21"/>
      <c r="I957" s="21"/>
      <c r="J957" s="3" t="s">
        <v>35</v>
      </c>
      <c r="K957" s="4" t="s">
        <v>394</v>
      </c>
      <c r="N957" s="21" t="s">
        <v>2162</v>
      </c>
      <c r="O957" s="21"/>
      <c r="P957" s="21" t="s">
        <v>2163</v>
      </c>
      <c r="Q957" s="21"/>
      <c r="R957" s="21"/>
      <c r="S957" s="3" t="s">
        <v>40</v>
      </c>
      <c r="T957" s="21" t="s">
        <v>964</v>
      </c>
      <c r="U957" s="21"/>
      <c r="V957" s="4" t="s">
        <v>59</v>
      </c>
      <c r="W957" s="4" t="s">
        <v>54</v>
      </c>
      <c r="X957" s="4" t="s">
        <v>60</v>
      </c>
      <c r="Y957" s="21" t="s">
        <v>398</v>
      </c>
      <c r="Z957" s="21"/>
      <c r="AA957" s="4" t="s">
        <v>46</v>
      </c>
      <c r="AB957" s="4" t="s">
        <v>117</v>
      </c>
      <c r="AC957" s="4" t="s">
        <v>399</v>
      </c>
      <c r="AD957" s="4" t="s">
        <v>965</v>
      </c>
      <c r="AE957" s="4" t="s">
        <v>48</v>
      </c>
      <c r="AF957" s="4" t="s">
        <v>41</v>
      </c>
      <c r="AG957" s="4" t="s">
        <v>2061</v>
      </c>
    </row>
    <row r="958" spans="1:33" ht="16.5" customHeight="1" x14ac:dyDescent="0.2">
      <c r="A958" s="2" t="s">
        <v>31</v>
      </c>
      <c r="B958" s="19" t="s">
        <v>32</v>
      </c>
      <c r="C958" s="19"/>
      <c r="D958" s="19"/>
      <c r="E958" s="20" t="s">
        <v>33</v>
      </c>
      <c r="F958" s="20"/>
      <c r="G958" s="21" t="s">
        <v>2164</v>
      </c>
      <c r="H958" s="21"/>
      <c r="I958" s="21"/>
      <c r="J958" s="3" t="s">
        <v>35</v>
      </c>
      <c r="K958" s="4" t="s">
        <v>1932</v>
      </c>
      <c r="L958" s="4" t="s">
        <v>37</v>
      </c>
      <c r="N958" s="21" t="s">
        <v>2165</v>
      </c>
      <c r="O958" s="21"/>
      <c r="P958" s="21" t="s">
        <v>2166</v>
      </c>
      <c r="Q958" s="21"/>
      <c r="R958" s="21"/>
      <c r="S958" s="3" t="s">
        <v>40</v>
      </c>
      <c r="T958" s="21" t="s">
        <v>41</v>
      </c>
      <c r="U958" s="21"/>
      <c r="V958" s="4" t="s">
        <v>42</v>
      </c>
      <c r="W958" s="4" t="s">
        <v>85</v>
      </c>
      <c r="X958" s="4" t="s">
        <v>86</v>
      </c>
      <c r="Y958" s="21" t="s">
        <v>1935</v>
      </c>
      <c r="Z958" s="21"/>
      <c r="AA958" s="4" t="s">
        <v>46</v>
      </c>
      <c r="AB958" s="4" t="s">
        <v>47</v>
      </c>
      <c r="AD958" s="4" t="s">
        <v>41</v>
      </c>
      <c r="AE958" s="4" t="s">
        <v>48</v>
      </c>
      <c r="AF958" s="4" t="s">
        <v>41</v>
      </c>
      <c r="AG958" s="4" t="s">
        <v>2167</v>
      </c>
    </row>
    <row r="959" spans="1:33" ht="16.5" customHeight="1" x14ac:dyDescent="0.2">
      <c r="A959" s="2" t="s">
        <v>31</v>
      </c>
      <c r="B959" s="19" t="s">
        <v>32</v>
      </c>
      <c r="C959" s="19"/>
      <c r="D959" s="19"/>
      <c r="E959" s="20" t="s">
        <v>33</v>
      </c>
      <c r="F959" s="20"/>
      <c r="G959" s="21" t="s">
        <v>2164</v>
      </c>
      <c r="H959" s="21"/>
      <c r="I959" s="21"/>
      <c r="J959" s="3" t="s">
        <v>35</v>
      </c>
      <c r="K959" s="4" t="s">
        <v>665</v>
      </c>
      <c r="L959" s="4" t="s">
        <v>37</v>
      </c>
      <c r="N959" s="21" t="s">
        <v>2168</v>
      </c>
      <c r="O959" s="21"/>
      <c r="P959" s="21" t="s">
        <v>2169</v>
      </c>
      <c r="Q959" s="21"/>
      <c r="R959" s="21"/>
      <c r="S959" s="3" t="s">
        <v>40</v>
      </c>
      <c r="T959" s="21" t="s">
        <v>668</v>
      </c>
      <c r="U959" s="21"/>
      <c r="V959" s="4" t="s">
        <v>59</v>
      </c>
      <c r="W959" s="4" t="s">
        <v>77</v>
      </c>
      <c r="X959" s="4" t="s">
        <v>311</v>
      </c>
      <c r="Y959" s="21" t="s">
        <v>669</v>
      </c>
      <c r="Z959" s="21"/>
      <c r="AA959" s="4" t="s">
        <v>46</v>
      </c>
      <c r="AB959" s="4" t="s">
        <v>47</v>
      </c>
      <c r="AD959" s="4" t="s">
        <v>41</v>
      </c>
      <c r="AE959" s="4" t="s">
        <v>48</v>
      </c>
      <c r="AF959" s="4" t="s">
        <v>41</v>
      </c>
      <c r="AG959" s="4" t="s">
        <v>2167</v>
      </c>
    </row>
    <row r="960" spans="1:33" ht="16.5" customHeight="1" x14ac:dyDescent="0.2">
      <c r="A960" s="2" t="s">
        <v>31</v>
      </c>
      <c r="B960" s="19" t="s">
        <v>50</v>
      </c>
      <c r="C960" s="19"/>
      <c r="D960" s="19"/>
      <c r="E960" s="20" t="s">
        <v>33</v>
      </c>
      <c r="F960" s="20"/>
      <c r="G960" s="21" t="s">
        <v>2164</v>
      </c>
      <c r="H960" s="21"/>
      <c r="I960" s="21"/>
      <c r="J960" s="3" t="s">
        <v>35</v>
      </c>
      <c r="K960" s="4" t="s">
        <v>169</v>
      </c>
      <c r="L960" s="4" t="s">
        <v>37</v>
      </c>
      <c r="N960" s="21" t="s">
        <v>2170</v>
      </c>
      <c r="O960" s="21"/>
      <c r="P960" s="21" t="s">
        <v>2171</v>
      </c>
      <c r="Q960" s="21"/>
      <c r="R960" s="21"/>
      <c r="S960" s="3" t="s">
        <v>40</v>
      </c>
      <c r="T960" s="21" t="s">
        <v>41</v>
      </c>
      <c r="U960" s="21"/>
      <c r="V960" s="4" t="s">
        <v>42</v>
      </c>
      <c r="W960" s="4" t="s">
        <v>734</v>
      </c>
      <c r="X960" s="4" t="s">
        <v>735</v>
      </c>
      <c r="Y960" s="21" t="s">
        <v>56</v>
      </c>
      <c r="Z960" s="21"/>
      <c r="AA960" s="4" t="s">
        <v>46</v>
      </c>
      <c r="AB960" s="4" t="s">
        <v>47</v>
      </c>
      <c r="AC960" s="4" t="s">
        <v>139</v>
      </c>
      <c r="AD960" s="4" t="s">
        <v>140</v>
      </c>
      <c r="AE960" s="4" t="s">
        <v>48</v>
      </c>
      <c r="AF960" s="4" t="s">
        <v>41</v>
      </c>
      <c r="AG960" s="4" t="s">
        <v>2167</v>
      </c>
    </row>
    <row r="961" spans="1:33" ht="16.5" customHeight="1" x14ac:dyDescent="0.2">
      <c r="A961" s="2" t="s">
        <v>31</v>
      </c>
      <c r="B961" s="19" t="s">
        <v>50</v>
      </c>
      <c r="C961" s="19"/>
      <c r="D961" s="19"/>
      <c r="E961" s="20" t="s">
        <v>33</v>
      </c>
      <c r="F961" s="20"/>
      <c r="G961" s="21" t="s">
        <v>2164</v>
      </c>
      <c r="H961" s="21"/>
      <c r="I961" s="21"/>
      <c r="J961" s="3" t="s">
        <v>35</v>
      </c>
      <c r="K961" s="4" t="s">
        <v>87</v>
      </c>
      <c r="L961" s="4" t="s">
        <v>37</v>
      </c>
      <c r="N961" s="21" t="s">
        <v>2172</v>
      </c>
      <c r="O961" s="21"/>
      <c r="P961" s="21" t="s">
        <v>2173</v>
      </c>
      <c r="Q961" s="21"/>
      <c r="R961" s="21"/>
      <c r="S961" s="3" t="s">
        <v>40</v>
      </c>
      <c r="T961" s="21" t="s">
        <v>41</v>
      </c>
      <c r="U961" s="21"/>
      <c r="V961" s="4" t="s">
        <v>42</v>
      </c>
      <c r="W961" s="4" t="s">
        <v>54</v>
      </c>
      <c r="X961" s="4" t="s">
        <v>55</v>
      </c>
      <c r="Y961" s="21" t="s">
        <v>56</v>
      </c>
      <c r="Z961" s="21"/>
      <c r="AA961" s="4" t="s">
        <v>46</v>
      </c>
      <c r="AB961" s="4" t="s">
        <v>47</v>
      </c>
      <c r="AC961" s="4" t="s">
        <v>57</v>
      </c>
      <c r="AD961" s="4" t="s">
        <v>58</v>
      </c>
      <c r="AE961" s="4" t="s">
        <v>48</v>
      </c>
      <c r="AF961" s="4" t="s">
        <v>41</v>
      </c>
      <c r="AG961" s="4" t="s">
        <v>2167</v>
      </c>
    </row>
    <row r="962" spans="1:33" ht="16.5" customHeight="1" x14ac:dyDescent="0.2">
      <c r="A962" s="2" t="s">
        <v>31</v>
      </c>
      <c r="B962" s="19" t="s">
        <v>50</v>
      </c>
      <c r="C962" s="19"/>
      <c r="D962" s="19"/>
      <c r="E962" s="20" t="s">
        <v>33</v>
      </c>
      <c r="F962" s="20"/>
      <c r="G962" s="21" t="s">
        <v>2164</v>
      </c>
      <c r="H962" s="21"/>
      <c r="I962" s="21"/>
      <c r="J962" s="3" t="s">
        <v>35</v>
      </c>
      <c r="K962" s="4" t="s">
        <v>169</v>
      </c>
      <c r="L962" s="4" t="s">
        <v>37</v>
      </c>
      <c r="N962" s="21" t="s">
        <v>2174</v>
      </c>
      <c r="O962" s="21"/>
      <c r="P962" s="21" t="s">
        <v>2175</v>
      </c>
      <c r="Q962" s="21"/>
      <c r="R962" s="21"/>
      <c r="S962" s="3" t="s">
        <v>40</v>
      </c>
      <c r="T962" s="21" t="s">
        <v>41</v>
      </c>
      <c r="U962" s="21"/>
      <c r="V962" s="4" t="s">
        <v>42</v>
      </c>
      <c r="W962" s="4" t="s">
        <v>54</v>
      </c>
      <c r="X962" s="4" t="s">
        <v>55</v>
      </c>
      <c r="Y962" s="21" t="s">
        <v>56</v>
      </c>
      <c r="Z962" s="21"/>
      <c r="AA962" s="4" t="s">
        <v>46</v>
      </c>
      <c r="AB962" s="4" t="s">
        <v>47</v>
      </c>
      <c r="AC962" s="4" t="s">
        <v>57</v>
      </c>
      <c r="AD962" s="4" t="s">
        <v>58</v>
      </c>
      <c r="AE962" s="4" t="s">
        <v>48</v>
      </c>
      <c r="AF962" s="4" t="s">
        <v>41</v>
      </c>
      <c r="AG962" s="4" t="s">
        <v>2167</v>
      </c>
    </row>
    <row r="963" spans="1:33" ht="16.5" customHeight="1" x14ac:dyDescent="0.2">
      <c r="A963" s="2" t="s">
        <v>31</v>
      </c>
      <c r="B963" s="19" t="s">
        <v>50</v>
      </c>
      <c r="C963" s="19"/>
      <c r="D963" s="19"/>
      <c r="E963" s="20" t="s">
        <v>33</v>
      </c>
      <c r="F963" s="20"/>
      <c r="G963" s="21" t="s">
        <v>2164</v>
      </c>
      <c r="H963" s="21"/>
      <c r="I963" s="21"/>
      <c r="J963" s="3" t="s">
        <v>35</v>
      </c>
      <c r="K963" s="4" t="s">
        <v>133</v>
      </c>
      <c r="L963" s="4" t="s">
        <v>37</v>
      </c>
      <c r="N963" s="21" t="s">
        <v>2176</v>
      </c>
      <c r="O963" s="21"/>
      <c r="P963" s="21" t="s">
        <v>2177</v>
      </c>
      <c r="Q963" s="21"/>
      <c r="R963" s="21"/>
      <c r="S963" s="3" t="s">
        <v>40</v>
      </c>
      <c r="T963" s="21" t="s">
        <v>41</v>
      </c>
      <c r="U963" s="21"/>
      <c r="V963" s="4" t="s">
        <v>42</v>
      </c>
      <c r="W963" s="4" t="s">
        <v>544</v>
      </c>
      <c r="X963" s="4" t="s">
        <v>545</v>
      </c>
      <c r="Y963" s="21" t="s">
        <v>138</v>
      </c>
      <c r="Z963" s="21"/>
      <c r="AA963" s="4" t="s">
        <v>46</v>
      </c>
      <c r="AB963" s="4" t="s">
        <v>47</v>
      </c>
      <c r="AC963" s="4" t="s">
        <v>139</v>
      </c>
      <c r="AD963" s="4" t="s">
        <v>140</v>
      </c>
      <c r="AE963" s="4" t="s">
        <v>48</v>
      </c>
      <c r="AF963" s="4" t="s">
        <v>41</v>
      </c>
      <c r="AG963" s="4" t="s">
        <v>2167</v>
      </c>
    </row>
    <row r="964" spans="1:33" ht="16.5" customHeight="1" x14ac:dyDescent="0.2">
      <c r="A964" s="2" t="s">
        <v>31</v>
      </c>
      <c r="B964" s="19" t="s">
        <v>110</v>
      </c>
      <c r="C964" s="19"/>
      <c r="D964" s="19"/>
      <c r="E964" s="20" t="s">
        <v>33</v>
      </c>
      <c r="F964" s="20"/>
      <c r="G964" s="21" t="s">
        <v>2164</v>
      </c>
      <c r="H964" s="21"/>
      <c r="I964" s="21"/>
      <c r="J964" s="3" t="s">
        <v>111</v>
      </c>
      <c r="K964" s="4" t="s">
        <v>514</v>
      </c>
      <c r="N964" s="21" t="s">
        <v>2176</v>
      </c>
      <c r="O964" s="21"/>
      <c r="P964" s="21" t="s">
        <v>2177</v>
      </c>
      <c r="Q964" s="21"/>
      <c r="R964" s="21"/>
      <c r="S964" s="3" t="s">
        <v>40</v>
      </c>
      <c r="T964" s="21" t="s">
        <v>555</v>
      </c>
      <c r="U964" s="21"/>
      <c r="V964" s="4" t="s">
        <v>42</v>
      </c>
      <c r="W964" s="4" t="s">
        <v>54</v>
      </c>
      <c r="X964" s="4" t="s">
        <v>300</v>
      </c>
      <c r="Y964" s="21" t="s">
        <v>116</v>
      </c>
      <c r="Z964" s="21"/>
      <c r="AA964" s="4" t="s">
        <v>46</v>
      </c>
      <c r="AB964" s="4" t="s">
        <v>117</v>
      </c>
      <c r="AC964" s="4" t="s">
        <v>118</v>
      </c>
      <c r="AD964" s="4" t="s">
        <v>2178</v>
      </c>
      <c r="AE964" s="4" t="s">
        <v>48</v>
      </c>
      <c r="AF964" s="4" t="s">
        <v>41</v>
      </c>
      <c r="AG964" s="4" t="s">
        <v>2167</v>
      </c>
    </row>
    <row r="965" spans="1:33" ht="16.5" customHeight="1" x14ac:dyDescent="0.2">
      <c r="A965" s="2" t="s">
        <v>31</v>
      </c>
      <c r="B965" s="19" t="s">
        <v>50</v>
      </c>
      <c r="C965" s="19"/>
      <c r="D965" s="19"/>
      <c r="E965" s="20" t="s">
        <v>33</v>
      </c>
      <c r="F965" s="20"/>
      <c r="G965" s="21" t="s">
        <v>2164</v>
      </c>
      <c r="H965" s="21"/>
      <c r="I965" s="21"/>
      <c r="J965" s="3" t="s">
        <v>35</v>
      </c>
      <c r="K965" s="4" t="s">
        <v>61</v>
      </c>
      <c r="L965" s="4" t="s">
        <v>37</v>
      </c>
      <c r="N965" s="21" t="s">
        <v>2179</v>
      </c>
      <c r="O965" s="21"/>
      <c r="P965" s="21" t="s">
        <v>2180</v>
      </c>
      <c r="Q965" s="21"/>
      <c r="R965" s="21"/>
      <c r="S965" s="3" t="s">
        <v>40</v>
      </c>
      <c r="T965" s="21" t="s">
        <v>41</v>
      </c>
      <c r="U965" s="21"/>
      <c r="V965" s="4" t="s">
        <v>42</v>
      </c>
      <c r="W965" s="4" t="s">
        <v>484</v>
      </c>
      <c r="X965" s="4" t="s">
        <v>485</v>
      </c>
      <c r="Y965" s="21" t="s">
        <v>65</v>
      </c>
      <c r="Z965" s="21"/>
      <c r="AA965" s="4" t="s">
        <v>46</v>
      </c>
      <c r="AB965" s="4" t="s">
        <v>47</v>
      </c>
      <c r="AC965" s="4" t="s">
        <v>57</v>
      </c>
      <c r="AD965" s="4" t="s">
        <v>58</v>
      </c>
      <c r="AE965" s="4" t="s">
        <v>48</v>
      </c>
      <c r="AF965" s="4" t="s">
        <v>41</v>
      </c>
      <c r="AG965" s="4" t="s">
        <v>2167</v>
      </c>
    </row>
    <row r="966" spans="1:33" ht="16.5" customHeight="1" x14ac:dyDescent="0.2">
      <c r="A966" s="2" t="s">
        <v>31</v>
      </c>
      <c r="B966" s="19" t="s">
        <v>50</v>
      </c>
      <c r="C966" s="19"/>
      <c r="D966" s="19"/>
      <c r="E966" s="20" t="s">
        <v>33</v>
      </c>
      <c r="F966" s="20"/>
      <c r="G966" s="21" t="s">
        <v>2164</v>
      </c>
      <c r="H966" s="21"/>
      <c r="I966" s="21"/>
      <c r="J966" s="3" t="s">
        <v>35</v>
      </c>
      <c r="K966" s="4" t="s">
        <v>82</v>
      </c>
      <c r="L966" s="4" t="s">
        <v>37</v>
      </c>
      <c r="N966" s="21" t="s">
        <v>2181</v>
      </c>
      <c r="O966" s="21"/>
      <c r="P966" s="21" t="s">
        <v>2182</v>
      </c>
      <c r="Q966" s="21"/>
      <c r="R966" s="21"/>
      <c r="S966" s="3" t="s">
        <v>40</v>
      </c>
      <c r="T966" s="21" t="s">
        <v>41</v>
      </c>
      <c r="U966" s="21"/>
      <c r="V966" s="4" t="s">
        <v>42</v>
      </c>
      <c r="W966" s="4" t="s">
        <v>54</v>
      </c>
      <c r="X966" s="4" t="s">
        <v>55</v>
      </c>
      <c r="Y966" s="21" t="s">
        <v>56</v>
      </c>
      <c r="Z966" s="21"/>
      <c r="AA966" s="4" t="s">
        <v>46</v>
      </c>
      <c r="AB966" s="4" t="s">
        <v>47</v>
      </c>
      <c r="AC966" s="4" t="s">
        <v>57</v>
      </c>
      <c r="AD966" s="4" t="s">
        <v>58</v>
      </c>
      <c r="AE966" s="4" t="s">
        <v>48</v>
      </c>
      <c r="AF966" s="4" t="s">
        <v>41</v>
      </c>
      <c r="AG966" s="4" t="s">
        <v>2167</v>
      </c>
    </row>
    <row r="967" spans="1:33" ht="16.5" customHeight="1" x14ac:dyDescent="0.2">
      <c r="A967" s="2" t="s">
        <v>31</v>
      </c>
      <c r="B967" s="19" t="s">
        <v>50</v>
      </c>
      <c r="C967" s="19"/>
      <c r="D967" s="19"/>
      <c r="E967" s="20" t="s">
        <v>33</v>
      </c>
      <c r="F967" s="20"/>
      <c r="G967" s="21" t="s">
        <v>2164</v>
      </c>
      <c r="H967" s="21"/>
      <c r="I967" s="21"/>
      <c r="J967" s="3" t="s">
        <v>35</v>
      </c>
      <c r="K967" s="4" t="s">
        <v>99</v>
      </c>
      <c r="L967" s="4" t="s">
        <v>37</v>
      </c>
      <c r="N967" s="21" t="s">
        <v>2183</v>
      </c>
      <c r="O967" s="21"/>
      <c r="P967" s="21" t="s">
        <v>2184</v>
      </c>
      <c r="Q967" s="21"/>
      <c r="R967" s="21"/>
      <c r="S967" s="3" t="s">
        <v>40</v>
      </c>
      <c r="T967" s="21" t="s">
        <v>41</v>
      </c>
      <c r="U967" s="21"/>
      <c r="V967" s="4" t="s">
        <v>42</v>
      </c>
      <c r="W967" s="4" t="s">
        <v>1103</v>
      </c>
      <c r="X967" s="4" t="s">
        <v>1104</v>
      </c>
      <c r="Y967" s="21" t="s">
        <v>56</v>
      </c>
      <c r="Z967" s="21"/>
      <c r="AA967" s="4" t="s">
        <v>46</v>
      </c>
      <c r="AB967" s="4" t="s">
        <v>47</v>
      </c>
      <c r="AC967" s="4" t="s">
        <v>139</v>
      </c>
      <c r="AD967" s="4" t="s">
        <v>140</v>
      </c>
      <c r="AE967" s="4" t="s">
        <v>48</v>
      </c>
      <c r="AF967" s="4" t="s">
        <v>41</v>
      </c>
      <c r="AG967" s="4" t="s">
        <v>2167</v>
      </c>
    </row>
    <row r="968" spans="1:33" ht="16.5" customHeight="1" x14ac:dyDescent="0.2">
      <c r="A968" s="2" t="s">
        <v>31</v>
      </c>
      <c r="B968" s="19" t="s">
        <v>50</v>
      </c>
      <c r="C968" s="19"/>
      <c r="D968" s="19"/>
      <c r="E968" s="20" t="s">
        <v>33</v>
      </c>
      <c r="F968" s="20"/>
      <c r="G968" s="21" t="s">
        <v>2164</v>
      </c>
      <c r="H968" s="21"/>
      <c r="I968" s="21"/>
      <c r="J968" s="3" t="s">
        <v>35</v>
      </c>
      <c r="K968" s="4" t="s">
        <v>61</v>
      </c>
      <c r="L968" s="4" t="s">
        <v>231</v>
      </c>
      <c r="N968" s="21" t="s">
        <v>2185</v>
      </c>
      <c r="O968" s="21"/>
      <c r="P968" s="21" t="s">
        <v>2186</v>
      </c>
      <c r="Q968" s="21"/>
      <c r="R968" s="21"/>
      <c r="S968" s="3" t="s">
        <v>40</v>
      </c>
      <c r="T968" s="21" t="s">
        <v>41</v>
      </c>
      <c r="U968" s="21"/>
      <c r="V968" s="4" t="s">
        <v>42</v>
      </c>
      <c r="W968" s="4" t="s">
        <v>157</v>
      </c>
      <c r="X968" s="4" t="s">
        <v>158</v>
      </c>
      <c r="Y968" s="21" t="s">
        <v>65</v>
      </c>
      <c r="Z968" s="21"/>
      <c r="AA968" s="4" t="s">
        <v>46</v>
      </c>
      <c r="AB968" s="4" t="s">
        <v>47</v>
      </c>
      <c r="AC968" s="4" t="s">
        <v>57</v>
      </c>
      <c r="AD968" s="4" t="s">
        <v>236</v>
      </c>
      <c r="AE968" s="4" t="s">
        <v>48</v>
      </c>
      <c r="AF968" s="4" t="s">
        <v>41</v>
      </c>
      <c r="AG968" s="4" t="s">
        <v>2167</v>
      </c>
    </row>
    <row r="969" spans="1:33" ht="16.5" customHeight="1" x14ac:dyDescent="0.2">
      <c r="A969" s="2" t="s">
        <v>31</v>
      </c>
      <c r="B969" s="19" t="s">
        <v>50</v>
      </c>
      <c r="C969" s="19"/>
      <c r="D969" s="19"/>
      <c r="E969" s="20" t="s">
        <v>33</v>
      </c>
      <c r="F969" s="20"/>
      <c r="G969" s="21" t="s">
        <v>2164</v>
      </c>
      <c r="H969" s="21"/>
      <c r="I969" s="21"/>
      <c r="J969" s="3" t="s">
        <v>35</v>
      </c>
      <c r="K969" s="4" t="s">
        <v>82</v>
      </c>
      <c r="L969" s="4" t="s">
        <v>37</v>
      </c>
      <c r="N969" s="21" t="s">
        <v>2187</v>
      </c>
      <c r="O969" s="21"/>
      <c r="P969" s="21" t="s">
        <v>2188</v>
      </c>
      <c r="Q969" s="21"/>
      <c r="R969" s="21"/>
      <c r="S969" s="3" t="s">
        <v>40</v>
      </c>
      <c r="T969" s="21" t="s">
        <v>41</v>
      </c>
      <c r="U969" s="21"/>
      <c r="V969" s="4" t="s">
        <v>59</v>
      </c>
      <c r="W969" s="4" t="s">
        <v>2189</v>
      </c>
      <c r="X969" s="4" t="s">
        <v>2190</v>
      </c>
      <c r="Y969" s="21" t="s">
        <v>56</v>
      </c>
      <c r="Z969" s="21"/>
      <c r="AA969" s="4" t="s">
        <v>46</v>
      </c>
      <c r="AB969" s="4" t="s">
        <v>47</v>
      </c>
      <c r="AC969" s="4" t="s">
        <v>81</v>
      </c>
      <c r="AD969" s="4" t="s">
        <v>41</v>
      </c>
      <c r="AE969" s="4" t="s">
        <v>48</v>
      </c>
      <c r="AF969" s="4" t="s">
        <v>41</v>
      </c>
      <c r="AG969" s="4" t="s">
        <v>2167</v>
      </c>
    </row>
    <row r="970" spans="1:33" ht="16.5" customHeight="1" x14ac:dyDescent="0.2">
      <c r="A970" s="2" t="s">
        <v>31</v>
      </c>
      <c r="B970" s="19" t="s">
        <v>50</v>
      </c>
      <c r="C970" s="19"/>
      <c r="D970" s="19"/>
      <c r="E970" s="20" t="s">
        <v>33</v>
      </c>
      <c r="F970" s="20"/>
      <c r="G970" s="21" t="s">
        <v>2164</v>
      </c>
      <c r="H970" s="21"/>
      <c r="I970" s="21"/>
      <c r="J970" s="3" t="s">
        <v>35</v>
      </c>
      <c r="K970" s="4" t="s">
        <v>51</v>
      </c>
      <c r="L970" s="4" t="s">
        <v>37</v>
      </c>
      <c r="N970" s="21" t="s">
        <v>2191</v>
      </c>
      <c r="O970" s="21"/>
      <c r="P970" s="21" t="s">
        <v>2192</v>
      </c>
      <c r="Q970" s="21"/>
      <c r="R970" s="21"/>
      <c r="S970" s="3" t="s">
        <v>40</v>
      </c>
      <c r="T970" s="21" t="s">
        <v>41</v>
      </c>
      <c r="U970" s="21"/>
      <c r="V970" s="4" t="s">
        <v>42</v>
      </c>
      <c r="W970" s="4" t="s">
        <v>2193</v>
      </c>
      <c r="X970" s="4" t="s">
        <v>2194</v>
      </c>
      <c r="Y970" s="21" t="s">
        <v>56</v>
      </c>
      <c r="Z970" s="21"/>
      <c r="AA970" s="4" t="s">
        <v>46</v>
      </c>
      <c r="AB970" s="4" t="s">
        <v>47</v>
      </c>
      <c r="AC970" s="4" t="s">
        <v>139</v>
      </c>
      <c r="AD970" s="4" t="s">
        <v>140</v>
      </c>
      <c r="AE970" s="4" t="s">
        <v>48</v>
      </c>
      <c r="AF970" s="4" t="s">
        <v>41</v>
      </c>
      <c r="AG970" s="4" t="s">
        <v>2167</v>
      </c>
    </row>
    <row r="971" spans="1:33" ht="16.5" customHeight="1" x14ac:dyDescent="0.2">
      <c r="A971" s="2" t="s">
        <v>31</v>
      </c>
      <c r="B971" s="19" t="s">
        <v>50</v>
      </c>
      <c r="C971" s="19"/>
      <c r="D971" s="19"/>
      <c r="E971" s="20" t="s">
        <v>33</v>
      </c>
      <c r="F971" s="20"/>
      <c r="G971" s="21" t="s">
        <v>2164</v>
      </c>
      <c r="H971" s="21"/>
      <c r="I971" s="21"/>
      <c r="J971" s="3" t="s">
        <v>35</v>
      </c>
      <c r="K971" s="4" t="s">
        <v>247</v>
      </c>
      <c r="L971" s="4" t="s">
        <v>37</v>
      </c>
      <c r="N971" s="21" t="s">
        <v>2195</v>
      </c>
      <c r="O971" s="21"/>
      <c r="P971" s="21" t="s">
        <v>2196</v>
      </c>
      <c r="Q971" s="21"/>
      <c r="R971" s="21"/>
      <c r="S971" s="3" t="s">
        <v>40</v>
      </c>
      <c r="T971" s="21" t="s">
        <v>41</v>
      </c>
      <c r="U971" s="21"/>
      <c r="V971" s="4" t="s">
        <v>42</v>
      </c>
      <c r="W971" s="4" t="s">
        <v>213</v>
      </c>
      <c r="X971" s="4" t="s">
        <v>531</v>
      </c>
      <c r="Y971" s="21" t="s">
        <v>65</v>
      </c>
      <c r="Z971" s="21"/>
      <c r="AA971" s="4" t="s">
        <v>46</v>
      </c>
      <c r="AB971" s="4" t="s">
        <v>47</v>
      </c>
      <c r="AC971" s="4" t="s">
        <v>57</v>
      </c>
      <c r="AD971" s="4" t="s">
        <v>58</v>
      </c>
      <c r="AE971" s="4" t="s">
        <v>48</v>
      </c>
      <c r="AF971" s="4" t="s">
        <v>41</v>
      </c>
      <c r="AG971" s="4" t="s">
        <v>2167</v>
      </c>
    </row>
    <row r="972" spans="1:33" ht="16.5" customHeight="1" x14ac:dyDescent="0.2">
      <c r="A972" s="2" t="s">
        <v>31</v>
      </c>
      <c r="B972" s="19" t="s">
        <v>50</v>
      </c>
      <c r="C972" s="19"/>
      <c r="D972" s="19"/>
      <c r="E972" s="20" t="s">
        <v>33</v>
      </c>
      <c r="F972" s="20"/>
      <c r="G972" s="21" t="s">
        <v>2164</v>
      </c>
      <c r="H972" s="21"/>
      <c r="I972" s="21"/>
      <c r="J972" s="3" t="s">
        <v>35</v>
      </c>
      <c r="K972" s="4" t="s">
        <v>383</v>
      </c>
      <c r="L972" s="4" t="s">
        <v>37</v>
      </c>
      <c r="N972" s="21" t="s">
        <v>2197</v>
      </c>
      <c r="O972" s="21"/>
      <c r="P972" s="21" t="s">
        <v>2198</v>
      </c>
      <c r="Q972" s="21"/>
      <c r="R972" s="21"/>
      <c r="S972" s="3" t="s">
        <v>40</v>
      </c>
      <c r="T972" s="21" t="s">
        <v>41</v>
      </c>
      <c r="U972" s="21"/>
      <c r="V972" s="4" t="s">
        <v>42</v>
      </c>
      <c r="W972" s="4" t="s">
        <v>54</v>
      </c>
      <c r="X972" s="4" t="s">
        <v>55</v>
      </c>
      <c r="Y972" s="21" t="s">
        <v>198</v>
      </c>
      <c r="Z972" s="21"/>
      <c r="AA972" s="4" t="s">
        <v>46</v>
      </c>
      <c r="AB972" s="4" t="s">
        <v>47</v>
      </c>
      <c r="AC972" s="4" t="s">
        <v>139</v>
      </c>
      <c r="AD972" s="4" t="s">
        <v>140</v>
      </c>
      <c r="AE972" s="4" t="s">
        <v>48</v>
      </c>
      <c r="AF972" s="4" t="s">
        <v>41</v>
      </c>
      <c r="AG972" s="4" t="s">
        <v>2167</v>
      </c>
    </row>
    <row r="973" spans="1:33" ht="16.5" customHeight="1" x14ac:dyDescent="0.2">
      <c r="A973" s="2" t="s">
        <v>31</v>
      </c>
      <c r="B973" s="19" t="s">
        <v>50</v>
      </c>
      <c r="C973" s="19"/>
      <c r="D973" s="19"/>
      <c r="E973" s="20" t="s">
        <v>33</v>
      </c>
      <c r="F973" s="20"/>
      <c r="G973" s="21" t="s">
        <v>2164</v>
      </c>
      <c r="H973" s="21"/>
      <c r="I973" s="21"/>
      <c r="J973" s="3" t="s">
        <v>35</v>
      </c>
      <c r="K973" s="4" t="s">
        <v>146</v>
      </c>
      <c r="L973" s="4" t="s">
        <v>37</v>
      </c>
      <c r="N973" s="21" t="s">
        <v>2199</v>
      </c>
      <c r="O973" s="21"/>
      <c r="P973" s="21" t="s">
        <v>2200</v>
      </c>
      <c r="Q973" s="21"/>
      <c r="R973" s="21"/>
      <c r="S973" s="3" t="s">
        <v>40</v>
      </c>
      <c r="T973" s="21" t="s">
        <v>41</v>
      </c>
      <c r="U973" s="21"/>
      <c r="V973" s="4" t="s">
        <v>42</v>
      </c>
      <c r="W973" s="4" t="s">
        <v>2201</v>
      </c>
      <c r="X973" s="4" t="s">
        <v>2202</v>
      </c>
      <c r="Y973" s="21" t="s">
        <v>138</v>
      </c>
      <c r="Z973" s="21"/>
      <c r="AA973" s="4" t="s">
        <v>46</v>
      </c>
      <c r="AB973" s="4" t="s">
        <v>47</v>
      </c>
      <c r="AC973" s="4" t="s">
        <v>139</v>
      </c>
      <c r="AD973" s="4" t="s">
        <v>140</v>
      </c>
      <c r="AE973" s="4" t="s">
        <v>48</v>
      </c>
      <c r="AF973" s="4" t="s">
        <v>41</v>
      </c>
      <c r="AG973" s="4" t="s">
        <v>2167</v>
      </c>
    </row>
    <row r="974" spans="1:33" ht="16.5" customHeight="1" x14ac:dyDescent="0.2">
      <c r="A974" s="2" t="s">
        <v>31</v>
      </c>
      <c r="B974" s="19" t="s">
        <v>50</v>
      </c>
      <c r="C974" s="19"/>
      <c r="D974" s="19"/>
      <c r="E974" s="20" t="s">
        <v>33</v>
      </c>
      <c r="F974" s="20"/>
      <c r="G974" s="21" t="s">
        <v>2164</v>
      </c>
      <c r="H974" s="21"/>
      <c r="I974" s="21"/>
      <c r="J974" s="3" t="s">
        <v>35</v>
      </c>
      <c r="K974" s="4" t="s">
        <v>61</v>
      </c>
      <c r="L974" s="4" t="s">
        <v>37</v>
      </c>
      <c r="N974" s="21" t="s">
        <v>2203</v>
      </c>
      <c r="O974" s="21"/>
      <c r="P974" s="21" t="s">
        <v>2204</v>
      </c>
      <c r="Q974" s="21"/>
      <c r="R974" s="21"/>
      <c r="S974" s="3" t="s">
        <v>40</v>
      </c>
      <c r="T974" s="21" t="s">
        <v>41</v>
      </c>
      <c r="U974" s="21"/>
      <c r="V974" s="4" t="s">
        <v>42</v>
      </c>
      <c r="W974" s="4" t="s">
        <v>217</v>
      </c>
      <c r="X974" s="4" t="s">
        <v>218</v>
      </c>
      <c r="Y974" s="21" t="s">
        <v>65</v>
      </c>
      <c r="Z974" s="21"/>
      <c r="AA974" s="4" t="s">
        <v>46</v>
      </c>
      <c r="AB974" s="4" t="s">
        <v>47</v>
      </c>
      <c r="AC974" s="4" t="s">
        <v>57</v>
      </c>
      <c r="AD974" s="4" t="s">
        <v>58</v>
      </c>
      <c r="AE974" s="4" t="s">
        <v>48</v>
      </c>
      <c r="AF974" s="4" t="s">
        <v>41</v>
      </c>
      <c r="AG974" s="4" t="s">
        <v>2167</v>
      </c>
    </row>
    <row r="975" spans="1:33" ht="16.5" customHeight="1" x14ac:dyDescent="0.2">
      <c r="A975" s="2" t="s">
        <v>31</v>
      </c>
      <c r="B975" s="19" t="s">
        <v>50</v>
      </c>
      <c r="C975" s="19"/>
      <c r="D975" s="19"/>
      <c r="E975" s="20" t="s">
        <v>33</v>
      </c>
      <c r="F975" s="20"/>
      <c r="G975" s="21" t="s">
        <v>2164</v>
      </c>
      <c r="H975" s="21"/>
      <c r="I975" s="21"/>
      <c r="J975" s="3" t="s">
        <v>35</v>
      </c>
      <c r="K975" s="4" t="s">
        <v>383</v>
      </c>
      <c r="L975" s="4" t="s">
        <v>68</v>
      </c>
      <c r="N975" s="21" t="s">
        <v>2205</v>
      </c>
      <c r="O975" s="21"/>
      <c r="P975" s="21" t="s">
        <v>2206</v>
      </c>
      <c r="Q975" s="21"/>
      <c r="R975" s="21"/>
      <c r="S975" s="3" t="s">
        <v>40</v>
      </c>
      <c r="T975" s="21" t="s">
        <v>41</v>
      </c>
      <c r="U975" s="21"/>
      <c r="V975" s="4" t="s">
        <v>42</v>
      </c>
      <c r="W975" s="4" t="s">
        <v>54</v>
      </c>
      <c r="X975" s="4" t="s">
        <v>55</v>
      </c>
      <c r="Y975" s="21" t="s">
        <v>198</v>
      </c>
      <c r="Z975" s="21"/>
      <c r="AA975" s="4" t="s">
        <v>46</v>
      </c>
      <c r="AB975" s="4" t="s">
        <v>47</v>
      </c>
      <c r="AC975" s="4" t="s">
        <v>139</v>
      </c>
      <c r="AD975" s="4" t="s">
        <v>151</v>
      </c>
      <c r="AE975" s="4" t="s">
        <v>48</v>
      </c>
      <c r="AF975" s="4" t="s">
        <v>41</v>
      </c>
      <c r="AG975" s="4" t="s">
        <v>2167</v>
      </c>
    </row>
    <row r="976" spans="1:33" ht="16.5" customHeight="1" x14ac:dyDescent="0.2">
      <c r="A976" s="2" t="s">
        <v>31</v>
      </c>
      <c r="B976" s="19" t="s">
        <v>50</v>
      </c>
      <c r="C976" s="19"/>
      <c r="D976" s="19"/>
      <c r="E976" s="20" t="s">
        <v>33</v>
      </c>
      <c r="F976" s="20"/>
      <c r="G976" s="21" t="s">
        <v>2164</v>
      </c>
      <c r="H976" s="21"/>
      <c r="I976" s="21"/>
      <c r="J976" s="3" t="s">
        <v>35</v>
      </c>
      <c r="K976" s="4" t="s">
        <v>61</v>
      </c>
      <c r="L976" s="4" t="s">
        <v>37</v>
      </c>
      <c r="N976" s="21" t="s">
        <v>2207</v>
      </c>
      <c r="O976" s="21"/>
      <c r="P976" s="21" t="s">
        <v>2208</v>
      </c>
      <c r="Q976" s="21"/>
      <c r="R976" s="21"/>
      <c r="S976" s="3" t="s">
        <v>40</v>
      </c>
      <c r="T976" s="21" t="s">
        <v>41</v>
      </c>
      <c r="U976" s="21"/>
      <c r="V976" s="4" t="s">
        <v>42</v>
      </c>
      <c r="W976" s="4" t="s">
        <v>217</v>
      </c>
      <c r="X976" s="4" t="s">
        <v>218</v>
      </c>
      <c r="Y976" s="21" t="s">
        <v>65</v>
      </c>
      <c r="Z976" s="21"/>
      <c r="AA976" s="4" t="s">
        <v>46</v>
      </c>
      <c r="AB976" s="4" t="s">
        <v>47</v>
      </c>
      <c r="AC976" s="4" t="s">
        <v>57</v>
      </c>
      <c r="AD976" s="4" t="s">
        <v>58</v>
      </c>
      <c r="AE976" s="4" t="s">
        <v>48</v>
      </c>
      <c r="AF976" s="4" t="s">
        <v>41</v>
      </c>
      <c r="AG976" s="4" t="s">
        <v>2167</v>
      </c>
    </row>
    <row r="977" spans="1:33" ht="0.75" customHeight="1" x14ac:dyDescent="0.2"/>
    <row r="978" spans="1:33" ht="12" customHeight="1" x14ac:dyDescent="0.2"/>
    <row r="979" spans="1:33" ht="16.5" customHeight="1" x14ac:dyDescent="0.2">
      <c r="A979" s="2" t="s">
        <v>31</v>
      </c>
      <c r="B979" s="19" t="s">
        <v>50</v>
      </c>
      <c r="C979" s="19"/>
      <c r="D979" s="19"/>
      <c r="E979" s="20" t="s">
        <v>33</v>
      </c>
      <c r="F979" s="20"/>
      <c r="G979" s="21" t="s">
        <v>2164</v>
      </c>
      <c r="H979" s="21"/>
      <c r="I979" s="21"/>
      <c r="J979" s="3" t="s">
        <v>35</v>
      </c>
      <c r="K979" s="4" t="s">
        <v>146</v>
      </c>
      <c r="L979" s="4" t="s">
        <v>231</v>
      </c>
      <c r="N979" s="21" t="s">
        <v>2209</v>
      </c>
      <c r="O979" s="21"/>
      <c r="P979" s="21" t="s">
        <v>2210</v>
      </c>
      <c r="Q979" s="21"/>
      <c r="R979" s="21"/>
      <c r="S979" s="3" t="s">
        <v>40</v>
      </c>
      <c r="T979" s="21" t="s">
        <v>41</v>
      </c>
      <c r="U979" s="21"/>
      <c r="V979" s="4" t="s">
        <v>42</v>
      </c>
      <c r="W979" s="4" t="s">
        <v>217</v>
      </c>
      <c r="X979" s="4" t="s">
        <v>218</v>
      </c>
      <c r="Y979" s="21" t="s">
        <v>138</v>
      </c>
      <c r="Z979" s="21"/>
      <c r="AA979" s="4" t="s">
        <v>46</v>
      </c>
      <c r="AB979" s="4" t="s">
        <v>47</v>
      </c>
      <c r="AC979" s="4" t="s">
        <v>139</v>
      </c>
      <c r="AD979" s="4" t="s">
        <v>449</v>
      </c>
      <c r="AE979" s="4" t="s">
        <v>48</v>
      </c>
      <c r="AF979" s="4" t="s">
        <v>41</v>
      </c>
      <c r="AG979" s="4" t="s">
        <v>2167</v>
      </c>
    </row>
    <row r="980" spans="1:33" ht="16.5" customHeight="1" x14ac:dyDescent="0.2">
      <c r="A980" s="2" t="s">
        <v>31</v>
      </c>
      <c r="B980" s="19" t="s">
        <v>50</v>
      </c>
      <c r="C980" s="19"/>
      <c r="D980" s="19"/>
      <c r="E980" s="20" t="s">
        <v>33</v>
      </c>
      <c r="F980" s="20"/>
      <c r="G980" s="21" t="s">
        <v>2164</v>
      </c>
      <c r="H980" s="21"/>
      <c r="I980" s="21"/>
      <c r="J980" s="3" t="s">
        <v>35</v>
      </c>
      <c r="K980" s="4" t="s">
        <v>74</v>
      </c>
      <c r="L980" s="4" t="s">
        <v>37</v>
      </c>
      <c r="N980" s="21" t="s">
        <v>2211</v>
      </c>
      <c r="O980" s="21"/>
      <c r="P980" s="21" t="s">
        <v>2212</v>
      </c>
      <c r="Q980" s="21"/>
      <c r="R980" s="21"/>
      <c r="S980" s="3" t="s">
        <v>40</v>
      </c>
      <c r="T980" s="21" t="s">
        <v>41</v>
      </c>
      <c r="U980" s="21"/>
      <c r="V980" s="4" t="s">
        <v>42</v>
      </c>
      <c r="W980" s="4" t="s">
        <v>229</v>
      </c>
      <c r="X980" s="4" t="s">
        <v>448</v>
      </c>
      <c r="Y980" s="21" t="s">
        <v>65</v>
      </c>
      <c r="Z980" s="21"/>
      <c r="AA980" s="4" t="s">
        <v>46</v>
      </c>
      <c r="AB980" s="4" t="s">
        <v>47</v>
      </c>
      <c r="AC980" s="4" t="s">
        <v>81</v>
      </c>
      <c r="AD980" s="4" t="s">
        <v>41</v>
      </c>
      <c r="AE980" s="4" t="s">
        <v>48</v>
      </c>
      <c r="AF980" s="4" t="s">
        <v>41</v>
      </c>
      <c r="AG980" s="4" t="s">
        <v>2167</v>
      </c>
    </row>
    <row r="981" spans="1:33" ht="16.5" customHeight="1" x14ac:dyDescent="0.2">
      <c r="A981" s="2" t="s">
        <v>31</v>
      </c>
      <c r="B981" s="19" t="s">
        <v>50</v>
      </c>
      <c r="C981" s="19"/>
      <c r="D981" s="19"/>
      <c r="E981" s="20" t="s">
        <v>33</v>
      </c>
      <c r="F981" s="20"/>
      <c r="G981" s="21" t="s">
        <v>2164</v>
      </c>
      <c r="H981" s="21"/>
      <c r="I981" s="21"/>
      <c r="J981" s="3" t="s">
        <v>35</v>
      </c>
      <c r="K981" s="4" t="s">
        <v>99</v>
      </c>
      <c r="L981" s="4" t="s">
        <v>37</v>
      </c>
      <c r="N981" s="21" t="s">
        <v>2213</v>
      </c>
      <c r="O981" s="21"/>
      <c r="P981" s="21" t="s">
        <v>2214</v>
      </c>
      <c r="Q981" s="21"/>
      <c r="R981" s="21"/>
      <c r="S981" s="3" t="s">
        <v>40</v>
      </c>
      <c r="T981" s="21" t="s">
        <v>41</v>
      </c>
      <c r="U981" s="21"/>
      <c r="V981" s="4" t="s">
        <v>42</v>
      </c>
      <c r="W981" s="4" t="s">
        <v>229</v>
      </c>
      <c r="X981" s="4" t="s">
        <v>448</v>
      </c>
      <c r="Y981" s="21" t="s">
        <v>56</v>
      </c>
      <c r="Z981" s="21"/>
      <c r="AA981" s="4" t="s">
        <v>46</v>
      </c>
      <c r="AB981" s="4" t="s">
        <v>47</v>
      </c>
      <c r="AC981" s="4" t="s">
        <v>139</v>
      </c>
      <c r="AD981" s="4" t="s">
        <v>140</v>
      </c>
      <c r="AE981" s="4" t="s">
        <v>48</v>
      </c>
      <c r="AF981" s="4" t="s">
        <v>41</v>
      </c>
      <c r="AG981" s="4" t="s">
        <v>2167</v>
      </c>
    </row>
    <row r="982" spans="1:33" ht="16.5" customHeight="1" x14ac:dyDescent="0.2">
      <c r="A982" s="2" t="s">
        <v>31</v>
      </c>
      <c r="B982" s="19" t="s">
        <v>50</v>
      </c>
      <c r="C982" s="19"/>
      <c r="D982" s="19"/>
      <c r="E982" s="20" t="s">
        <v>33</v>
      </c>
      <c r="F982" s="20"/>
      <c r="G982" s="21" t="s">
        <v>2164</v>
      </c>
      <c r="H982" s="21"/>
      <c r="I982" s="21"/>
      <c r="J982" s="3" t="s">
        <v>35</v>
      </c>
      <c r="K982" s="4" t="s">
        <v>247</v>
      </c>
      <c r="L982" s="4" t="s">
        <v>37</v>
      </c>
      <c r="N982" s="21" t="s">
        <v>2215</v>
      </c>
      <c r="O982" s="21"/>
      <c r="P982" s="21" t="s">
        <v>2216</v>
      </c>
      <c r="Q982" s="21"/>
      <c r="R982" s="21"/>
      <c r="S982" s="3" t="s">
        <v>40</v>
      </c>
      <c r="T982" s="21" t="s">
        <v>41</v>
      </c>
      <c r="U982" s="21"/>
      <c r="V982" s="4" t="s">
        <v>42</v>
      </c>
      <c r="W982" s="4" t="s">
        <v>229</v>
      </c>
      <c r="X982" s="4" t="s">
        <v>448</v>
      </c>
      <c r="Y982" s="21" t="s">
        <v>65</v>
      </c>
      <c r="Z982" s="21"/>
      <c r="AA982" s="4" t="s">
        <v>46</v>
      </c>
      <c r="AB982" s="4" t="s">
        <v>47</v>
      </c>
      <c r="AC982" s="4" t="s">
        <v>57</v>
      </c>
      <c r="AD982" s="4" t="s">
        <v>58</v>
      </c>
      <c r="AE982" s="4" t="s">
        <v>48</v>
      </c>
      <c r="AF982" s="4" t="s">
        <v>41</v>
      </c>
      <c r="AG982" s="4" t="s">
        <v>2167</v>
      </c>
    </row>
    <row r="983" spans="1:33" ht="16.5" customHeight="1" x14ac:dyDescent="0.2">
      <c r="A983" s="2" t="s">
        <v>31</v>
      </c>
      <c r="B983" s="19" t="s">
        <v>50</v>
      </c>
      <c r="C983" s="19"/>
      <c r="D983" s="19"/>
      <c r="E983" s="20" t="s">
        <v>33</v>
      </c>
      <c r="F983" s="20"/>
      <c r="G983" s="21" t="s">
        <v>2164</v>
      </c>
      <c r="H983" s="21"/>
      <c r="I983" s="21"/>
      <c r="J983" s="3" t="s">
        <v>35</v>
      </c>
      <c r="K983" s="4" t="s">
        <v>204</v>
      </c>
      <c r="L983" s="4" t="s">
        <v>37</v>
      </c>
      <c r="N983" s="21" t="s">
        <v>2217</v>
      </c>
      <c r="O983" s="21"/>
      <c r="P983" s="21" t="s">
        <v>2218</v>
      </c>
      <c r="Q983" s="21"/>
      <c r="R983" s="21"/>
      <c r="S983" s="3" t="s">
        <v>40</v>
      </c>
      <c r="T983" s="21" t="s">
        <v>41</v>
      </c>
      <c r="U983" s="21"/>
      <c r="V983" s="4" t="s">
        <v>42</v>
      </c>
      <c r="W983" s="4" t="s">
        <v>54</v>
      </c>
      <c r="X983" s="4" t="s">
        <v>55</v>
      </c>
      <c r="Y983" s="21" t="s">
        <v>198</v>
      </c>
      <c r="Z983" s="21"/>
      <c r="AA983" s="4" t="s">
        <v>46</v>
      </c>
      <c r="AB983" s="4" t="s">
        <v>47</v>
      </c>
      <c r="AC983" s="4" t="s">
        <v>139</v>
      </c>
      <c r="AD983" s="4" t="s">
        <v>140</v>
      </c>
      <c r="AE983" s="4" t="s">
        <v>48</v>
      </c>
      <c r="AF983" s="4" t="s">
        <v>41</v>
      </c>
      <c r="AG983" s="4" t="s">
        <v>2167</v>
      </c>
    </row>
    <row r="984" spans="1:33" ht="16.5" customHeight="1" x14ac:dyDescent="0.2">
      <c r="A984" s="2" t="s">
        <v>31</v>
      </c>
      <c r="B984" s="19" t="s">
        <v>50</v>
      </c>
      <c r="C984" s="19"/>
      <c r="D984" s="19"/>
      <c r="E984" s="20" t="s">
        <v>33</v>
      </c>
      <c r="F984" s="20"/>
      <c r="G984" s="21" t="s">
        <v>2164</v>
      </c>
      <c r="H984" s="21"/>
      <c r="I984" s="21"/>
      <c r="J984" s="3" t="s">
        <v>35</v>
      </c>
      <c r="K984" s="4" t="s">
        <v>51</v>
      </c>
      <c r="L984" s="4" t="s">
        <v>68</v>
      </c>
      <c r="N984" s="21" t="s">
        <v>2219</v>
      </c>
      <c r="O984" s="21"/>
      <c r="P984" s="21" t="s">
        <v>2220</v>
      </c>
      <c r="Q984" s="21"/>
      <c r="R984" s="21"/>
      <c r="S984" s="3" t="s">
        <v>40</v>
      </c>
      <c r="T984" s="21" t="s">
        <v>41</v>
      </c>
      <c r="U984" s="21"/>
      <c r="V984" s="4" t="s">
        <v>42</v>
      </c>
      <c r="W984" s="4" t="s">
        <v>350</v>
      </c>
      <c r="X984" s="4" t="s">
        <v>339</v>
      </c>
      <c r="Y984" s="21" t="s">
        <v>56</v>
      </c>
      <c r="Z984" s="21"/>
      <c r="AA984" s="4" t="s">
        <v>46</v>
      </c>
      <c r="AB984" s="4" t="s">
        <v>47</v>
      </c>
      <c r="AC984" s="4" t="s">
        <v>139</v>
      </c>
      <c r="AD984" s="4" t="s">
        <v>151</v>
      </c>
      <c r="AE984" s="4" t="s">
        <v>48</v>
      </c>
      <c r="AF984" s="4" t="s">
        <v>41</v>
      </c>
      <c r="AG984" s="4" t="s">
        <v>2167</v>
      </c>
    </row>
    <row r="985" spans="1:33" ht="16.5" customHeight="1" x14ac:dyDescent="0.2">
      <c r="A985" s="2" t="s">
        <v>31</v>
      </c>
      <c r="B985" s="19" t="s">
        <v>50</v>
      </c>
      <c r="C985" s="19"/>
      <c r="D985" s="19"/>
      <c r="E985" s="20" t="s">
        <v>33</v>
      </c>
      <c r="F985" s="20"/>
      <c r="G985" s="21" t="s">
        <v>2164</v>
      </c>
      <c r="H985" s="21"/>
      <c r="I985" s="21"/>
      <c r="J985" s="3" t="s">
        <v>35</v>
      </c>
      <c r="K985" s="4" t="s">
        <v>146</v>
      </c>
      <c r="L985" s="4" t="s">
        <v>37</v>
      </c>
      <c r="N985" s="21" t="s">
        <v>2221</v>
      </c>
      <c r="O985" s="21"/>
      <c r="P985" s="21" t="s">
        <v>2222</v>
      </c>
      <c r="Q985" s="21"/>
      <c r="R985" s="21"/>
      <c r="S985" s="3" t="s">
        <v>40</v>
      </c>
      <c r="T985" s="21" t="s">
        <v>41</v>
      </c>
      <c r="U985" s="21"/>
      <c r="V985" s="4" t="s">
        <v>42</v>
      </c>
      <c r="W985" s="4" t="s">
        <v>1493</v>
      </c>
      <c r="X985" s="4" t="s">
        <v>1494</v>
      </c>
      <c r="Y985" s="21" t="s">
        <v>138</v>
      </c>
      <c r="Z985" s="21"/>
      <c r="AA985" s="4" t="s">
        <v>46</v>
      </c>
      <c r="AB985" s="4" t="s">
        <v>47</v>
      </c>
      <c r="AC985" s="4" t="s">
        <v>139</v>
      </c>
      <c r="AD985" s="4" t="s">
        <v>140</v>
      </c>
      <c r="AE985" s="4" t="s">
        <v>48</v>
      </c>
      <c r="AF985" s="4" t="s">
        <v>41</v>
      </c>
      <c r="AG985" s="4" t="s">
        <v>2167</v>
      </c>
    </row>
    <row r="986" spans="1:33" ht="16.5" customHeight="1" x14ac:dyDescent="0.2">
      <c r="A986" s="2" t="s">
        <v>31</v>
      </c>
      <c r="B986" s="19" t="s">
        <v>50</v>
      </c>
      <c r="C986" s="19"/>
      <c r="D986" s="19"/>
      <c r="E986" s="20" t="s">
        <v>33</v>
      </c>
      <c r="F986" s="20"/>
      <c r="G986" s="21" t="s">
        <v>2164</v>
      </c>
      <c r="H986" s="21"/>
      <c r="I986" s="21"/>
      <c r="J986" s="3" t="s">
        <v>35</v>
      </c>
      <c r="K986" s="4" t="s">
        <v>152</v>
      </c>
      <c r="L986" s="4" t="s">
        <v>37</v>
      </c>
      <c r="N986" s="21" t="s">
        <v>2223</v>
      </c>
      <c r="O986" s="21"/>
      <c r="P986" s="21" t="s">
        <v>2224</v>
      </c>
      <c r="Q986" s="21"/>
      <c r="R986" s="21"/>
      <c r="S986" s="3" t="s">
        <v>40</v>
      </c>
      <c r="T986" s="21" t="s">
        <v>41</v>
      </c>
      <c r="U986" s="21"/>
      <c r="V986" s="4" t="s">
        <v>42</v>
      </c>
      <c r="W986" s="4" t="s">
        <v>157</v>
      </c>
      <c r="X986" s="4" t="s">
        <v>158</v>
      </c>
      <c r="Y986" s="21" t="s">
        <v>56</v>
      </c>
      <c r="Z986" s="21"/>
      <c r="AA986" s="4" t="s">
        <v>46</v>
      </c>
      <c r="AB986" s="4" t="s">
        <v>47</v>
      </c>
      <c r="AC986" s="4" t="s">
        <v>139</v>
      </c>
      <c r="AD986" s="4" t="s">
        <v>140</v>
      </c>
      <c r="AE986" s="4" t="s">
        <v>48</v>
      </c>
      <c r="AF986" s="4" t="s">
        <v>41</v>
      </c>
      <c r="AG986" s="4" t="s">
        <v>2167</v>
      </c>
    </row>
    <row r="987" spans="1:33" ht="16.5" customHeight="1" x14ac:dyDescent="0.2">
      <c r="A987" s="2" t="s">
        <v>31</v>
      </c>
      <c r="B987" s="19" t="s">
        <v>50</v>
      </c>
      <c r="C987" s="19"/>
      <c r="D987" s="19"/>
      <c r="E987" s="20" t="s">
        <v>33</v>
      </c>
      <c r="F987" s="20"/>
      <c r="G987" s="21" t="s">
        <v>2164</v>
      </c>
      <c r="H987" s="21"/>
      <c r="I987" s="21"/>
      <c r="J987" s="3" t="s">
        <v>35</v>
      </c>
      <c r="K987" s="4" t="s">
        <v>152</v>
      </c>
      <c r="L987" s="4" t="s">
        <v>179</v>
      </c>
      <c r="N987" s="21" t="s">
        <v>2223</v>
      </c>
      <c r="O987" s="21"/>
      <c r="P987" s="21" t="s">
        <v>2224</v>
      </c>
      <c r="Q987" s="21"/>
      <c r="R987" s="21"/>
      <c r="S987" s="3" t="s">
        <v>40</v>
      </c>
      <c r="T987" s="21" t="s">
        <v>41</v>
      </c>
      <c r="U987" s="21"/>
      <c r="V987" s="4" t="s">
        <v>59</v>
      </c>
      <c r="W987" s="4" t="s">
        <v>157</v>
      </c>
      <c r="X987" s="4" t="s">
        <v>172</v>
      </c>
      <c r="Y987" s="21" t="s">
        <v>56</v>
      </c>
      <c r="Z987" s="21"/>
      <c r="AA987" s="4" t="s">
        <v>46</v>
      </c>
      <c r="AB987" s="4" t="s">
        <v>47</v>
      </c>
      <c r="AC987" s="4" t="s">
        <v>139</v>
      </c>
      <c r="AD987" s="4" t="s">
        <v>1435</v>
      </c>
      <c r="AE987" s="4" t="s">
        <v>48</v>
      </c>
      <c r="AF987" s="4" t="s">
        <v>41</v>
      </c>
      <c r="AG987" s="4" t="s">
        <v>2167</v>
      </c>
    </row>
    <row r="988" spans="1:33" ht="16.5" customHeight="1" x14ac:dyDescent="0.2">
      <c r="A988" s="2" t="s">
        <v>31</v>
      </c>
      <c r="B988" s="19" t="s">
        <v>50</v>
      </c>
      <c r="C988" s="19"/>
      <c r="D988" s="19"/>
      <c r="E988" s="20" t="s">
        <v>33</v>
      </c>
      <c r="F988" s="20"/>
      <c r="G988" s="21" t="s">
        <v>2164</v>
      </c>
      <c r="H988" s="21"/>
      <c r="I988" s="21"/>
      <c r="J988" s="3" t="s">
        <v>35</v>
      </c>
      <c r="K988" s="4" t="s">
        <v>152</v>
      </c>
      <c r="L988" s="4" t="s">
        <v>37</v>
      </c>
      <c r="N988" s="21" t="s">
        <v>2223</v>
      </c>
      <c r="O988" s="21"/>
      <c r="P988" s="21" t="s">
        <v>2224</v>
      </c>
      <c r="Q988" s="21"/>
      <c r="R988" s="21"/>
      <c r="S988" s="3" t="s">
        <v>40</v>
      </c>
      <c r="T988" s="21" t="s">
        <v>41</v>
      </c>
      <c r="U988" s="21"/>
      <c r="V988" s="4" t="s">
        <v>59</v>
      </c>
      <c r="W988" s="4" t="s">
        <v>157</v>
      </c>
      <c r="X988" s="4" t="s">
        <v>172</v>
      </c>
      <c r="Y988" s="21" t="s">
        <v>56</v>
      </c>
      <c r="Z988" s="21"/>
      <c r="AA988" s="4" t="s">
        <v>46</v>
      </c>
      <c r="AB988" s="4" t="s">
        <v>47</v>
      </c>
      <c r="AC988" s="4" t="s">
        <v>139</v>
      </c>
      <c r="AD988" s="4" t="s">
        <v>140</v>
      </c>
      <c r="AE988" s="4" t="s">
        <v>48</v>
      </c>
      <c r="AF988" s="4" t="s">
        <v>41</v>
      </c>
      <c r="AG988" s="4" t="s">
        <v>2167</v>
      </c>
    </row>
    <row r="989" spans="1:33" ht="16.5" customHeight="1" x14ac:dyDescent="0.2">
      <c r="A989" s="2" t="s">
        <v>31</v>
      </c>
      <c r="B989" s="19" t="s">
        <v>50</v>
      </c>
      <c r="C989" s="19"/>
      <c r="D989" s="19"/>
      <c r="E989" s="20" t="s">
        <v>33</v>
      </c>
      <c r="F989" s="20"/>
      <c r="G989" s="21" t="s">
        <v>2164</v>
      </c>
      <c r="H989" s="21"/>
      <c r="I989" s="21"/>
      <c r="J989" s="3" t="s">
        <v>35</v>
      </c>
      <c r="K989" s="4" t="s">
        <v>247</v>
      </c>
      <c r="L989" s="4" t="s">
        <v>68</v>
      </c>
      <c r="N989" s="21" t="s">
        <v>2225</v>
      </c>
      <c r="O989" s="21"/>
      <c r="P989" s="21" t="s">
        <v>2226</v>
      </c>
      <c r="Q989" s="21"/>
      <c r="R989" s="21"/>
      <c r="S989" s="3" t="s">
        <v>40</v>
      </c>
      <c r="T989" s="21" t="s">
        <v>41</v>
      </c>
      <c r="U989" s="21"/>
      <c r="V989" s="4" t="s">
        <v>42</v>
      </c>
      <c r="W989" s="4" t="s">
        <v>165</v>
      </c>
      <c r="X989" s="4" t="s">
        <v>166</v>
      </c>
      <c r="Y989" s="21" t="s">
        <v>65</v>
      </c>
      <c r="Z989" s="21"/>
      <c r="AA989" s="4" t="s">
        <v>46</v>
      </c>
      <c r="AB989" s="4" t="s">
        <v>47</v>
      </c>
      <c r="AC989" s="4" t="s">
        <v>57</v>
      </c>
      <c r="AD989" s="4" t="s">
        <v>98</v>
      </c>
      <c r="AE989" s="4" t="s">
        <v>48</v>
      </c>
      <c r="AF989" s="4" t="s">
        <v>41</v>
      </c>
      <c r="AG989" s="4" t="s">
        <v>2167</v>
      </c>
    </row>
    <row r="990" spans="1:33" ht="16.5" customHeight="1" x14ac:dyDescent="0.2">
      <c r="A990" s="2" t="s">
        <v>31</v>
      </c>
      <c r="B990" s="19" t="s">
        <v>50</v>
      </c>
      <c r="C990" s="19"/>
      <c r="D990" s="19"/>
      <c r="E990" s="20" t="s">
        <v>33</v>
      </c>
      <c r="F990" s="20"/>
      <c r="G990" s="21" t="s">
        <v>2164</v>
      </c>
      <c r="H990" s="21"/>
      <c r="I990" s="21"/>
      <c r="J990" s="3" t="s">
        <v>35</v>
      </c>
      <c r="K990" s="4" t="s">
        <v>620</v>
      </c>
      <c r="L990" s="4" t="s">
        <v>37</v>
      </c>
      <c r="N990" s="21" t="s">
        <v>2227</v>
      </c>
      <c r="O990" s="21"/>
      <c r="P990" s="21" t="s">
        <v>2228</v>
      </c>
      <c r="Q990" s="21"/>
      <c r="R990" s="21"/>
      <c r="S990" s="3" t="s">
        <v>40</v>
      </c>
      <c r="T990" s="21" t="s">
        <v>41</v>
      </c>
      <c r="U990" s="21"/>
      <c r="V990" s="4" t="s">
        <v>42</v>
      </c>
      <c r="W990" s="4" t="s">
        <v>157</v>
      </c>
      <c r="X990" s="4" t="s">
        <v>158</v>
      </c>
      <c r="Y990" s="21" t="s">
        <v>56</v>
      </c>
      <c r="Z990" s="21"/>
      <c r="AA990" s="4" t="s">
        <v>46</v>
      </c>
      <c r="AB990" s="4" t="s">
        <v>47</v>
      </c>
      <c r="AC990" s="4" t="s">
        <v>139</v>
      </c>
      <c r="AD990" s="4" t="s">
        <v>140</v>
      </c>
      <c r="AE990" s="4" t="s">
        <v>48</v>
      </c>
      <c r="AF990" s="4" t="s">
        <v>41</v>
      </c>
      <c r="AG990" s="4" t="s">
        <v>2167</v>
      </c>
    </row>
    <row r="991" spans="1:33" ht="16.5" customHeight="1" x14ac:dyDescent="0.2">
      <c r="A991" s="2" t="s">
        <v>31</v>
      </c>
      <c r="B991" s="19" t="s">
        <v>50</v>
      </c>
      <c r="C991" s="19"/>
      <c r="D991" s="19"/>
      <c r="E991" s="20" t="s">
        <v>33</v>
      </c>
      <c r="F991" s="20"/>
      <c r="G991" s="21" t="s">
        <v>2164</v>
      </c>
      <c r="H991" s="21"/>
      <c r="I991" s="21"/>
      <c r="J991" s="3" t="s">
        <v>35</v>
      </c>
      <c r="K991" s="4" t="s">
        <v>152</v>
      </c>
      <c r="L991" s="4" t="s">
        <v>37</v>
      </c>
      <c r="N991" s="21" t="s">
        <v>2229</v>
      </c>
      <c r="O991" s="21"/>
      <c r="P991" s="21" t="s">
        <v>2230</v>
      </c>
      <c r="Q991" s="21"/>
      <c r="R991" s="21"/>
      <c r="S991" s="3" t="s">
        <v>40</v>
      </c>
      <c r="T991" s="21" t="s">
        <v>41</v>
      </c>
      <c r="U991" s="21"/>
      <c r="V991" s="4" t="s">
        <v>42</v>
      </c>
      <c r="W991" s="4" t="s">
        <v>157</v>
      </c>
      <c r="X991" s="4" t="s">
        <v>158</v>
      </c>
      <c r="Y991" s="21" t="s">
        <v>56</v>
      </c>
      <c r="Z991" s="21"/>
      <c r="AA991" s="4" t="s">
        <v>46</v>
      </c>
      <c r="AB991" s="4" t="s">
        <v>47</v>
      </c>
      <c r="AC991" s="4" t="s">
        <v>139</v>
      </c>
      <c r="AD991" s="4" t="s">
        <v>140</v>
      </c>
      <c r="AE991" s="4" t="s">
        <v>48</v>
      </c>
      <c r="AF991" s="4" t="s">
        <v>41</v>
      </c>
      <c r="AG991" s="4" t="s">
        <v>2167</v>
      </c>
    </row>
    <row r="992" spans="1:33" ht="16.5" customHeight="1" x14ac:dyDescent="0.2">
      <c r="A992" s="2" t="s">
        <v>31</v>
      </c>
      <c r="B992" s="19" t="s">
        <v>50</v>
      </c>
      <c r="C992" s="19"/>
      <c r="D992" s="19"/>
      <c r="E992" s="20" t="s">
        <v>33</v>
      </c>
      <c r="F992" s="20"/>
      <c r="G992" s="21" t="s">
        <v>2164</v>
      </c>
      <c r="H992" s="21"/>
      <c r="I992" s="21"/>
      <c r="J992" s="3" t="s">
        <v>35</v>
      </c>
      <c r="K992" s="4" t="s">
        <v>74</v>
      </c>
      <c r="L992" s="4" t="s">
        <v>37</v>
      </c>
      <c r="N992" s="21" t="s">
        <v>2231</v>
      </c>
      <c r="O992" s="21"/>
      <c r="P992" s="21" t="s">
        <v>2232</v>
      </c>
      <c r="Q992" s="21"/>
      <c r="R992" s="21"/>
      <c r="S992" s="3" t="s">
        <v>40</v>
      </c>
      <c r="T992" s="21" t="s">
        <v>41</v>
      </c>
      <c r="U992" s="21"/>
      <c r="V992" s="4" t="s">
        <v>42</v>
      </c>
      <c r="W992" s="4" t="s">
        <v>182</v>
      </c>
      <c r="X992" s="4" t="s">
        <v>294</v>
      </c>
      <c r="Y992" s="21" t="s">
        <v>65</v>
      </c>
      <c r="Z992" s="21"/>
      <c r="AA992" s="4" t="s">
        <v>46</v>
      </c>
      <c r="AB992" s="4" t="s">
        <v>47</v>
      </c>
      <c r="AC992" s="4" t="s">
        <v>66</v>
      </c>
      <c r="AD992" s="4" t="s">
        <v>73</v>
      </c>
      <c r="AE992" s="4" t="s">
        <v>48</v>
      </c>
      <c r="AF992" s="4" t="s">
        <v>41</v>
      </c>
      <c r="AG992" s="4" t="s">
        <v>2167</v>
      </c>
    </row>
    <row r="993" spans="1:33" ht="16.5" customHeight="1" x14ac:dyDescent="0.2">
      <c r="A993" s="2" t="s">
        <v>31</v>
      </c>
      <c r="B993" s="19" t="s">
        <v>50</v>
      </c>
      <c r="C993" s="19"/>
      <c r="D993" s="19"/>
      <c r="E993" s="20" t="s">
        <v>33</v>
      </c>
      <c r="F993" s="20"/>
      <c r="G993" s="21" t="s">
        <v>2164</v>
      </c>
      <c r="H993" s="21"/>
      <c r="I993" s="21"/>
      <c r="J993" s="3" t="s">
        <v>35</v>
      </c>
      <c r="K993" s="4" t="s">
        <v>146</v>
      </c>
      <c r="L993" s="4" t="s">
        <v>37</v>
      </c>
      <c r="N993" s="21" t="s">
        <v>2233</v>
      </c>
      <c r="O993" s="21"/>
      <c r="P993" s="21" t="s">
        <v>2234</v>
      </c>
      <c r="Q993" s="21"/>
      <c r="R993" s="21"/>
      <c r="S993" s="3" t="s">
        <v>40</v>
      </c>
      <c r="T993" s="21" t="s">
        <v>41</v>
      </c>
      <c r="U993" s="21"/>
      <c r="V993" s="4" t="s">
        <v>42</v>
      </c>
      <c r="W993" s="4" t="s">
        <v>261</v>
      </c>
      <c r="X993" s="4" t="s">
        <v>262</v>
      </c>
      <c r="Y993" s="21" t="s">
        <v>138</v>
      </c>
      <c r="Z993" s="21"/>
      <c r="AA993" s="4" t="s">
        <v>46</v>
      </c>
      <c r="AB993" s="4" t="s">
        <v>47</v>
      </c>
      <c r="AC993" s="4" t="s">
        <v>139</v>
      </c>
      <c r="AD993" s="4" t="s">
        <v>140</v>
      </c>
      <c r="AE993" s="4" t="s">
        <v>48</v>
      </c>
      <c r="AF993" s="4" t="s">
        <v>41</v>
      </c>
      <c r="AG993" s="4" t="s">
        <v>2167</v>
      </c>
    </row>
    <row r="994" spans="1:33" ht="16.5" customHeight="1" x14ac:dyDescent="0.2">
      <c r="A994" s="2" t="s">
        <v>31</v>
      </c>
      <c r="B994" s="19" t="s">
        <v>50</v>
      </c>
      <c r="C994" s="19"/>
      <c r="D994" s="19"/>
      <c r="E994" s="20" t="s">
        <v>33</v>
      </c>
      <c r="F994" s="20"/>
      <c r="G994" s="21" t="s">
        <v>2164</v>
      </c>
      <c r="H994" s="21"/>
      <c r="I994" s="21"/>
      <c r="J994" s="3" t="s">
        <v>35</v>
      </c>
      <c r="K994" s="4" t="s">
        <v>169</v>
      </c>
      <c r="L994" s="4" t="s">
        <v>278</v>
      </c>
      <c r="N994" s="21" t="s">
        <v>2235</v>
      </c>
      <c r="O994" s="21"/>
      <c r="P994" s="21" t="s">
        <v>2236</v>
      </c>
      <c r="Q994" s="21"/>
      <c r="R994" s="21"/>
      <c r="S994" s="3" t="s">
        <v>40</v>
      </c>
      <c r="T994" s="21" t="s">
        <v>41</v>
      </c>
      <c r="U994" s="21"/>
      <c r="V994" s="4" t="s">
        <v>42</v>
      </c>
      <c r="W994" s="4" t="s">
        <v>202</v>
      </c>
      <c r="X994" s="4" t="s">
        <v>203</v>
      </c>
      <c r="Y994" s="21" t="s">
        <v>56</v>
      </c>
      <c r="Z994" s="21"/>
      <c r="AA994" s="4" t="s">
        <v>46</v>
      </c>
      <c r="AB994" s="4" t="s">
        <v>47</v>
      </c>
      <c r="AC994" s="4" t="s">
        <v>139</v>
      </c>
      <c r="AD994" s="4" t="s">
        <v>69</v>
      </c>
      <c r="AE994" s="4" t="s">
        <v>48</v>
      </c>
      <c r="AF994" s="4" t="s">
        <v>41</v>
      </c>
      <c r="AG994" s="4" t="s">
        <v>2167</v>
      </c>
    </row>
    <row r="995" spans="1:33" ht="16.5" customHeight="1" x14ac:dyDescent="0.2">
      <c r="A995" s="2" t="s">
        <v>31</v>
      </c>
      <c r="B995" s="19" t="s">
        <v>50</v>
      </c>
      <c r="C995" s="19"/>
      <c r="D995" s="19"/>
      <c r="E995" s="20" t="s">
        <v>33</v>
      </c>
      <c r="F995" s="20"/>
      <c r="G995" s="21" t="s">
        <v>2164</v>
      </c>
      <c r="H995" s="21"/>
      <c r="I995" s="21"/>
      <c r="J995" s="3" t="s">
        <v>35</v>
      </c>
      <c r="K995" s="4" t="s">
        <v>169</v>
      </c>
      <c r="L995" s="4" t="s">
        <v>278</v>
      </c>
      <c r="N995" s="21" t="s">
        <v>2235</v>
      </c>
      <c r="O995" s="21"/>
      <c r="P995" s="21" t="s">
        <v>2236</v>
      </c>
      <c r="Q995" s="21"/>
      <c r="R995" s="21"/>
      <c r="S995" s="3" t="s">
        <v>40</v>
      </c>
      <c r="T995" s="21" t="s">
        <v>41</v>
      </c>
      <c r="U995" s="21"/>
      <c r="V995" s="4" t="s">
        <v>59</v>
      </c>
      <c r="W995" s="4" t="s">
        <v>202</v>
      </c>
      <c r="X995" s="4" t="s">
        <v>791</v>
      </c>
      <c r="Y995" s="21" t="s">
        <v>56</v>
      </c>
      <c r="Z995" s="21"/>
      <c r="AA995" s="4" t="s">
        <v>46</v>
      </c>
      <c r="AB995" s="4" t="s">
        <v>47</v>
      </c>
      <c r="AC995" s="4" t="s">
        <v>139</v>
      </c>
      <c r="AD995" s="4" t="s">
        <v>69</v>
      </c>
      <c r="AE995" s="4" t="s">
        <v>48</v>
      </c>
      <c r="AF995" s="4" t="s">
        <v>41</v>
      </c>
      <c r="AG995" s="4" t="s">
        <v>2167</v>
      </c>
    </row>
    <row r="996" spans="1:33" ht="16.5" customHeight="1" x14ac:dyDescent="0.2">
      <c r="A996" s="2" t="s">
        <v>31</v>
      </c>
      <c r="B996" s="19" t="s">
        <v>50</v>
      </c>
      <c r="C996" s="19"/>
      <c r="D996" s="19"/>
      <c r="E996" s="20" t="s">
        <v>33</v>
      </c>
      <c r="F996" s="20"/>
      <c r="G996" s="21" t="s">
        <v>2164</v>
      </c>
      <c r="H996" s="21"/>
      <c r="I996" s="21"/>
      <c r="J996" s="3" t="s">
        <v>35</v>
      </c>
      <c r="K996" s="4" t="s">
        <v>169</v>
      </c>
      <c r="L996" s="4" t="s">
        <v>278</v>
      </c>
      <c r="N996" s="21" t="s">
        <v>2235</v>
      </c>
      <c r="O996" s="21"/>
      <c r="P996" s="21" t="s">
        <v>2236</v>
      </c>
      <c r="Q996" s="21"/>
      <c r="R996" s="21"/>
      <c r="S996" s="3" t="s">
        <v>40</v>
      </c>
      <c r="T996" s="21" t="s">
        <v>41</v>
      </c>
      <c r="U996" s="21"/>
      <c r="V996" s="4" t="s">
        <v>130</v>
      </c>
      <c r="W996" s="4" t="s">
        <v>202</v>
      </c>
      <c r="X996" s="4" t="s">
        <v>637</v>
      </c>
      <c r="Y996" s="21" t="s">
        <v>56</v>
      </c>
      <c r="Z996" s="21"/>
      <c r="AA996" s="4" t="s">
        <v>46</v>
      </c>
      <c r="AB996" s="4" t="s">
        <v>47</v>
      </c>
      <c r="AC996" s="4" t="s">
        <v>139</v>
      </c>
      <c r="AD996" s="4" t="s">
        <v>69</v>
      </c>
      <c r="AE996" s="4" t="s">
        <v>48</v>
      </c>
      <c r="AF996" s="4" t="s">
        <v>41</v>
      </c>
      <c r="AG996" s="4" t="s">
        <v>2167</v>
      </c>
    </row>
    <row r="997" spans="1:33" ht="16.5" customHeight="1" x14ac:dyDescent="0.2">
      <c r="A997" s="2" t="s">
        <v>31</v>
      </c>
      <c r="B997" s="19" t="s">
        <v>50</v>
      </c>
      <c r="C997" s="19"/>
      <c r="D997" s="19"/>
      <c r="E997" s="20" t="s">
        <v>33</v>
      </c>
      <c r="F997" s="20"/>
      <c r="G997" s="21" t="s">
        <v>2164</v>
      </c>
      <c r="H997" s="21"/>
      <c r="I997" s="21"/>
      <c r="J997" s="3" t="s">
        <v>35</v>
      </c>
      <c r="K997" s="4" t="s">
        <v>120</v>
      </c>
      <c r="L997" s="4" t="s">
        <v>68</v>
      </c>
      <c r="N997" s="21" t="s">
        <v>2237</v>
      </c>
      <c r="O997" s="21"/>
      <c r="P997" s="21" t="s">
        <v>2238</v>
      </c>
      <c r="Q997" s="21"/>
      <c r="R997" s="21"/>
      <c r="S997" s="3" t="s">
        <v>40</v>
      </c>
      <c r="T997" s="21" t="s">
        <v>41</v>
      </c>
      <c r="U997" s="21"/>
      <c r="V997" s="4" t="s">
        <v>42</v>
      </c>
      <c r="W997" s="4" t="s">
        <v>234</v>
      </c>
      <c r="X997" s="4" t="s">
        <v>235</v>
      </c>
      <c r="Y997" s="21" t="s">
        <v>65</v>
      </c>
      <c r="Z997" s="21"/>
      <c r="AA997" s="4" t="s">
        <v>46</v>
      </c>
      <c r="AB997" s="4" t="s">
        <v>47</v>
      </c>
      <c r="AC997" s="4" t="s">
        <v>57</v>
      </c>
      <c r="AD997" s="4" t="s">
        <v>98</v>
      </c>
      <c r="AE997" s="4" t="s">
        <v>48</v>
      </c>
      <c r="AF997" s="4" t="s">
        <v>41</v>
      </c>
      <c r="AG997" s="4" t="s">
        <v>2167</v>
      </c>
    </row>
    <row r="998" spans="1:33" ht="16.5" customHeight="1" x14ac:dyDescent="0.2">
      <c r="A998" s="2" t="s">
        <v>31</v>
      </c>
      <c r="B998" s="19" t="s">
        <v>50</v>
      </c>
      <c r="C998" s="19"/>
      <c r="D998" s="19"/>
      <c r="E998" s="20" t="s">
        <v>33</v>
      </c>
      <c r="F998" s="20"/>
      <c r="G998" s="21" t="s">
        <v>2164</v>
      </c>
      <c r="H998" s="21"/>
      <c r="I998" s="21"/>
      <c r="J998" s="3" t="s">
        <v>35</v>
      </c>
      <c r="K998" s="4" t="s">
        <v>61</v>
      </c>
      <c r="L998" s="4" t="s">
        <v>37</v>
      </c>
      <c r="N998" s="21" t="s">
        <v>2239</v>
      </c>
      <c r="O998" s="21"/>
      <c r="P998" s="21" t="s">
        <v>2240</v>
      </c>
      <c r="Q998" s="21"/>
      <c r="R998" s="21"/>
      <c r="S998" s="3" t="s">
        <v>40</v>
      </c>
      <c r="T998" s="21" t="s">
        <v>41</v>
      </c>
      <c r="U998" s="21"/>
      <c r="V998" s="4" t="s">
        <v>42</v>
      </c>
      <c r="W998" s="4" t="s">
        <v>607</v>
      </c>
      <c r="X998" s="4" t="s">
        <v>471</v>
      </c>
      <c r="Y998" s="21" t="s">
        <v>65</v>
      </c>
      <c r="Z998" s="21"/>
      <c r="AA998" s="4" t="s">
        <v>46</v>
      </c>
      <c r="AB998" s="4" t="s">
        <v>47</v>
      </c>
      <c r="AC998" s="4" t="s">
        <v>57</v>
      </c>
      <c r="AD998" s="4" t="s">
        <v>58</v>
      </c>
      <c r="AE998" s="4" t="s">
        <v>48</v>
      </c>
      <c r="AF998" s="4" t="s">
        <v>41</v>
      </c>
      <c r="AG998" s="4" t="s">
        <v>2167</v>
      </c>
    </row>
    <row r="999" spans="1:33" ht="16.5" customHeight="1" x14ac:dyDescent="0.2">
      <c r="A999" s="2" t="s">
        <v>31</v>
      </c>
      <c r="B999" s="19" t="s">
        <v>50</v>
      </c>
      <c r="C999" s="19"/>
      <c r="D999" s="19"/>
      <c r="E999" s="20" t="s">
        <v>33</v>
      </c>
      <c r="F999" s="20"/>
      <c r="G999" s="21" t="s">
        <v>2164</v>
      </c>
      <c r="H999" s="21"/>
      <c r="I999" s="21"/>
      <c r="J999" s="3" t="s">
        <v>35</v>
      </c>
      <c r="K999" s="4" t="s">
        <v>61</v>
      </c>
      <c r="L999" s="4" t="s">
        <v>37</v>
      </c>
      <c r="N999" s="21" t="s">
        <v>2241</v>
      </c>
      <c r="O999" s="21"/>
      <c r="P999" s="21" t="s">
        <v>2242</v>
      </c>
      <c r="Q999" s="21"/>
      <c r="R999" s="21"/>
      <c r="S999" s="3" t="s">
        <v>40</v>
      </c>
      <c r="T999" s="21" t="s">
        <v>41</v>
      </c>
      <c r="U999" s="21"/>
      <c r="V999" s="4" t="s">
        <v>42</v>
      </c>
      <c r="W999" s="4" t="s">
        <v>607</v>
      </c>
      <c r="X999" s="4" t="s">
        <v>471</v>
      </c>
      <c r="Y999" s="21" t="s">
        <v>65</v>
      </c>
      <c r="Z999" s="21"/>
      <c r="AA999" s="4" t="s">
        <v>46</v>
      </c>
      <c r="AB999" s="4" t="s">
        <v>47</v>
      </c>
      <c r="AC999" s="4" t="s">
        <v>57</v>
      </c>
      <c r="AD999" s="4" t="s">
        <v>58</v>
      </c>
      <c r="AE999" s="4" t="s">
        <v>48</v>
      </c>
      <c r="AF999" s="4" t="s">
        <v>41</v>
      </c>
      <c r="AG999" s="4" t="s">
        <v>2167</v>
      </c>
    </row>
    <row r="1000" spans="1:33" ht="16.5" customHeight="1" x14ac:dyDescent="0.2">
      <c r="A1000" s="2" t="s">
        <v>31</v>
      </c>
      <c r="B1000" s="19" t="s">
        <v>50</v>
      </c>
      <c r="C1000" s="19"/>
      <c r="D1000" s="19"/>
      <c r="E1000" s="20" t="s">
        <v>33</v>
      </c>
      <c r="F1000" s="20"/>
      <c r="G1000" s="21" t="s">
        <v>2164</v>
      </c>
      <c r="H1000" s="21"/>
      <c r="I1000" s="21"/>
      <c r="J1000" s="3" t="s">
        <v>35</v>
      </c>
      <c r="K1000" s="4" t="s">
        <v>265</v>
      </c>
      <c r="L1000" s="4" t="s">
        <v>37</v>
      </c>
      <c r="N1000" s="21" t="s">
        <v>2243</v>
      </c>
      <c r="O1000" s="21"/>
      <c r="P1000" s="21" t="s">
        <v>2244</v>
      </c>
      <c r="Q1000" s="21"/>
      <c r="R1000" s="21"/>
      <c r="S1000" s="3" t="s">
        <v>40</v>
      </c>
      <c r="T1000" s="21" t="s">
        <v>41</v>
      </c>
      <c r="U1000" s="21"/>
      <c r="V1000" s="4" t="s">
        <v>42</v>
      </c>
      <c r="W1000" s="4" t="s">
        <v>303</v>
      </c>
      <c r="X1000" s="4" t="s">
        <v>2245</v>
      </c>
      <c r="Y1000" s="21" t="s">
        <v>56</v>
      </c>
      <c r="Z1000" s="21"/>
      <c r="AA1000" s="4" t="s">
        <v>46</v>
      </c>
      <c r="AB1000" s="4" t="s">
        <v>47</v>
      </c>
      <c r="AC1000" s="4" t="s">
        <v>139</v>
      </c>
      <c r="AD1000" s="4" t="s">
        <v>140</v>
      </c>
      <c r="AE1000" s="4" t="s">
        <v>48</v>
      </c>
      <c r="AF1000" s="4" t="s">
        <v>41</v>
      </c>
      <c r="AG1000" s="4" t="s">
        <v>2167</v>
      </c>
    </row>
    <row r="1001" spans="1:33" ht="16.5" customHeight="1" x14ac:dyDescent="0.2">
      <c r="A1001" s="2" t="s">
        <v>31</v>
      </c>
      <c r="B1001" s="19" t="s">
        <v>50</v>
      </c>
      <c r="C1001" s="19"/>
      <c r="D1001" s="19"/>
      <c r="E1001" s="20" t="s">
        <v>33</v>
      </c>
      <c r="F1001" s="20"/>
      <c r="G1001" s="21" t="s">
        <v>2164</v>
      </c>
      <c r="H1001" s="21"/>
      <c r="I1001" s="21"/>
      <c r="J1001" s="3" t="s">
        <v>35</v>
      </c>
      <c r="K1001" s="4" t="s">
        <v>169</v>
      </c>
      <c r="L1001" s="4" t="s">
        <v>37</v>
      </c>
      <c r="N1001" s="21" t="s">
        <v>2246</v>
      </c>
      <c r="O1001" s="21"/>
      <c r="P1001" s="21" t="s">
        <v>2247</v>
      </c>
      <c r="Q1001" s="21"/>
      <c r="R1001" s="21"/>
      <c r="S1001" s="3" t="s">
        <v>40</v>
      </c>
      <c r="T1001" s="21" t="s">
        <v>41</v>
      </c>
      <c r="U1001" s="21"/>
      <c r="V1001" s="4" t="s">
        <v>42</v>
      </c>
      <c r="W1001" s="4" t="s">
        <v>303</v>
      </c>
      <c r="X1001" s="4" t="s">
        <v>2245</v>
      </c>
      <c r="Y1001" s="21" t="s">
        <v>56</v>
      </c>
      <c r="Z1001" s="21"/>
      <c r="AA1001" s="4" t="s">
        <v>46</v>
      </c>
      <c r="AB1001" s="4" t="s">
        <v>47</v>
      </c>
      <c r="AC1001" s="4" t="s">
        <v>139</v>
      </c>
      <c r="AD1001" s="4" t="s">
        <v>140</v>
      </c>
      <c r="AE1001" s="4" t="s">
        <v>48</v>
      </c>
      <c r="AF1001" s="4" t="s">
        <v>41</v>
      </c>
      <c r="AG1001" s="4" t="s">
        <v>2167</v>
      </c>
    </row>
    <row r="1002" spans="1:33" ht="16.5" customHeight="1" x14ac:dyDescent="0.2">
      <c r="A1002" s="2" t="s">
        <v>31</v>
      </c>
      <c r="B1002" s="19" t="s">
        <v>50</v>
      </c>
      <c r="C1002" s="19"/>
      <c r="D1002" s="19"/>
      <c r="E1002" s="20" t="s">
        <v>33</v>
      </c>
      <c r="F1002" s="20"/>
      <c r="G1002" s="21" t="s">
        <v>2164</v>
      </c>
      <c r="H1002" s="21"/>
      <c r="I1002" s="21"/>
      <c r="J1002" s="3" t="s">
        <v>35</v>
      </c>
      <c r="K1002" s="4" t="s">
        <v>61</v>
      </c>
      <c r="L1002" s="4" t="s">
        <v>68</v>
      </c>
      <c r="N1002" s="21" t="s">
        <v>2248</v>
      </c>
      <c r="O1002" s="21"/>
      <c r="P1002" s="21" t="s">
        <v>2249</v>
      </c>
      <c r="Q1002" s="21"/>
      <c r="R1002" s="21"/>
      <c r="S1002" s="3" t="s">
        <v>40</v>
      </c>
      <c r="T1002" s="21" t="s">
        <v>41</v>
      </c>
      <c r="U1002" s="21"/>
      <c r="V1002" s="4" t="s">
        <v>42</v>
      </c>
      <c r="W1002" s="4" t="s">
        <v>307</v>
      </c>
      <c r="X1002" s="4" t="s">
        <v>304</v>
      </c>
      <c r="Y1002" s="21" t="s">
        <v>65</v>
      </c>
      <c r="Z1002" s="21"/>
      <c r="AA1002" s="4" t="s">
        <v>46</v>
      </c>
      <c r="AB1002" s="4" t="s">
        <v>47</v>
      </c>
      <c r="AC1002" s="4" t="s">
        <v>57</v>
      </c>
      <c r="AD1002" s="4" t="s">
        <v>98</v>
      </c>
      <c r="AE1002" s="4" t="s">
        <v>48</v>
      </c>
      <c r="AF1002" s="4" t="s">
        <v>41</v>
      </c>
      <c r="AG1002" s="4" t="s">
        <v>2167</v>
      </c>
    </row>
    <row r="1003" spans="1:33" ht="16.5" customHeight="1" x14ac:dyDescent="0.2">
      <c r="A1003" s="2" t="s">
        <v>31</v>
      </c>
      <c r="B1003" s="19" t="s">
        <v>50</v>
      </c>
      <c r="C1003" s="19"/>
      <c r="D1003" s="19"/>
      <c r="E1003" s="20" t="s">
        <v>33</v>
      </c>
      <c r="F1003" s="20"/>
      <c r="G1003" s="21" t="s">
        <v>2164</v>
      </c>
      <c r="H1003" s="21"/>
      <c r="I1003" s="21"/>
      <c r="J1003" s="3" t="s">
        <v>35</v>
      </c>
      <c r="K1003" s="4" t="s">
        <v>61</v>
      </c>
      <c r="L1003" s="4" t="s">
        <v>68</v>
      </c>
      <c r="N1003" s="21" t="s">
        <v>2248</v>
      </c>
      <c r="O1003" s="21"/>
      <c r="P1003" s="21" t="s">
        <v>2249</v>
      </c>
      <c r="Q1003" s="21"/>
      <c r="R1003" s="21"/>
      <c r="S1003" s="3" t="s">
        <v>40</v>
      </c>
      <c r="T1003" s="21" t="s">
        <v>41</v>
      </c>
      <c r="U1003" s="21"/>
      <c r="V1003" s="4" t="s">
        <v>59</v>
      </c>
      <c r="W1003" s="4" t="s">
        <v>307</v>
      </c>
      <c r="X1003" s="4" t="s">
        <v>477</v>
      </c>
      <c r="Y1003" s="21" t="s">
        <v>65</v>
      </c>
      <c r="Z1003" s="21"/>
      <c r="AA1003" s="4" t="s">
        <v>46</v>
      </c>
      <c r="AB1003" s="4" t="s">
        <v>47</v>
      </c>
      <c r="AC1003" s="4" t="s">
        <v>57</v>
      </c>
      <c r="AD1003" s="4" t="s">
        <v>98</v>
      </c>
      <c r="AE1003" s="4" t="s">
        <v>48</v>
      </c>
      <c r="AF1003" s="4" t="s">
        <v>41</v>
      </c>
      <c r="AG1003" s="4" t="s">
        <v>2167</v>
      </c>
    </row>
    <row r="1004" spans="1:33" ht="16.5" customHeight="1" x14ac:dyDescent="0.2">
      <c r="A1004" s="2" t="s">
        <v>31</v>
      </c>
      <c r="B1004" s="19" t="s">
        <v>50</v>
      </c>
      <c r="C1004" s="19"/>
      <c r="D1004" s="19"/>
      <c r="E1004" s="20" t="s">
        <v>33</v>
      </c>
      <c r="F1004" s="20"/>
      <c r="G1004" s="21" t="s">
        <v>2164</v>
      </c>
      <c r="H1004" s="21"/>
      <c r="I1004" s="21"/>
      <c r="J1004" s="3" t="s">
        <v>35</v>
      </c>
      <c r="K1004" s="4" t="s">
        <v>169</v>
      </c>
      <c r="L1004" s="4" t="s">
        <v>68</v>
      </c>
      <c r="N1004" s="21" t="s">
        <v>2250</v>
      </c>
      <c r="O1004" s="21"/>
      <c r="P1004" s="21" t="s">
        <v>2251</v>
      </c>
      <c r="Q1004" s="21"/>
      <c r="R1004" s="21"/>
      <c r="S1004" s="3" t="s">
        <v>40</v>
      </c>
      <c r="T1004" s="21" t="s">
        <v>41</v>
      </c>
      <c r="U1004" s="21"/>
      <c r="V1004" s="4" t="s">
        <v>42</v>
      </c>
      <c r="W1004" s="4" t="s">
        <v>307</v>
      </c>
      <c r="X1004" s="4" t="s">
        <v>304</v>
      </c>
      <c r="Y1004" s="21" t="s">
        <v>56</v>
      </c>
      <c r="Z1004" s="21"/>
      <c r="AA1004" s="4" t="s">
        <v>46</v>
      </c>
      <c r="AB1004" s="4" t="s">
        <v>47</v>
      </c>
      <c r="AC1004" s="4" t="s">
        <v>139</v>
      </c>
      <c r="AD1004" s="4" t="s">
        <v>151</v>
      </c>
      <c r="AE1004" s="4" t="s">
        <v>48</v>
      </c>
      <c r="AF1004" s="4" t="s">
        <v>41</v>
      </c>
      <c r="AG1004" s="4" t="s">
        <v>2167</v>
      </c>
    </row>
    <row r="1005" spans="1:33" ht="16.5" customHeight="1" x14ac:dyDescent="0.2">
      <c r="A1005" s="2" t="s">
        <v>31</v>
      </c>
      <c r="B1005" s="19" t="s">
        <v>50</v>
      </c>
      <c r="C1005" s="19"/>
      <c r="D1005" s="19"/>
      <c r="E1005" s="20" t="s">
        <v>33</v>
      </c>
      <c r="F1005" s="20"/>
      <c r="G1005" s="21" t="s">
        <v>2164</v>
      </c>
      <c r="H1005" s="21"/>
      <c r="I1005" s="21"/>
      <c r="J1005" s="3" t="s">
        <v>35</v>
      </c>
      <c r="K1005" s="4" t="s">
        <v>82</v>
      </c>
      <c r="L1005" s="4" t="s">
        <v>37</v>
      </c>
      <c r="N1005" s="21" t="s">
        <v>2252</v>
      </c>
      <c r="O1005" s="21"/>
      <c r="P1005" s="21" t="s">
        <v>2253</v>
      </c>
      <c r="Q1005" s="21"/>
      <c r="R1005" s="21"/>
      <c r="S1005" s="3" t="s">
        <v>40</v>
      </c>
      <c r="T1005" s="21" t="s">
        <v>41</v>
      </c>
      <c r="U1005" s="21"/>
      <c r="V1005" s="4" t="s">
        <v>42</v>
      </c>
      <c r="W1005" s="4" t="s">
        <v>325</v>
      </c>
      <c r="X1005" s="4" t="s">
        <v>319</v>
      </c>
      <c r="Y1005" s="21" t="s">
        <v>56</v>
      </c>
      <c r="Z1005" s="21"/>
      <c r="AA1005" s="4" t="s">
        <v>46</v>
      </c>
      <c r="AB1005" s="4" t="s">
        <v>47</v>
      </c>
      <c r="AC1005" s="4" t="s">
        <v>81</v>
      </c>
      <c r="AD1005" s="4" t="s">
        <v>41</v>
      </c>
      <c r="AE1005" s="4" t="s">
        <v>48</v>
      </c>
      <c r="AF1005" s="4" t="s">
        <v>41</v>
      </c>
      <c r="AG1005" s="4" t="s">
        <v>2167</v>
      </c>
    </row>
    <row r="1006" spans="1:33" ht="16.5" customHeight="1" x14ac:dyDescent="0.2">
      <c r="A1006" s="2" t="s">
        <v>31</v>
      </c>
      <c r="B1006" s="19" t="s">
        <v>50</v>
      </c>
      <c r="C1006" s="19"/>
      <c r="D1006" s="19"/>
      <c r="E1006" s="20" t="s">
        <v>33</v>
      </c>
      <c r="F1006" s="20"/>
      <c r="G1006" s="21" t="s">
        <v>2164</v>
      </c>
      <c r="H1006" s="21"/>
      <c r="I1006" s="21"/>
      <c r="J1006" s="3" t="s">
        <v>35</v>
      </c>
      <c r="K1006" s="4" t="s">
        <v>169</v>
      </c>
      <c r="L1006" s="4" t="s">
        <v>37</v>
      </c>
      <c r="N1006" s="21" t="s">
        <v>2254</v>
      </c>
      <c r="O1006" s="21"/>
      <c r="P1006" s="21" t="s">
        <v>2255</v>
      </c>
      <c r="Q1006" s="21"/>
      <c r="R1006" s="21"/>
      <c r="S1006" s="3" t="s">
        <v>40</v>
      </c>
      <c r="T1006" s="21" t="s">
        <v>41</v>
      </c>
      <c r="U1006" s="21"/>
      <c r="V1006" s="4" t="s">
        <v>42</v>
      </c>
      <c r="W1006" s="4" t="s">
        <v>330</v>
      </c>
      <c r="X1006" s="4" t="s">
        <v>320</v>
      </c>
      <c r="Y1006" s="21" t="s">
        <v>56</v>
      </c>
      <c r="Z1006" s="21"/>
      <c r="AA1006" s="4" t="s">
        <v>46</v>
      </c>
      <c r="AB1006" s="4" t="s">
        <v>47</v>
      </c>
      <c r="AC1006" s="4" t="s">
        <v>139</v>
      </c>
      <c r="AD1006" s="4" t="s">
        <v>140</v>
      </c>
      <c r="AE1006" s="4" t="s">
        <v>48</v>
      </c>
      <c r="AF1006" s="4" t="s">
        <v>41</v>
      </c>
      <c r="AG1006" s="4" t="s">
        <v>2167</v>
      </c>
    </row>
    <row r="1007" spans="1:33" ht="16.5" customHeight="1" x14ac:dyDescent="0.2">
      <c r="A1007" s="2" t="s">
        <v>31</v>
      </c>
      <c r="B1007" s="19" t="s">
        <v>50</v>
      </c>
      <c r="C1007" s="19"/>
      <c r="D1007" s="19"/>
      <c r="E1007" s="20" t="s">
        <v>33</v>
      </c>
      <c r="F1007" s="20"/>
      <c r="G1007" s="21" t="s">
        <v>2164</v>
      </c>
      <c r="H1007" s="21"/>
      <c r="I1007" s="21"/>
      <c r="J1007" s="3" t="s">
        <v>35</v>
      </c>
      <c r="K1007" s="4" t="s">
        <v>169</v>
      </c>
      <c r="L1007" s="4" t="s">
        <v>278</v>
      </c>
      <c r="N1007" s="21" t="s">
        <v>2256</v>
      </c>
      <c r="O1007" s="21"/>
      <c r="P1007" s="21" t="s">
        <v>2257</v>
      </c>
      <c r="Q1007" s="21"/>
      <c r="R1007" s="21"/>
      <c r="S1007" s="3" t="s">
        <v>40</v>
      </c>
      <c r="T1007" s="21" t="s">
        <v>41</v>
      </c>
      <c r="U1007" s="21"/>
      <c r="V1007" s="4" t="s">
        <v>42</v>
      </c>
      <c r="W1007" s="4" t="s">
        <v>268</v>
      </c>
      <c r="X1007" s="4" t="s">
        <v>269</v>
      </c>
      <c r="Y1007" s="21" t="s">
        <v>56</v>
      </c>
      <c r="Z1007" s="21"/>
      <c r="AA1007" s="4" t="s">
        <v>46</v>
      </c>
      <c r="AB1007" s="4" t="s">
        <v>47</v>
      </c>
      <c r="AC1007" s="4" t="s">
        <v>139</v>
      </c>
      <c r="AD1007" s="4" t="s">
        <v>69</v>
      </c>
      <c r="AE1007" s="4" t="s">
        <v>48</v>
      </c>
      <c r="AF1007" s="4" t="s">
        <v>41</v>
      </c>
      <c r="AG1007" s="4" t="s">
        <v>2167</v>
      </c>
    </row>
    <row r="1008" spans="1:33" ht="16.5" customHeight="1" x14ac:dyDescent="0.2">
      <c r="A1008" s="2" t="s">
        <v>31</v>
      </c>
      <c r="B1008" s="19" t="s">
        <v>50</v>
      </c>
      <c r="C1008" s="19"/>
      <c r="D1008" s="19"/>
      <c r="E1008" s="20" t="s">
        <v>33</v>
      </c>
      <c r="F1008" s="20"/>
      <c r="G1008" s="21" t="s">
        <v>2164</v>
      </c>
      <c r="H1008" s="21"/>
      <c r="I1008" s="21"/>
      <c r="J1008" s="3" t="s">
        <v>35</v>
      </c>
      <c r="K1008" s="4" t="s">
        <v>620</v>
      </c>
      <c r="L1008" s="4" t="s">
        <v>37</v>
      </c>
      <c r="N1008" s="21" t="s">
        <v>2258</v>
      </c>
      <c r="O1008" s="21"/>
      <c r="P1008" s="21" t="s">
        <v>2259</v>
      </c>
      <c r="Q1008" s="21"/>
      <c r="R1008" s="21"/>
      <c r="S1008" s="3" t="s">
        <v>40</v>
      </c>
      <c r="T1008" s="21" t="s">
        <v>41</v>
      </c>
      <c r="U1008" s="21"/>
      <c r="V1008" s="4" t="s">
        <v>42</v>
      </c>
      <c r="W1008" s="4" t="s">
        <v>149</v>
      </c>
      <c r="X1008" s="4" t="s">
        <v>150</v>
      </c>
      <c r="Y1008" s="21" t="s">
        <v>56</v>
      </c>
      <c r="Z1008" s="21"/>
      <c r="AA1008" s="4" t="s">
        <v>46</v>
      </c>
      <c r="AB1008" s="4" t="s">
        <v>47</v>
      </c>
      <c r="AC1008" s="4" t="s">
        <v>139</v>
      </c>
      <c r="AD1008" s="4" t="s">
        <v>140</v>
      </c>
      <c r="AE1008" s="4" t="s">
        <v>48</v>
      </c>
      <c r="AF1008" s="4" t="s">
        <v>41</v>
      </c>
      <c r="AG1008" s="4" t="s">
        <v>2167</v>
      </c>
    </row>
    <row r="1009" spans="1:33" ht="16.5" customHeight="1" x14ac:dyDescent="0.2">
      <c r="A1009" s="2" t="s">
        <v>31</v>
      </c>
      <c r="B1009" s="19" t="s">
        <v>50</v>
      </c>
      <c r="C1009" s="19"/>
      <c r="D1009" s="19"/>
      <c r="E1009" s="20" t="s">
        <v>33</v>
      </c>
      <c r="F1009" s="20"/>
      <c r="G1009" s="21" t="s">
        <v>2164</v>
      </c>
      <c r="H1009" s="21"/>
      <c r="I1009" s="21"/>
      <c r="J1009" s="3" t="s">
        <v>35</v>
      </c>
      <c r="K1009" s="4" t="s">
        <v>51</v>
      </c>
      <c r="L1009" s="4" t="s">
        <v>37</v>
      </c>
      <c r="N1009" s="21" t="s">
        <v>2260</v>
      </c>
      <c r="O1009" s="21"/>
      <c r="P1009" s="21" t="s">
        <v>2261</v>
      </c>
      <c r="Q1009" s="21"/>
      <c r="R1009" s="21"/>
      <c r="S1009" s="3" t="s">
        <v>40</v>
      </c>
      <c r="T1009" s="21" t="s">
        <v>41</v>
      </c>
      <c r="U1009" s="21"/>
      <c r="V1009" s="4" t="s">
        <v>42</v>
      </c>
      <c r="W1009" s="4" t="s">
        <v>149</v>
      </c>
      <c r="X1009" s="4" t="s">
        <v>150</v>
      </c>
      <c r="Y1009" s="21" t="s">
        <v>56</v>
      </c>
      <c r="Z1009" s="21"/>
      <c r="AA1009" s="4" t="s">
        <v>46</v>
      </c>
      <c r="AB1009" s="4" t="s">
        <v>47</v>
      </c>
      <c r="AC1009" s="4" t="s">
        <v>139</v>
      </c>
      <c r="AD1009" s="4" t="s">
        <v>140</v>
      </c>
      <c r="AE1009" s="4" t="s">
        <v>48</v>
      </c>
      <c r="AF1009" s="4" t="s">
        <v>41</v>
      </c>
      <c r="AG1009" s="4" t="s">
        <v>2167</v>
      </c>
    </row>
    <row r="1010" spans="1:33" ht="16.5" customHeight="1" x14ac:dyDescent="0.2">
      <c r="A1010" s="2" t="s">
        <v>31</v>
      </c>
      <c r="B1010" s="19" t="s">
        <v>50</v>
      </c>
      <c r="C1010" s="19"/>
      <c r="D1010" s="19"/>
      <c r="E1010" s="20" t="s">
        <v>33</v>
      </c>
      <c r="F1010" s="20"/>
      <c r="G1010" s="21" t="s">
        <v>2164</v>
      </c>
      <c r="H1010" s="21"/>
      <c r="I1010" s="21"/>
      <c r="J1010" s="3" t="s">
        <v>35</v>
      </c>
      <c r="K1010" s="4" t="s">
        <v>152</v>
      </c>
      <c r="L1010" s="4" t="s">
        <v>37</v>
      </c>
      <c r="N1010" s="21" t="s">
        <v>2262</v>
      </c>
      <c r="O1010" s="21"/>
      <c r="P1010" s="21" t="s">
        <v>2263</v>
      </c>
      <c r="Q1010" s="21"/>
      <c r="R1010" s="21"/>
      <c r="S1010" s="3" t="s">
        <v>40</v>
      </c>
      <c r="T1010" s="21" t="s">
        <v>41</v>
      </c>
      <c r="U1010" s="21"/>
      <c r="V1010" s="4" t="s">
        <v>42</v>
      </c>
      <c r="W1010" s="4" t="s">
        <v>863</v>
      </c>
      <c r="X1010" s="4" t="s">
        <v>864</v>
      </c>
      <c r="Y1010" s="21" t="s">
        <v>56</v>
      </c>
      <c r="Z1010" s="21"/>
      <c r="AA1010" s="4" t="s">
        <v>46</v>
      </c>
      <c r="AB1010" s="4" t="s">
        <v>47</v>
      </c>
      <c r="AC1010" s="4" t="s">
        <v>139</v>
      </c>
      <c r="AD1010" s="4" t="s">
        <v>140</v>
      </c>
      <c r="AE1010" s="4" t="s">
        <v>48</v>
      </c>
      <c r="AF1010" s="4" t="s">
        <v>41</v>
      </c>
      <c r="AG1010" s="4" t="s">
        <v>2167</v>
      </c>
    </row>
    <row r="1011" spans="1:33" ht="16.5" customHeight="1" x14ac:dyDescent="0.2">
      <c r="A1011" s="2" t="s">
        <v>31</v>
      </c>
      <c r="B1011" s="19" t="s">
        <v>50</v>
      </c>
      <c r="C1011" s="19"/>
      <c r="D1011" s="19"/>
      <c r="E1011" s="20" t="s">
        <v>33</v>
      </c>
      <c r="F1011" s="20"/>
      <c r="G1011" s="21" t="s">
        <v>2164</v>
      </c>
      <c r="H1011" s="21"/>
      <c r="I1011" s="21"/>
      <c r="J1011" s="3" t="s">
        <v>35</v>
      </c>
      <c r="K1011" s="4" t="s">
        <v>74</v>
      </c>
      <c r="L1011" s="4" t="s">
        <v>37</v>
      </c>
      <c r="N1011" s="21" t="s">
        <v>2264</v>
      </c>
      <c r="O1011" s="21"/>
      <c r="P1011" s="21" t="s">
        <v>2265</v>
      </c>
      <c r="Q1011" s="21"/>
      <c r="R1011" s="21"/>
      <c r="S1011" s="3" t="s">
        <v>40</v>
      </c>
      <c r="T1011" s="21" t="s">
        <v>41</v>
      </c>
      <c r="U1011" s="21"/>
      <c r="V1011" s="4" t="s">
        <v>42</v>
      </c>
      <c r="W1011" s="4" t="s">
        <v>573</v>
      </c>
      <c r="X1011" s="4" t="s">
        <v>574</v>
      </c>
      <c r="Y1011" s="21" t="s">
        <v>65</v>
      </c>
      <c r="Z1011" s="21"/>
      <c r="AA1011" s="4" t="s">
        <v>46</v>
      </c>
      <c r="AB1011" s="4" t="s">
        <v>47</v>
      </c>
      <c r="AC1011" s="4" t="s">
        <v>57</v>
      </c>
      <c r="AD1011" s="4" t="s">
        <v>58</v>
      </c>
      <c r="AE1011" s="4" t="s">
        <v>48</v>
      </c>
      <c r="AF1011" s="4" t="s">
        <v>41</v>
      </c>
      <c r="AG1011" s="4" t="s">
        <v>2167</v>
      </c>
    </row>
    <row r="1012" spans="1:33" ht="16.5" customHeight="1" x14ac:dyDescent="0.2">
      <c r="A1012" s="2" t="s">
        <v>31</v>
      </c>
      <c r="B1012" s="19" t="s">
        <v>50</v>
      </c>
      <c r="C1012" s="19"/>
      <c r="D1012" s="19"/>
      <c r="E1012" s="20" t="s">
        <v>33</v>
      </c>
      <c r="F1012" s="20"/>
      <c r="G1012" s="21" t="s">
        <v>2164</v>
      </c>
      <c r="H1012" s="21"/>
      <c r="I1012" s="21"/>
      <c r="J1012" s="3" t="s">
        <v>35</v>
      </c>
      <c r="K1012" s="4" t="s">
        <v>169</v>
      </c>
      <c r="L1012" s="4" t="s">
        <v>179</v>
      </c>
      <c r="N1012" s="21" t="s">
        <v>2266</v>
      </c>
      <c r="O1012" s="21"/>
      <c r="P1012" s="21" t="s">
        <v>2267</v>
      </c>
      <c r="Q1012" s="21"/>
      <c r="R1012" s="21"/>
      <c r="S1012" s="3" t="s">
        <v>40</v>
      </c>
      <c r="T1012" s="21" t="s">
        <v>41</v>
      </c>
      <c r="U1012" s="21"/>
      <c r="V1012" s="4" t="s">
        <v>59</v>
      </c>
      <c r="W1012" s="4" t="s">
        <v>234</v>
      </c>
      <c r="X1012" s="4" t="s">
        <v>339</v>
      </c>
      <c r="Y1012" s="21" t="s">
        <v>56</v>
      </c>
      <c r="Z1012" s="21"/>
      <c r="AA1012" s="4" t="s">
        <v>46</v>
      </c>
      <c r="AB1012" s="4" t="s">
        <v>47</v>
      </c>
      <c r="AC1012" s="4" t="s">
        <v>139</v>
      </c>
      <c r="AD1012" s="4" t="s">
        <v>1435</v>
      </c>
      <c r="AE1012" s="4" t="s">
        <v>48</v>
      </c>
      <c r="AF1012" s="4" t="s">
        <v>41</v>
      </c>
      <c r="AG1012" s="4" t="s">
        <v>2167</v>
      </c>
    </row>
    <row r="1013" spans="1:33" ht="16.5" customHeight="1" x14ac:dyDescent="0.2">
      <c r="A1013" s="2" t="s">
        <v>31</v>
      </c>
      <c r="B1013" s="19" t="s">
        <v>50</v>
      </c>
      <c r="C1013" s="19"/>
      <c r="D1013" s="19"/>
      <c r="E1013" s="20" t="s">
        <v>33</v>
      </c>
      <c r="F1013" s="20"/>
      <c r="G1013" s="21" t="s">
        <v>2164</v>
      </c>
      <c r="H1013" s="21"/>
      <c r="I1013" s="21"/>
      <c r="J1013" s="3" t="s">
        <v>35</v>
      </c>
      <c r="K1013" s="4" t="s">
        <v>61</v>
      </c>
      <c r="L1013" s="4" t="s">
        <v>37</v>
      </c>
      <c r="N1013" s="21" t="s">
        <v>2268</v>
      </c>
      <c r="O1013" s="21"/>
      <c r="P1013" s="21" t="s">
        <v>2269</v>
      </c>
      <c r="Q1013" s="21"/>
      <c r="R1013" s="21"/>
      <c r="S1013" s="3" t="s">
        <v>40</v>
      </c>
      <c r="T1013" s="21" t="s">
        <v>41</v>
      </c>
      <c r="U1013" s="21"/>
      <c r="V1013" s="4" t="s">
        <v>42</v>
      </c>
      <c r="W1013" s="4" t="s">
        <v>234</v>
      </c>
      <c r="X1013" s="4" t="s">
        <v>235</v>
      </c>
      <c r="Y1013" s="21" t="s">
        <v>65</v>
      </c>
      <c r="Z1013" s="21"/>
      <c r="AA1013" s="4" t="s">
        <v>46</v>
      </c>
      <c r="AB1013" s="4" t="s">
        <v>47</v>
      </c>
      <c r="AC1013" s="4" t="s">
        <v>57</v>
      </c>
      <c r="AD1013" s="4" t="s">
        <v>58</v>
      </c>
      <c r="AE1013" s="4" t="s">
        <v>48</v>
      </c>
      <c r="AF1013" s="4" t="s">
        <v>41</v>
      </c>
      <c r="AG1013" s="4" t="s">
        <v>2167</v>
      </c>
    </row>
    <row r="1014" spans="1:33" ht="16.5" customHeight="1" x14ac:dyDescent="0.2">
      <c r="A1014" s="2" t="s">
        <v>31</v>
      </c>
      <c r="B1014" s="19" t="s">
        <v>50</v>
      </c>
      <c r="C1014" s="19"/>
      <c r="D1014" s="19"/>
      <c r="E1014" s="20" t="s">
        <v>33</v>
      </c>
      <c r="F1014" s="20"/>
      <c r="G1014" s="21" t="s">
        <v>2164</v>
      </c>
      <c r="H1014" s="21"/>
      <c r="I1014" s="21"/>
      <c r="J1014" s="3" t="s">
        <v>35</v>
      </c>
      <c r="K1014" s="4" t="s">
        <v>661</v>
      </c>
      <c r="L1014" s="4" t="s">
        <v>68</v>
      </c>
      <c r="N1014" s="21" t="s">
        <v>2270</v>
      </c>
      <c r="O1014" s="21"/>
      <c r="P1014" s="21" t="s">
        <v>2271</v>
      </c>
      <c r="Q1014" s="21"/>
      <c r="R1014" s="21"/>
      <c r="S1014" s="3" t="s">
        <v>40</v>
      </c>
      <c r="T1014" s="21" t="s">
        <v>41</v>
      </c>
      <c r="U1014" s="21"/>
      <c r="V1014" s="4" t="s">
        <v>42</v>
      </c>
      <c r="W1014" s="4" t="s">
        <v>350</v>
      </c>
      <c r="X1014" s="4" t="s">
        <v>339</v>
      </c>
      <c r="Y1014" s="21" t="s">
        <v>198</v>
      </c>
      <c r="Z1014" s="21"/>
      <c r="AA1014" s="4" t="s">
        <v>46</v>
      </c>
      <c r="AB1014" s="4" t="s">
        <v>47</v>
      </c>
      <c r="AC1014" s="4" t="s">
        <v>257</v>
      </c>
      <c r="AD1014" s="4" t="s">
        <v>73</v>
      </c>
      <c r="AE1014" s="4" t="s">
        <v>48</v>
      </c>
      <c r="AF1014" s="4" t="s">
        <v>41</v>
      </c>
      <c r="AG1014" s="4" t="s">
        <v>2167</v>
      </c>
    </row>
    <row r="1015" spans="1:33" ht="16.5" customHeight="1" x14ac:dyDescent="0.2">
      <c r="A1015" s="2" t="s">
        <v>31</v>
      </c>
      <c r="B1015" s="19" t="s">
        <v>50</v>
      </c>
      <c r="C1015" s="19"/>
      <c r="D1015" s="19"/>
      <c r="E1015" s="20" t="s">
        <v>33</v>
      </c>
      <c r="F1015" s="20"/>
      <c r="G1015" s="21" t="s">
        <v>2164</v>
      </c>
      <c r="H1015" s="21"/>
      <c r="I1015" s="21"/>
      <c r="J1015" s="3" t="s">
        <v>35</v>
      </c>
      <c r="K1015" s="4" t="s">
        <v>87</v>
      </c>
      <c r="L1015" s="4" t="s">
        <v>37</v>
      </c>
      <c r="N1015" s="21" t="s">
        <v>2272</v>
      </c>
      <c r="O1015" s="21"/>
      <c r="P1015" s="21" t="s">
        <v>2273</v>
      </c>
      <c r="Q1015" s="21"/>
      <c r="R1015" s="21"/>
      <c r="S1015" s="3" t="s">
        <v>40</v>
      </c>
      <c r="T1015" s="21" t="s">
        <v>41</v>
      </c>
      <c r="U1015" s="21"/>
      <c r="V1015" s="4" t="s">
        <v>42</v>
      </c>
      <c r="W1015" s="4" t="s">
        <v>350</v>
      </c>
      <c r="X1015" s="4" t="s">
        <v>339</v>
      </c>
      <c r="Y1015" s="21" t="s">
        <v>56</v>
      </c>
      <c r="Z1015" s="21"/>
      <c r="AA1015" s="4" t="s">
        <v>46</v>
      </c>
      <c r="AB1015" s="4" t="s">
        <v>47</v>
      </c>
      <c r="AC1015" s="4" t="s">
        <v>139</v>
      </c>
      <c r="AD1015" s="4" t="s">
        <v>140</v>
      </c>
      <c r="AE1015" s="4" t="s">
        <v>48</v>
      </c>
      <c r="AF1015" s="4" t="s">
        <v>41</v>
      </c>
      <c r="AG1015" s="4" t="s">
        <v>2167</v>
      </c>
    </row>
    <row r="1016" spans="1:33" ht="16.5" customHeight="1" x14ac:dyDescent="0.2">
      <c r="A1016" s="2" t="s">
        <v>31</v>
      </c>
      <c r="B1016" s="19" t="s">
        <v>50</v>
      </c>
      <c r="C1016" s="19"/>
      <c r="D1016" s="19"/>
      <c r="E1016" s="20" t="s">
        <v>33</v>
      </c>
      <c r="F1016" s="20"/>
      <c r="G1016" s="21" t="s">
        <v>2164</v>
      </c>
      <c r="H1016" s="21"/>
      <c r="I1016" s="21"/>
      <c r="J1016" s="3" t="s">
        <v>35</v>
      </c>
      <c r="K1016" s="4" t="s">
        <v>74</v>
      </c>
      <c r="L1016" s="4" t="s">
        <v>37</v>
      </c>
      <c r="N1016" s="21" t="s">
        <v>2274</v>
      </c>
      <c r="O1016" s="21"/>
      <c r="P1016" s="21" t="s">
        <v>2275</v>
      </c>
      <c r="Q1016" s="21"/>
      <c r="R1016" s="21"/>
      <c r="S1016" s="3" t="s">
        <v>40</v>
      </c>
      <c r="T1016" s="21" t="s">
        <v>41</v>
      </c>
      <c r="U1016" s="21"/>
      <c r="V1016" s="4" t="s">
        <v>42</v>
      </c>
      <c r="W1016" s="4" t="s">
        <v>355</v>
      </c>
      <c r="X1016" s="4" t="s">
        <v>356</v>
      </c>
      <c r="Y1016" s="21" t="s">
        <v>65</v>
      </c>
      <c r="Z1016" s="21"/>
      <c r="AA1016" s="4" t="s">
        <v>46</v>
      </c>
      <c r="AB1016" s="4" t="s">
        <v>47</v>
      </c>
      <c r="AC1016" s="4" t="s">
        <v>57</v>
      </c>
      <c r="AD1016" s="4" t="s">
        <v>58</v>
      </c>
      <c r="AE1016" s="4" t="s">
        <v>48</v>
      </c>
      <c r="AF1016" s="4" t="s">
        <v>41</v>
      </c>
      <c r="AG1016" s="4" t="s">
        <v>2167</v>
      </c>
    </row>
    <row r="1017" spans="1:33" ht="16.5" customHeight="1" x14ac:dyDescent="0.2">
      <c r="A1017" s="2" t="s">
        <v>31</v>
      </c>
      <c r="B1017" s="19" t="s">
        <v>50</v>
      </c>
      <c r="C1017" s="19"/>
      <c r="D1017" s="19"/>
      <c r="E1017" s="20" t="s">
        <v>33</v>
      </c>
      <c r="F1017" s="20"/>
      <c r="G1017" s="21" t="s">
        <v>2164</v>
      </c>
      <c r="H1017" s="21"/>
      <c r="I1017" s="21"/>
      <c r="J1017" s="3" t="s">
        <v>35</v>
      </c>
      <c r="K1017" s="4" t="s">
        <v>204</v>
      </c>
      <c r="L1017" s="4" t="s">
        <v>37</v>
      </c>
      <c r="N1017" s="21" t="s">
        <v>2276</v>
      </c>
      <c r="O1017" s="21"/>
      <c r="P1017" s="21" t="s">
        <v>2277</v>
      </c>
      <c r="Q1017" s="21"/>
      <c r="R1017" s="21"/>
      <c r="S1017" s="3" t="s">
        <v>40</v>
      </c>
      <c r="T1017" s="21" t="s">
        <v>41</v>
      </c>
      <c r="U1017" s="21"/>
      <c r="V1017" s="4" t="s">
        <v>42</v>
      </c>
      <c r="W1017" s="4" t="s">
        <v>299</v>
      </c>
      <c r="X1017" s="4" t="s">
        <v>300</v>
      </c>
      <c r="Y1017" s="21" t="s">
        <v>198</v>
      </c>
      <c r="Z1017" s="21"/>
      <c r="AA1017" s="4" t="s">
        <v>46</v>
      </c>
      <c r="AB1017" s="4" t="s">
        <v>47</v>
      </c>
      <c r="AC1017" s="4" t="s">
        <v>81</v>
      </c>
      <c r="AD1017" s="4" t="s">
        <v>41</v>
      </c>
      <c r="AE1017" s="4" t="s">
        <v>48</v>
      </c>
      <c r="AF1017" s="4" t="s">
        <v>41</v>
      </c>
      <c r="AG1017" s="4" t="s">
        <v>2167</v>
      </c>
    </row>
    <row r="1018" spans="1:33" ht="16.5" customHeight="1" x14ac:dyDescent="0.2">
      <c r="A1018" s="2" t="s">
        <v>31</v>
      </c>
      <c r="B1018" s="19" t="s">
        <v>50</v>
      </c>
      <c r="C1018" s="19"/>
      <c r="D1018" s="19"/>
      <c r="E1018" s="20" t="s">
        <v>33</v>
      </c>
      <c r="F1018" s="20"/>
      <c r="G1018" s="21" t="s">
        <v>2164</v>
      </c>
      <c r="H1018" s="21"/>
      <c r="I1018" s="21"/>
      <c r="J1018" s="3" t="s">
        <v>35</v>
      </c>
      <c r="K1018" s="4" t="s">
        <v>82</v>
      </c>
      <c r="L1018" s="4" t="s">
        <v>37</v>
      </c>
      <c r="N1018" s="21" t="s">
        <v>2278</v>
      </c>
      <c r="O1018" s="21"/>
      <c r="P1018" s="21" t="s">
        <v>2279</v>
      </c>
      <c r="Q1018" s="21"/>
      <c r="R1018" s="21"/>
      <c r="S1018" s="3" t="s">
        <v>40</v>
      </c>
      <c r="T1018" s="21" t="s">
        <v>41</v>
      </c>
      <c r="U1018" s="21"/>
      <c r="V1018" s="4" t="s">
        <v>42</v>
      </c>
      <c r="W1018" s="4" t="s">
        <v>299</v>
      </c>
      <c r="X1018" s="4" t="s">
        <v>300</v>
      </c>
      <c r="Y1018" s="21" t="s">
        <v>56</v>
      </c>
      <c r="Z1018" s="21"/>
      <c r="AA1018" s="4" t="s">
        <v>46</v>
      </c>
      <c r="AB1018" s="4" t="s">
        <v>47</v>
      </c>
      <c r="AC1018" s="4" t="s">
        <v>57</v>
      </c>
      <c r="AD1018" s="4" t="s">
        <v>58</v>
      </c>
      <c r="AE1018" s="4" t="s">
        <v>48</v>
      </c>
      <c r="AF1018" s="4" t="s">
        <v>41</v>
      </c>
      <c r="AG1018" s="4" t="s">
        <v>2167</v>
      </c>
    </row>
    <row r="1019" spans="1:33" ht="16.5" customHeight="1" x14ac:dyDescent="0.2">
      <c r="A1019" s="2" t="s">
        <v>31</v>
      </c>
      <c r="B1019" s="19" t="s">
        <v>50</v>
      </c>
      <c r="C1019" s="19"/>
      <c r="D1019" s="19"/>
      <c r="E1019" s="20" t="s">
        <v>33</v>
      </c>
      <c r="F1019" s="20"/>
      <c r="G1019" s="21" t="s">
        <v>2164</v>
      </c>
      <c r="H1019" s="21"/>
      <c r="I1019" s="21"/>
      <c r="J1019" s="3" t="s">
        <v>35</v>
      </c>
      <c r="K1019" s="4" t="s">
        <v>146</v>
      </c>
      <c r="L1019" s="4" t="s">
        <v>37</v>
      </c>
      <c r="N1019" s="21" t="s">
        <v>2280</v>
      </c>
      <c r="O1019" s="21"/>
      <c r="P1019" s="21" t="s">
        <v>2281</v>
      </c>
      <c r="Q1019" s="21"/>
      <c r="R1019" s="21"/>
      <c r="S1019" s="3" t="s">
        <v>40</v>
      </c>
      <c r="T1019" s="21" t="s">
        <v>41</v>
      </c>
      <c r="U1019" s="21"/>
      <c r="V1019" s="4" t="s">
        <v>42</v>
      </c>
      <c r="W1019" s="4" t="s">
        <v>77</v>
      </c>
      <c r="X1019" s="4" t="s">
        <v>78</v>
      </c>
      <c r="Y1019" s="21" t="s">
        <v>138</v>
      </c>
      <c r="Z1019" s="21"/>
      <c r="AA1019" s="4" t="s">
        <v>46</v>
      </c>
      <c r="AB1019" s="4" t="s">
        <v>47</v>
      </c>
      <c r="AC1019" s="4" t="s">
        <v>57</v>
      </c>
      <c r="AD1019" s="4" t="s">
        <v>58</v>
      </c>
      <c r="AE1019" s="4" t="s">
        <v>48</v>
      </c>
      <c r="AF1019" s="4" t="s">
        <v>41</v>
      </c>
      <c r="AG1019" s="4" t="s">
        <v>2167</v>
      </c>
    </row>
    <row r="1020" spans="1:33" ht="16.5" customHeight="1" x14ac:dyDescent="0.2">
      <c r="A1020" s="2" t="s">
        <v>31</v>
      </c>
      <c r="B1020" s="19" t="s">
        <v>50</v>
      </c>
      <c r="C1020" s="19"/>
      <c r="D1020" s="19"/>
      <c r="E1020" s="20" t="s">
        <v>33</v>
      </c>
      <c r="F1020" s="20"/>
      <c r="G1020" s="21" t="s">
        <v>2164</v>
      </c>
      <c r="H1020" s="21"/>
      <c r="I1020" s="21"/>
      <c r="J1020" s="3" t="s">
        <v>35</v>
      </c>
      <c r="K1020" s="4" t="s">
        <v>247</v>
      </c>
      <c r="L1020" s="4" t="s">
        <v>68</v>
      </c>
      <c r="N1020" s="21" t="s">
        <v>2282</v>
      </c>
      <c r="O1020" s="21"/>
      <c r="P1020" s="21" t="s">
        <v>2283</v>
      </c>
      <c r="Q1020" s="21"/>
      <c r="R1020" s="21"/>
      <c r="S1020" s="3" t="s">
        <v>40</v>
      </c>
      <c r="T1020" s="21" t="s">
        <v>41</v>
      </c>
      <c r="U1020" s="21"/>
      <c r="V1020" s="4" t="s">
        <v>42</v>
      </c>
      <c r="W1020" s="4" t="s">
        <v>310</v>
      </c>
      <c r="X1020" s="4" t="s">
        <v>311</v>
      </c>
      <c r="Y1020" s="21" t="s">
        <v>65</v>
      </c>
      <c r="Z1020" s="21"/>
      <c r="AA1020" s="4" t="s">
        <v>46</v>
      </c>
      <c r="AB1020" s="4" t="s">
        <v>47</v>
      </c>
      <c r="AC1020" s="4" t="s">
        <v>66</v>
      </c>
      <c r="AD1020" s="4" t="s">
        <v>69</v>
      </c>
      <c r="AE1020" s="4" t="s">
        <v>48</v>
      </c>
      <c r="AF1020" s="4" t="s">
        <v>41</v>
      </c>
      <c r="AG1020" s="4" t="s">
        <v>2167</v>
      </c>
    </row>
    <row r="1021" spans="1:33" ht="16.5" customHeight="1" x14ac:dyDescent="0.2">
      <c r="A1021" s="2" t="s">
        <v>31</v>
      </c>
      <c r="B1021" s="19" t="s">
        <v>50</v>
      </c>
      <c r="C1021" s="19"/>
      <c r="D1021" s="19"/>
      <c r="E1021" s="20" t="s">
        <v>33</v>
      </c>
      <c r="F1021" s="20"/>
      <c r="G1021" s="21" t="s">
        <v>2164</v>
      </c>
      <c r="H1021" s="21"/>
      <c r="I1021" s="21"/>
      <c r="J1021" s="3" t="s">
        <v>35</v>
      </c>
      <c r="K1021" s="4" t="s">
        <v>247</v>
      </c>
      <c r="L1021" s="4" t="s">
        <v>68</v>
      </c>
      <c r="N1021" s="21" t="s">
        <v>2282</v>
      </c>
      <c r="O1021" s="21"/>
      <c r="P1021" s="21" t="s">
        <v>2283</v>
      </c>
      <c r="Q1021" s="21"/>
      <c r="R1021" s="21"/>
      <c r="S1021" s="3" t="s">
        <v>40</v>
      </c>
      <c r="T1021" s="21" t="s">
        <v>41</v>
      </c>
      <c r="U1021" s="21"/>
      <c r="V1021" s="4" t="s">
        <v>59</v>
      </c>
      <c r="W1021" s="4" t="s">
        <v>310</v>
      </c>
      <c r="X1021" s="4" t="s">
        <v>86</v>
      </c>
      <c r="Y1021" s="21" t="s">
        <v>65</v>
      </c>
      <c r="Z1021" s="21"/>
      <c r="AA1021" s="4" t="s">
        <v>46</v>
      </c>
      <c r="AB1021" s="4" t="s">
        <v>47</v>
      </c>
      <c r="AC1021" s="4" t="s">
        <v>66</v>
      </c>
      <c r="AD1021" s="4" t="s">
        <v>69</v>
      </c>
      <c r="AE1021" s="4" t="s">
        <v>48</v>
      </c>
      <c r="AF1021" s="4" t="s">
        <v>41</v>
      </c>
      <c r="AG1021" s="4" t="s">
        <v>2167</v>
      </c>
    </row>
    <row r="1022" spans="1:33" ht="16.5" customHeight="1" x14ac:dyDescent="0.2">
      <c r="A1022" s="2" t="s">
        <v>31</v>
      </c>
      <c r="B1022" s="19" t="s">
        <v>50</v>
      </c>
      <c r="C1022" s="19"/>
      <c r="D1022" s="19"/>
      <c r="E1022" s="20" t="s">
        <v>33</v>
      </c>
      <c r="F1022" s="20"/>
      <c r="G1022" s="21" t="s">
        <v>2164</v>
      </c>
      <c r="H1022" s="21"/>
      <c r="I1022" s="21"/>
      <c r="J1022" s="3" t="s">
        <v>35</v>
      </c>
      <c r="K1022" s="4" t="s">
        <v>204</v>
      </c>
      <c r="L1022" s="4" t="s">
        <v>68</v>
      </c>
      <c r="N1022" s="21" t="s">
        <v>2284</v>
      </c>
      <c r="O1022" s="21"/>
      <c r="P1022" s="21" t="s">
        <v>2285</v>
      </c>
      <c r="Q1022" s="21"/>
      <c r="R1022" s="21"/>
      <c r="S1022" s="3" t="s">
        <v>40</v>
      </c>
      <c r="T1022" s="21" t="s">
        <v>41</v>
      </c>
      <c r="U1022" s="21"/>
      <c r="V1022" s="4" t="s">
        <v>42</v>
      </c>
      <c r="W1022" s="4" t="s">
        <v>85</v>
      </c>
      <c r="X1022" s="4" t="s">
        <v>86</v>
      </c>
      <c r="Y1022" s="21" t="s">
        <v>198</v>
      </c>
      <c r="Z1022" s="21"/>
      <c r="AA1022" s="4" t="s">
        <v>46</v>
      </c>
      <c r="AB1022" s="4" t="s">
        <v>47</v>
      </c>
      <c r="AC1022" s="4" t="s">
        <v>81</v>
      </c>
      <c r="AD1022" s="4" t="s">
        <v>41</v>
      </c>
      <c r="AE1022" s="4" t="s">
        <v>48</v>
      </c>
      <c r="AF1022" s="4" t="s">
        <v>41</v>
      </c>
      <c r="AG1022" s="4" t="s">
        <v>2167</v>
      </c>
    </row>
    <row r="1023" spans="1:33" ht="16.5" customHeight="1" x14ac:dyDescent="0.2">
      <c r="A1023" s="2" t="s">
        <v>31</v>
      </c>
      <c r="B1023" s="19" t="s">
        <v>50</v>
      </c>
      <c r="C1023" s="19"/>
      <c r="D1023" s="19"/>
      <c r="E1023" s="20" t="s">
        <v>33</v>
      </c>
      <c r="F1023" s="20"/>
      <c r="G1023" s="21" t="s">
        <v>2164</v>
      </c>
      <c r="H1023" s="21"/>
      <c r="I1023" s="21"/>
      <c r="J1023" s="3" t="s">
        <v>35</v>
      </c>
      <c r="K1023" s="4" t="s">
        <v>204</v>
      </c>
      <c r="L1023" s="4" t="s">
        <v>62</v>
      </c>
      <c r="N1023" s="21" t="s">
        <v>2284</v>
      </c>
      <c r="O1023" s="21"/>
      <c r="P1023" s="21" t="s">
        <v>2285</v>
      </c>
      <c r="Q1023" s="21"/>
      <c r="R1023" s="21"/>
      <c r="S1023" s="3" t="s">
        <v>40</v>
      </c>
      <c r="T1023" s="21" t="s">
        <v>41</v>
      </c>
      <c r="U1023" s="21"/>
      <c r="V1023" s="4" t="s">
        <v>42</v>
      </c>
      <c r="W1023" s="4" t="s">
        <v>85</v>
      </c>
      <c r="X1023" s="4" t="s">
        <v>86</v>
      </c>
      <c r="Y1023" s="21" t="s">
        <v>198</v>
      </c>
      <c r="Z1023" s="21"/>
      <c r="AA1023" s="4" t="s">
        <v>46</v>
      </c>
      <c r="AB1023" s="4" t="s">
        <v>47</v>
      </c>
      <c r="AC1023" s="4" t="s">
        <v>81</v>
      </c>
      <c r="AD1023" s="4" t="s">
        <v>41</v>
      </c>
      <c r="AE1023" s="4" t="s">
        <v>48</v>
      </c>
      <c r="AF1023" s="4" t="s">
        <v>41</v>
      </c>
      <c r="AG1023" s="4" t="s">
        <v>2167</v>
      </c>
    </row>
    <row r="1024" spans="1:33" ht="16.5" customHeight="1" x14ac:dyDescent="0.2">
      <c r="A1024" s="2" t="s">
        <v>31</v>
      </c>
      <c r="B1024" s="19" t="s">
        <v>50</v>
      </c>
      <c r="C1024" s="19"/>
      <c r="D1024" s="19"/>
      <c r="E1024" s="20" t="s">
        <v>33</v>
      </c>
      <c r="F1024" s="20"/>
      <c r="G1024" s="21" t="s">
        <v>2164</v>
      </c>
      <c r="H1024" s="21"/>
      <c r="I1024" s="21"/>
      <c r="J1024" s="3" t="s">
        <v>35</v>
      </c>
      <c r="K1024" s="4" t="s">
        <v>204</v>
      </c>
      <c r="L1024" s="4" t="s">
        <v>68</v>
      </c>
      <c r="N1024" s="21" t="s">
        <v>2284</v>
      </c>
      <c r="O1024" s="21"/>
      <c r="P1024" s="21" t="s">
        <v>2285</v>
      </c>
      <c r="Q1024" s="21"/>
      <c r="R1024" s="21"/>
      <c r="S1024" s="3" t="s">
        <v>40</v>
      </c>
      <c r="T1024" s="21" t="s">
        <v>41</v>
      </c>
      <c r="U1024" s="21"/>
      <c r="V1024" s="4" t="s">
        <v>42</v>
      </c>
      <c r="W1024" s="4" t="s">
        <v>85</v>
      </c>
      <c r="X1024" s="4" t="s">
        <v>86</v>
      </c>
      <c r="Y1024" s="21" t="s">
        <v>198</v>
      </c>
      <c r="Z1024" s="21"/>
      <c r="AA1024" s="4" t="s">
        <v>46</v>
      </c>
      <c r="AB1024" s="4" t="s">
        <v>47</v>
      </c>
      <c r="AC1024" s="4" t="s">
        <v>81</v>
      </c>
      <c r="AD1024" s="4" t="s">
        <v>41</v>
      </c>
      <c r="AE1024" s="4" t="s">
        <v>48</v>
      </c>
      <c r="AF1024" s="4" t="s">
        <v>41</v>
      </c>
      <c r="AG1024" s="4" t="s">
        <v>2167</v>
      </c>
    </row>
    <row r="1025" spans="1:33" ht="16.5" customHeight="1" x14ac:dyDescent="0.2">
      <c r="A1025" s="2" t="s">
        <v>31</v>
      </c>
      <c r="B1025" s="19" t="s">
        <v>50</v>
      </c>
      <c r="C1025" s="19"/>
      <c r="D1025" s="19"/>
      <c r="E1025" s="20" t="s">
        <v>33</v>
      </c>
      <c r="F1025" s="20"/>
      <c r="G1025" s="21" t="s">
        <v>2164</v>
      </c>
      <c r="H1025" s="21"/>
      <c r="I1025" s="21"/>
      <c r="J1025" s="3" t="s">
        <v>35</v>
      </c>
      <c r="K1025" s="4" t="s">
        <v>82</v>
      </c>
      <c r="L1025" s="4" t="s">
        <v>37</v>
      </c>
      <c r="N1025" s="21" t="s">
        <v>2286</v>
      </c>
      <c r="O1025" s="21"/>
      <c r="P1025" s="21" t="s">
        <v>2287</v>
      </c>
      <c r="Q1025" s="21"/>
      <c r="R1025" s="21"/>
      <c r="S1025" s="3" t="s">
        <v>40</v>
      </c>
      <c r="T1025" s="21" t="s">
        <v>41</v>
      </c>
      <c r="U1025" s="21"/>
      <c r="V1025" s="4" t="s">
        <v>42</v>
      </c>
      <c r="W1025" s="4" t="s">
        <v>94</v>
      </c>
      <c r="X1025" s="4" t="s">
        <v>95</v>
      </c>
      <c r="Y1025" s="21" t="s">
        <v>56</v>
      </c>
      <c r="Z1025" s="21"/>
      <c r="AA1025" s="4" t="s">
        <v>46</v>
      </c>
      <c r="AB1025" s="4" t="s">
        <v>47</v>
      </c>
      <c r="AC1025" s="4" t="s">
        <v>57</v>
      </c>
      <c r="AD1025" s="4" t="s">
        <v>58</v>
      </c>
      <c r="AE1025" s="4" t="s">
        <v>48</v>
      </c>
      <c r="AF1025" s="4" t="s">
        <v>41</v>
      </c>
      <c r="AG1025" s="4" t="s">
        <v>2167</v>
      </c>
    </row>
    <row r="1026" spans="1:33" ht="16.5" customHeight="1" x14ac:dyDescent="0.2">
      <c r="A1026" s="2" t="s">
        <v>31</v>
      </c>
      <c r="B1026" s="19" t="s">
        <v>50</v>
      </c>
      <c r="C1026" s="19"/>
      <c r="D1026" s="19"/>
      <c r="E1026" s="20" t="s">
        <v>33</v>
      </c>
      <c r="F1026" s="20"/>
      <c r="G1026" s="21" t="s">
        <v>2164</v>
      </c>
      <c r="H1026" s="21"/>
      <c r="I1026" s="21"/>
      <c r="J1026" s="3" t="s">
        <v>35</v>
      </c>
      <c r="K1026" s="4" t="s">
        <v>82</v>
      </c>
      <c r="L1026" s="4" t="s">
        <v>37</v>
      </c>
      <c r="N1026" s="21" t="s">
        <v>2288</v>
      </c>
      <c r="O1026" s="21"/>
      <c r="P1026" s="21" t="s">
        <v>2289</v>
      </c>
      <c r="Q1026" s="21"/>
      <c r="R1026" s="21"/>
      <c r="S1026" s="3" t="s">
        <v>40</v>
      </c>
      <c r="T1026" s="21" t="s">
        <v>41</v>
      </c>
      <c r="U1026" s="21"/>
      <c r="V1026" s="4" t="s">
        <v>42</v>
      </c>
      <c r="W1026" s="4" t="s">
        <v>108</v>
      </c>
      <c r="X1026" s="4" t="s">
        <v>109</v>
      </c>
      <c r="Y1026" s="21" t="s">
        <v>56</v>
      </c>
      <c r="Z1026" s="21"/>
      <c r="AA1026" s="4" t="s">
        <v>46</v>
      </c>
      <c r="AB1026" s="4" t="s">
        <v>47</v>
      </c>
      <c r="AC1026" s="4" t="s">
        <v>57</v>
      </c>
      <c r="AD1026" s="4" t="s">
        <v>58</v>
      </c>
      <c r="AE1026" s="4" t="s">
        <v>48</v>
      </c>
      <c r="AF1026" s="4" t="s">
        <v>41</v>
      </c>
      <c r="AG1026" s="4" t="s">
        <v>2167</v>
      </c>
    </row>
    <row r="1027" spans="1:33" ht="16.5" customHeight="1" x14ac:dyDescent="0.2">
      <c r="A1027" s="2" t="s">
        <v>31</v>
      </c>
      <c r="B1027" s="19" t="s">
        <v>50</v>
      </c>
      <c r="C1027" s="19"/>
      <c r="D1027" s="19"/>
      <c r="E1027" s="20" t="s">
        <v>33</v>
      </c>
      <c r="F1027" s="20"/>
      <c r="G1027" s="21" t="s">
        <v>2164</v>
      </c>
      <c r="H1027" s="21"/>
      <c r="I1027" s="21"/>
      <c r="J1027" s="3" t="s">
        <v>35</v>
      </c>
      <c r="K1027" s="4" t="s">
        <v>169</v>
      </c>
      <c r="L1027" s="4" t="s">
        <v>37</v>
      </c>
      <c r="N1027" s="21" t="s">
        <v>2290</v>
      </c>
      <c r="O1027" s="21"/>
      <c r="P1027" s="21" t="s">
        <v>2291</v>
      </c>
      <c r="Q1027" s="21"/>
      <c r="R1027" s="21"/>
      <c r="S1027" s="3" t="s">
        <v>40</v>
      </c>
      <c r="T1027" s="21" t="s">
        <v>41</v>
      </c>
      <c r="U1027" s="21"/>
      <c r="V1027" s="4" t="s">
        <v>42</v>
      </c>
      <c r="W1027" s="4" t="s">
        <v>108</v>
      </c>
      <c r="X1027" s="4" t="s">
        <v>109</v>
      </c>
      <c r="Y1027" s="21" t="s">
        <v>56</v>
      </c>
      <c r="Z1027" s="21"/>
      <c r="AA1027" s="4" t="s">
        <v>46</v>
      </c>
      <c r="AB1027" s="4" t="s">
        <v>47</v>
      </c>
      <c r="AC1027" s="4" t="s">
        <v>57</v>
      </c>
      <c r="AD1027" s="4" t="s">
        <v>58</v>
      </c>
      <c r="AE1027" s="4" t="s">
        <v>48</v>
      </c>
      <c r="AF1027" s="4" t="s">
        <v>41</v>
      </c>
      <c r="AG1027" s="4" t="s">
        <v>2167</v>
      </c>
    </row>
    <row r="1028" spans="1:33" ht="16.5" customHeight="1" x14ac:dyDescent="0.2">
      <c r="A1028" s="2" t="s">
        <v>31</v>
      </c>
      <c r="B1028" s="19" t="s">
        <v>50</v>
      </c>
      <c r="C1028" s="19"/>
      <c r="D1028" s="19"/>
      <c r="E1028" s="20" t="s">
        <v>33</v>
      </c>
      <c r="F1028" s="20"/>
      <c r="G1028" s="21" t="s">
        <v>2164</v>
      </c>
      <c r="H1028" s="21"/>
      <c r="I1028" s="21"/>
      <c r="J1028" s="3" t="s">
        <v>35</v>
      </c>
      <c r="K1028" s="4" t="s">
        <v>2292</v>
      </c>
      <c r="L1028" s="4" t="s">
        <v>37</v>
      </c>
      <c r="N1028" s="21" t="s">
        <v>2293</v>
      </c>
      <c r="O1028" s="21"/>
      <c r="P1028" s="21" t="s">
        <v>2294</v>
      </c>
      <c r="Q1028" s="21"/>
      <c r="R1028" s="21"/>
      <c r="S1028" s="3" t="s">
        <v>40</v>
      </c>
      <c r="T1028" s="21" t="s">
        <v>41</v>
      </c>
      <c r="U1028" s="21"/>
      <c r="V1028" s="4" t="s">
        <v>42</v>
      </c>
      <c r="W1028" s="4" t="s">
        <v>54</v>
      </c>
      <c r="X1028" s="4" t="s">
        <v>55</v>
      </c>
      <c r="Y1028" s="21" t="s">
        <v>56</v>
      </c>
      <c r="Z1028" s="21"/>
      <c r="AA1028" s="4" t="s">
        <v>46</v>
      </c>
      <c r="AB1028" s="4" t="s">
        <v>47</v>
      </c>
      <c r="AC1028" s="4" t="s">
        <v>57</v>
      </c>
      <c r="AD1028" s="4" t="s">
        <v>58</v>
      </c>
      <c r="AE1028" s="4" t="s">
        <v>48</v>
      </c>
      <c r="AF1028" s="4" t="s">
        <v>41</v>
      </c>
      <c r="AG1028" s="4" t="s">
        <v>2167</v>
      </c>
    </row>
    <row r="1029" spans="1:33" ht="16.5" customHeight="1" x14ac:dyDescent="0.2">
      <c r="A1029" s="2" t="s">
        <v>31</v>
      </c>
      <c r="B1029" s="19" t="s">
        <v>50</v>
      </c>
      <c r="C1029" s="19"/>
      <c r="D1029" s="19"/>
      <c r="E1029" s="20" t="s">
        <v>33</v>
      </c>
      <c r="F1029" s="20"/>
      <c r="G1029" s="21" t="s">
        <v>2164</v>
      </c>
      <c r="H1029" s="21"/>
      <c r="I1029" s="21"/>
      <c r="J1029" s="3" t="s">
        <v>35</v>
      </c>
      <c r="K1029" s="4" t="s">
        <v>413</v>
      </c>
      <c r="L1029" s="4" t="s">
        <v>68</v>
      </c>
      <c r="N1029" s="21" t="s">
        <v>2295</v>
      </c>
      <c r="O1029" s="21"/>
      <c r="P1029" s="21" t="s">
        <v>2296</v>
      </c>
      <c r="Q1029" s="21"/>
      <c r="R1029" s="21"/>
      <c r="S1029" s="3" t="s">
        <v>40</v>
      </c>
      <c r="T1029" s="21" t="s">
        <v>41</v>
      </c>
      <c r="U1029" s="21"/>
      <c r="V1029" s="4" t="s">
        <v>42</v>
      </c>
      <c r="W1029" s="4" t="s">
        <v>54</v>
      </c>
      <c r="X1029" s="4" t="s">
        <v>55</v>
      </c>
      <c r="Y1029" s="21" t="s">
        <v>198</v>
      </c>
      <c r="Z1029" s="21"/>
      <c r="AA1029" s="4" t="s">
        <v>46</v>
      </c>
      <c r="AB1029" s="4" t="s">
        <v>47</v>
      </c>
      <c r="AC1029" s="4" t="s">
        <v>139</v>
      </c>
      <c r="AD1029" s="4" t="s">
        <v>151</v>
      </c>
      <c r="AE1029" s="4" t="s">
        <v>48</v>
      </c>
      <c r="AF1029" s="4" t="s">
        <v>41</v>
      </c>
      <c r="AG1029" s="4" t="s">
        <v>2167</v>
      </c>
    </row>
    <row r="1030" spans="1:33" ht="16.5" customHeight="1" x14ac:dyDescent="0.2">
      <c r="A1030" s="2" t="s">
        <v>31</v>
      </c>
      <c r="B1030" s="19" t="s">
        <v>50</v>
      </c>
      <c r="C1030" s="19"/>
      <c r="D1030" s="19"/>
      <c r="E1030" s="20" t="s">
        <v>33</v>
      </c>
      <c r="F1030" s="20"/>
      <c r="G1030" s="21" t="s">
        <v>2164</v>
      </c>
      <c r="H1030" s="21"/>
      <c r="I1030" s="21"/>
      <c r="J1030" s="3" t="s">
        <v>35</v>
      </c>
      <c r="K1030" s="4" t="s">
        <v>74</v>
      </c>
      <c r="L1030" s="4" t="s">
        <v>37</v>
      </c>
      <c r="N1030" s="21" t="s">
        <v>2297</v>
      </c>
      <c r="O1030" s="21"/>
      <c r="P1030" s="21" t="s">
        <v>2298</v>
      </c>
      <c r="Q1030" s="21"/>
      <c r="R1030" s="21"/>
      <c r="S1030" s="3" t="s">
        <v>40</v>
      </c>
      <c r="T1030" s="21" t="s">
        <v>41</v>
      </c>
      <c r="U1030" s="21"/>
      <c r="V1030" s="4" t="s">
        <v>42</v>
      </c>
      <c r="W1030" s="4" t="s">
        <v>54</v>
      </c>
      <c r="X1030" s="4" t="s">
        <v>55</v>
      </c>
      <c r="Y1030" s="21" t="s">
        <v>65</v>
      </c>
      <c r="Z1030" s="21"/>
      <c r="AA1030" s="4" t="s">
        <v>46</v>
      </c>
      <c r="AB1030" s="4" t="s">
        <v>47</v>
      </c>
      <c r="AC1030" s="4" t="s">
        <v>66</v>
      </c>
      <c r="AD1030" s="4" t="s">
        <v>73</v>
      </c>
      <c r="AE1030" s="4" t="s">
        <v>48</v>
      </c>
      <c r="AF1030" s="4" t="s">
        <v>41</v>
      </c>
      <c r="AG1030" s="4" t="s">
        <v>2167</v>
      </c>
    </row>
    <row r="1031" spans="1:33" ht="16.5" customHeight="1" x14ac:dyDescent="0.2">
      <c r="A1031" s="2" t="s">
        <v>31</v>
      </c>
      <c r="B1031" s="19" t="s">
        <v>50</v>
      </c>
      <c r="C1031" s="19"/>
      <c r="D1031" s="19"/>
      <c r="E1031" s="20" t="s">
        <v>33</v>
      </c>
      <c r="F1031" s="20"/>
      <c r="G1031" s="21" t="s">
        <v>2164</v>
      </c>
      <c r="H1031" s="21"/>
      <c r="I1031" s="21"/>
      <c r="J1031" s="3" t="s">
        <v>35</v>
      </c>
      <c r="K1031" s="4" t="s">
        <v>413</v>
      </c>
      <c r="L1031" s="4" t="s">
        <v>37</v>
      </c>
      <c r="N1031" s="21" t="s">
        <v>2299</v>
      </c>
      <c r="O1031" s="21"/>
      <c r="P1031" s="21" t="s">
        <v>2300</v>
      </c>
      <c r="Q1031" s="21"/>
      <c r="R1031" s="21"/>
      <c r="S1031" s="3" t="s">
        <v>40</v>
      </c>
      <c r="T1031" s="21" t="s">
        <v>41</v>
      </c>
      <c r="U1031" s="21"/>
      <c r="V1031" s="4" t="s">
        <v>42</v>
      </c>
      <c r="W1031" s="4" t="s">
        <v>54</v>
      </c>
      <c r="X1031" s="4" t="s">
        <v>55</v>
      </c>
      <c r="Y1031" s="21" t="s">
        <v>198</v>
      </c>
      <c r="Z1031" s="21"/>
      <c r="AA1031" s="4" t="s">
        <v>46</v>
      </c>
      <c r="AB1031" s="4" t="s">
        <v>47</v>
      </c>
      <c r="AC1031" s="4" t="s">
        <v>139</v>
      </c>
      <c r="AD1031" s="4" t="s">
        <v>140</v>
      </c>
      <c r="AE1031" s="4" t="s">
        <v>48</v>
      </c>
      <c r="AF1031" s="4" t="s">
        <v>41</v>
      </c>
      <c r="AG1031" s="4" t="s">
        <v>2167</v>
      </c>
    </row>
    <row r="1032" spans="1:33" ht="16.5" customHeight="1" x14ac:dyDescent="0.2">
      <c r="A1032" s="2" t="s">
        <v>31</v>
      </c>
      <c r="B1032" s="19" t="s">
        <v>50</v>
      </c>
      <c r="C1032" s="19"/>
      <c r="D1032" s="19"/>
      <c r="E1032" s="20" t="s">
        <v>33</v>
      </c>
      <c r="F1032" s="20"/>
      <c r="G1032" s="21" t="s">
        <v>2164</v>
      </c>
      <c r="H1032" s="21"/>
      <c r="I1032" s="21"/>
      <c r="J1032" s="3" t="s">
        <v>35</v>
      </c>
      <c r="K1032" s="4" t="s">
        <v>74</v>
      </c>
      <c r="L1032" s="4" t="s">
        <v>37</v>
      </c>
      <c r="N1032" s="21" t="s">
        <v>2301</v>
      </c>
      <c r="O1032" s="21"/>
      <c r="P1032" s="21" t="s">
        <v>2302</v>
      </c>
      <c r="Q1032" s="21"/>
      <c r="R1032" s="21"/>
      <c r="S1032" s="3" t="s">
        <v>40</v>
      </c>
      <c r="T1032" s="21" t="s">
        <v>41</v>
      </c>
      <c r="U1032" s="21"/>
      <c r="V1032" s="4" t="s">
        <v>42</v>
      </c>
      <c r="W1032" s="4" t="s">
        <v>54</v>
      </c>
      <c r="X1032" s="4" t="s">
        <v>55</v>
      </c>
      <c r="Y1032" s="21" t="s">
        <v>65</v>
      </c>
      <c r="Z1032" s="21"/>
      <c r="AA1032" s="4" t="s">
        <v>46</v>
      </c>
      <c r="AB1032" s="4" t="s">
        <v>47</v>
      </c>
      <c r="AC1032" s="4" t="s">
        <v>66</v>
      </c>
      <c r="AD1032" s="4" t="s">
        <v>73</v>
      </c>
      <c r="AE1032" s="4" t="s">
        <v>48</v>
      </c>
      <c r="AF1032" s="4" t="s">
        <v>41</v>
      </c>
      <c r="AG1032" s="4" t="s">
        <v>2167</v>
      </c>
    </row>
    <row r="1033" spans="1:33" ht="16.5" customHeight="1" x14ac:dyDescent="0.2">
      <c r="A1033" s="2" t="s">
        <v>31</v>
      </c>
      <c r="B1033" s="19" t="s">
        <v>50</v>
      </c>
      <c r="C1033" s="19"/>
      <c r="D1033" s="19"/>
      <c r="E1033" s="20" t="s">
        <v>33</v>
      </c>
      <c r="F1033" s="20"/>
      <c r="G1033" s="21" t="s">
        <v>2164</v>
      </c>
      <c r="H1033" s="21"/>
      <c r="I1033" s="21"/>
      <c r="J1033" s="3" t="s">
        <v>35</v>
      </c>
      <c r="K1033" s="4" t="s">
        <v>82</v>
      </c>
      <c r="L1033" s="4" t="s">
        <v>37</v>
      </c>
      <c r="N1033" s="21" t="s">
        <v>2303</v>
      </c>
      <c r="O1033" s="21"/>
      <c r="P1033" s="21" t="s">
        <v>2304</v>
      </c>
      <c r="Q1033" s="21"/>
      <c r="R1033" s="21"/>
      <c r="S1033" s="3" t="s">
        <v>40</v>
      </c>
      <c r="T1033" s="21" t="s">
        <v>41</v>
      </c>
      <c r="U1033" s="21"/>
      <c r="V1033" s="4" t="s">
        <v>42</v>
      </c>
      <c r="W1033" s="4" t="s">
        <v>54</v>
      </c>
      <c r="X1033" s="4" t="s">
        <v>55</v>
      </c>
      <c r="Y1033" s="21" t="s">
        <v>56</v>
      </c>
      <c r="Z1033" s="21"/>
      <c r="AA1033" s="4" t="s">
        <v>46</v>
      </c>
      <c r="AB1033" s="4" t="s">
        <v>47</v>
      </c>
      <c r="AC1033" s="4" t="s">
        <v>57</v>
      </c>
      <c r="AD1033" s="4" t="s">
        <v>58</v>
      </c>
      <c r="AE1033" s="4" t="s">
        <v>48</v>
      </c>
      <c r="AF1033" s="4" t="s">
        <v>41</v>
      </c>
      <c r="AG1033" s="4" t="s">
        <v>2167</v>
      </c>
    </row>
    <row r="1034" spans="1:33" ht="16.5" customHeight="1" x14ac:dyDescent="0.2">
      <c r="A1034" s="2" t="s">
        <v>31</v>
      </c>
      <c r="B1034" s="19" t="s">
        <v>50</v>
      </c>
      <c r="C1034" s="19"/>
      <c r="D1034" s="19"/>
      <c r="E1034" s="20" t="s">
        <v>33</v>
      </c>
      <c r="F1034" s="20"/>
      <c r="G1034" s="21" t="s">
        <v>2164</v>
      </c>
      <c r="H1034" s="21"/>
      <c r="I1034" s="21"/>
      <c r="J1034" s="3" t="s">
        <v>35</v>
      </c>
      <c r="K1034" s="4" t="s">
        <v>169</v>
      </c>
      <c r="L1034" s="4" t="s">
        <v>37</v>
      </c>
      <c r="N1034" s="21" t="s">
        <v>2305</v>
      </c>
      <c r="O1034" s="21"/>
      <c r="P1034" s="21" t="s">
        <v>2306</v>
      </c>
      <c r="Q1034" s="21"/>
      <c r="R1034" s="21"/>
      <c r="S1034" s="3" t="s">
        <v>40</v>
      </c>
      <c r="T1034" s="21" t="s">
        <v>41</v>
      </c>
      <c r="U1034" s="21"/>
      <c r="V1034" s="4" t="s">
        <v>42</v>
      </c>
      <c r="W1034" s="4" t="s">
        <v>130</v>
      </c>
      <c r="X1034" s="4" t="s">
        <v>60</v>
      </c>
      <c r="Y1034" s="21" t="s">
        <v>56</v>
      </c>
      <c r="Z1034" s="21"/>
      <c r="AA1034" s="4" t="s">
        <v>46</v>
      </c>
      <c r="AB1034" s="4" t="s">
        <v>47</v>
      </c>
      <c r="AC1034" s="4" t="s">
        <v>57</v>
      </c>
      <c r="AD1034" s="4" t="s">
        <v>58</v>
      </c>
      <c r="AE1034" s="4" t="s">
        <v>48</v>
      </c>
      <c r="AF1034" s="4" t="s">
        <v>41</v>
      </c>
      <c r="AG1034" s="4" t="s">
        <v>2167</v>
      </c>
    </row>
    <row r="1035" spans="1:33" ht="16.5" customHeight="1" x14ac:dyDescent="0.2">
      <c r="A1035" s="2" t="s">
        <v>31</v>
      </c>
      <c r="B1035" s="19" t="s">
        <v>50</v>
      </c>
      <c r="C1035" s="19"/>
      <c r="D1035" s="19"/>
      <c r="E1035" s="20" t="s">
        <v>33</v>
      </c>
      <c r="F1035" s="20"/>
      <c r="G1035" s="21" t="s">
        <v>2164</v>
      </c>
      <c r="H1035" s="21"/>
      <c r="I1035" s="21"/>
      <c r="J1035" s="3" t="s">
        <v>35</v>
      </c>
      <c r="K1035" s="4" t="s">
        <v>51</v>
      </c>
      <c r="L1035" s="4" t="s">
        <v>37</v>
      </c>
      <c r="N1035" s="21" t="s">
        <v>2307</v>
      </c>
      <c r="O1035" s="21"/>
      <c r="P1035" s="21" t="s">
        <v>2308</v>
      </c>
      <c r="Q1035" s="21"/>
      <c r="R1035" s="21"/>
      <c r="S1035" s="3" t="s">
        <v>40</v>
      </c>
      <c r="T1035" s="21" t="s">
        <v>41</v>
      </c>
      <c r="U1035" s="21"/>
      <c r="V1035" s="4" t="s">
        <v>42</v>
      </c>
      <c r="W1035" s="4" t="s">
        <v>130</v>
      </c>
      <c r="X1035" s="4" t="s">
        <v>60</v>
      </c>
      <c r="Y1035" s="21" t="s">
        <v>56</v>
      </c>
      <c r="Z1035" s="21"/>
      <c r="AA1035" s="4" t="s">
        <v>46</v>
      </c>
      <c r="AB1035" s="4" t="s">
        <v>47</v>
      </c>
      <c r="AC1035" s="4" t="s">
        <v>57</v>
      </c>
      <c r="AD1035" s="4" t="s">
        <v>58</v>
      </c>
      <c r="AE1035" s="4" t="s">
        <v>48</v>
      </c>
      <c r="AF1035" s="4" t="s">
        <v>41</v>
      </c>
      <c r="AG1035" s="4" t="s">
        <v>2167</v>
      </c>
    </row>
    <row r="1036" spans="1:33" ht="16.5" customHeight="1" x14ac:dyDescent="0.2">
      <c r="A1036" s="2" t="s">
        <v>31</v>
      </c>
      <c r="B1036" s="19" t="s">
        <v>50</v>
      </c>
      <c r="C1036" s="19"/>
      <c r="D1036" s="19"/>
      <c r="E1036" s="20" t="s">
        <v>33</v>
      </c>
      <c r="F1036" s="20"/>
      <c r="G1036" s="21" t="s">
        <v>2164</v>
      </c>
      <c r="H1036" s="21"/>
      <c r="I1036" s="21"/>
      <c r="J1036" s="3" t="s">
        <v>35</v>
      </c>
      <c r="K1036" s="4" t="s">
        <v>204</v>
      </c>
      <c r="L1036" s="4" t="s">
        <v>37</v>
      </c>
      <c r="N1036" s="21" t="s">
        <v>2309</v>
      </c>
      <c r="O1036" s="21"/>
      <c r="P1036" s="21" t="s">
        <v>2310</v>
      </c>
      <c r="Q1036" s="21"/>
      <c r="R1036" s="21"/>
      <c r="S1036" s="3" t="s">
        <v>40</v>
      </c>
      <c r="T1036" s="21" t="s">
        <v>41</v>
      </c>
      <c r="U1036" s="21"/>
      <c r="V1036" s="4" t="s">
        <v>42</v>
      </c>
      <c r="W1036" s="4" t="s">
        <v>130</v>
      </c>
      <c r="X1036" s="4" t="s">
        <v>60</v>
      </c>
      <c r="Y1036" s="21" t="s">
        <v>198</v>
      </c>
      <c r="Z1036" s="21"/>
      <c r="AA1036" s="4" t="s">
        <v>46</v>
      </c>
      <c r="AB1036" s="4" t="s">
        <v>47</v>
      </c>
      <c r="AC1036" s="4" t="s">
        <v>139</v>
      </c>
      <c r="AD1036" s="4" t="s">
        <v>140</v>
      </c>
      <c r="AE1036" s="4" t="s">
        <v>48</v>
      </c>
      <c r="AF1036" s="4" t="s">
        <v>41</v>
      </c>
      <c r="AG1036" s="4" t="s">
        <v>2167</v>
      </c>
    </row>
    <row r="1037" spans="1:33" ht="16.5" customHeight="1" x14ac:dyDescent="0.2">
      <c r="A1037" s="2" t="s">
        <v>31</v>
      </c>
      <c r="B1037" s="19" t="s">
        <v>50</v>
      </c>
      <c r="C1037" s="19"/>
      <c r="D1037" s="19"/>
      <c r="E1037" s="20" t="s">
        <v>33</v>
      </c>
      <c r="F1037" s="20"/>
      <c r="G1037" s="21" t="s">
        <v>2164</v>
      </c>
      <c r="H1037" s="21"/>
      <c r="I1037" s="21"/>
      <c r="J1037" s="3" t="s">
        <v>35</v>
      </c>
      <c r="K1037" s="4" t="s">
        <v>383</v>
      </c>
      <c r="L1037" s="4" t="s">
        <v>37</v>
      </c>
      <c r="N1037" s="21" t="s">
        <v>2311</v>
      </c>
      <c r="O1037" s="21"/>
      <c r="P1037" s="21" t="s">
        <v>2312</v>
      </c>
      <c r="Q1037" s="21"/>
      <c r="R1037" s="21"/>
      <c r="S1037" s="3" t="s">
        <v>40</v>
      </c>
      <c r="T1037" s="21" t="s">
        <v>41</v>
      </c>
      <c r="U1037" s="21"/>
      <c r="V1037" s="4" t="s">
        <v>42</v>
      </c>
      <c r="W1037" s="4" t="s">
        <v>130</v>
      </c>
      <c r="X1037" s="4" t="s">
        <v>60</v>
      </c>
      <c r="Y1037" s="21" t="s">
        <v>198</v>
      </c>
      <c r="Z1037" s="21"/>
      <c r="AA1037" s="4" t="s">
        <v>46</v>
      </c>
      <c r="AB1037" s="4" t="s">
        <v>47</v>
      </c>
      <c r="AC1037" s="4" t="s">
        <v>139</v>
      </c>
      <c r="AD1037" s="4" t="s">
        <v>140</v>
      </c>
      <c r="AE1037" s="4" t="s">
        <v>48</v>
      </c>
      <c r="AF1037" s="4" t="s">
        <v>41</v>
      </c>
      <c r="AG1037" s="4" t="s">
        <v>2167</v>
      </c>
    </row>
    <row r="1038" spans="1:33" ht="16.5" customHeight="1" x14ac:dyDescent="0.2">
      <c r="A1038" s="2" t="s">
        <v>31</v>
      </c>
      <c r="B1038" s="19" t="s">
        <v>50</v>
      </c>
      <c r="C1038" s="19"/>
      <c r="D1038" s="19"/>
      <c r="E1038" s="20" t="s">
        <v>33</v>
      </c>
      <c r="F1038" s="20"/>
      <c r="G1038" s="21" t="s">
        <v>2164</v>
      </c>
      <c r="H1038" s="21"/>
      <c r="I1038" s="21"/>
      <c r="J1038" s="3" t="s">
        <v>35</v>
      </c>
      <c r="K1038" s="4" t="s">
        <v>413</v>
      </c>
      <c r="L1038" s="4" t="s">
        <v>37</v>
      </c>
      <c r="N1038" s="21" t="s">
        <v>2313</v>
      </c>
      <c r="O1038" s="21"/>
      <c r="P1038" s="21" t="s">
        <v>2314</v>
      </c>
      <c r="Q1038" s="21"/>
      <c r="R1038" s="21"/>
      <c r="S1038" s="3" t="s">
        <v>40</v>
      </c>
      <c r="T1038" s="21" t="s">
        <v>41</v>
      </c>
      <c r="U1038" s="21"/>
      <c r="V1038" s="4" t="s">
        <v>42</v>
      </c>
      <c r="W1038" s="4" t="s">
        <v>59</v>
      </c>
      <c r="X1038" s="4" t="s">
        <v>131</v>
      </c>
      <c r="Y1038" s="21" t="s">
        <v>198</v>
      </c>
      <c r="Z1038" s="21"/>
      <c r="AA1038" s="4" t="s">
        <v>46</v>
      </c>
      <c r="AB1038" s="4" t="s">
        <v>47</v>
      </c>
      <c r="AC1038" s="4" t="s">
        <v>139</v>
      </c>
      <c r="AD1038" s="4" t="s">
        <v>140</v>
      </c>
      <c r="AE1038" s="4" t="s">
        <v>48</v>
      </c>
      <c r="AF1038" s="4" t="s">
        <v>41</v>
      </c>
      <c r="AG1038" s="4" t="s">
        <v>2167</v>
      </c>
    </row>
    <row r="1039" spans="1:33" ht="16.5" customHeight="1" x14ac:dyDescent="0.2">
      <c r="A1039" s="2" t="s">
        <v>31</v>
      </c>
      <c r="B1039" s="19" t="s">
        <v>110</v>
      </c>
      <c r="C1039" s="19"/>
      <c r="D1039" s="19"/>
      <c r="E1039" s="20" t="s">
        <v>33</v>
      </c>
      <c r="F1039" s="20"/>
      <c r="G1039" s="21" t="s">
        <v>2164</v>
      </c>
      <c r="H1039" s="21"/>
      <c r="I1039" s="21"/>
      <c r="J1039" s="3" t="s">
        <v>35</v>
      </c>
      <c r="K1039" s="4" t="s">
        <v>1301</v>
      </c>
      <c r="N1039" s="21" t="s">
        <v>2315</v>
      </c>
      <c r="O1039" s="21"/>
      <c r="P1039" s="21" t="s">
        <v>2169</v>
      </c>
      <c r="Q1039" s="21"/>
      <c r="R1039" s="21"/>
      <c r="S1039" s="3" t="s">
        <v>40</v>
      </c>
      <c r="T1039" s="21" t="s">
        <v>2316</v>
      </c>
      <c r="U1039" s="21"/>
      <c r="V1039" s="4" t="s">
        <v>59</v>
      </c>
      <c r="W1039" s="4" t="s">
        <v>77</v>
      </c>
      <c r="X1039" s="4" t="s">
        <v>311</v>
      </c>
      <c r="Y1039" s="21" t="s">
        <v>980</v>
      </c>
      <c r="Z1039" s="21"/>
      <c r="AA1039" s="4" t="s">
        <v>46</v>
      </c>
      <c r="AB1039" s="4" t="s">
        <v>117</v>
      </c>
      <c r="AC1039" s="4" t="s">
        <v>1305</v>
      </c>
      <c r="AD1039" s="4" t="s">
        <v>2317</v>
      </c>
      <c r="AE1039" s="4" t="s">
        <v>48</v>
      </c>
      <c r="AF1039" s="4" t="s">
        <v>41</v>
      </c>
      <c r="AG1039" s="4" t="s">
        <v>2167</v>
      </c>
    </row>
    <row r="1040" spans="1:33" ht="16.5" customHeight="1" x14ac:dyDescent="0.2">
      <c r="A1040" s="2" t="s">
        <v>31</v>
      </c>
      <c r="B1040" s="19" t="s">
        <v>110</v>
      </c>
      <c r="C1040" s="19"/>
      <c r="D1040" s="19"/>
      <c r="E1040" s="20" t="s">
        <v>33</v>
      </c>
      <c r="F1040" s="20"/>
      <c r="G1040" s="21" t="s">
        <v>2164</v>
      </c>
      <c r="H1040" s="21"/>
      <c r="I1040" s="21"/>
      <c r="J1040" s="3" t="s">
        <v>35</v>
      </c>
      <c r="K1040" s="4" t="s">
        <v>1301</v>
      </c>
      <c r="N1040" s="21" t="s">
        <v>2318</v>
      </c>
      <c r="O1040" s="21"/>
      <c r="P1040" s="21" t="s">
        <v>2319</v>
      </c>
      <c r="Q1040" s="21"/>
      <c r="R1040" s="21"/>
      <c r="S1040" s="3" t="s">
        <v>40</v>
      </c>
      <c r="T1040" s="21" t="s">
        <v>2320</v>
      </c>
      <c r="U1040" s="21"/>
      <c r="V1040" s="4" t="s">
        <v>59</v>
      </c>
      <c r="W1040" s="4" t="s">
        <v>381</v>
      </c>
      <c r="X1040" s="4" t="s">
        <v>55</v>
      </c>
      <c r="Y1040" s="21" t="s">
        <v>980</v>
      </c>
      <c r="Z1040" s="21"/>
      <c r="AA1040" s="4" t="s">
        <v>46</v>
      </c>
      <c r="AB1040" s="4" t="s">
        <v>117</v>
      </c>
      <c r="AC1040" s="4" t="s">
        <v>1305</v>
      </c>
      <c r="AD1040" s="4" t="s">
        <v>2321</v>
      </c>
      <c r="AE1040" s="4" t="s">
        <v>48</v>
      </c>
      <c r="AF1040" s="4" t="s">
        <v>41</v>
      </c>
      <c r="AG1040" s="4" t="s">
        <v>2167</v>
      </c>
    </row>
    <row r="1041" spans="1:33" ht="16.5" customHeight="1" x14ac:dyDescent="0.2">
      <c r="A1041" s="2" t="s">
        <v>31</v>
      </c>
      <c r="B1041" s="19" t="s">
        <v>110</v>
      </c>
      <c r="C1041" s="19"/>
      <c r="D1041" s="19"/>
      <c r="E1041" s="20" t="s">
        <v>33</v>
      </c>
      <c r="F1041" s="20"/>
      <c r="G1041" s="21" t="s">
        <v>2164</v>
      </c>
      <c r="H1041" s="21"/>
      <c r="I1041" s="21"/>
      <c r="J1041" s="3" t="s">
        <v>35</v>
      </c>
      <c r="K1041" s="4" t="s">
        <v>1301</v>
      </c>
      <c r="N1041" s="21" t="s">
        <v>2322</v>
      </c>
      <c r="O1041" s="21"/>
      <c r="P1041" s="21" t="s">
        <v>2323</v>
      </c>
      <c r="Q1041" s="21"/>
      <c r="R1041" s="21"/>
      <c r="S1041" s="3" t="s">
        <v>40</v>
      </c>
      <c r="T1041" s="21" t="s">
        <v>2324</v>
      </c>
      <c r="U1041" s="21"/>
      <c r="V1041" s="4" t="s">
        <v>42</v>
      </c>
      <c r="W1041" s="4" t="s">
        <v>54</v>
      </c>
      <c r="X1041" s="4" t="s">
        <v>55</v>
      </c>
      <c r="Y1041" s="21" t="s">
        <v>959</v>
      </c>
      <c r="Z1041" s="21"/>
      <c r="AA1041" s="4" t="s">
        <v>46</v>
      </c>
      <c r="AB1041" s="4" t="s">
        <v>117</v>
      </c>
      <c r="AC1041" s="4" t="s">
        <v>960</v>
      </c>
      <c r="AD1041" s="4" t="s">
        <v>2325</v>
      </c>
      <c r="AE1041" s="4" t="s">
        <v>48</v>
      </c>
      <c r="AF1041" s="4" t="s">
        <v>41</v>
      </c>
      <c r="AG1041" s="4" t="s">
        <v>2167</v>
      </c>
    </row>
    <row r="1042" spans="1:33" ht="16.5" customHeight="1" x14ac:dyDescent="0.2">
      <c r="A1042" s="2" t="s">
        <v>31</v>
      </c>
      <c r="B1042" s="19" t="s">
        <v>110</v>
      </c>
      <c r="C1042" s="19"/>
      <c r="D1042" s="19"/>
      <c r="E1042" s="20" t="s">
        <v>33</v>
      </c>
      <c r="F1042" s="20"/>
      <c r="G1042" s="21" t="s">
        <v>2164</v>
      </c>
      <c r="H1042" s="21"/>
      <c r="I1042" s="21"/>
      <c r="J1042" s="3" t="s">
        <v>35</v>
      </c>
      <c r="K1042" s="4" t="s">
        <v>1301</v>
      </c>
      <c r="N1042" s="21" t="s">
        <v>2322</v>
      </c>
      <c r="O1042" s="21"/>
      <c r="P1042" s="21" t="s">
        <v>2323</v>
      </c>
      <c r="Q1042" s="21"/>
      <c r="R1042" s="21"/>
      <c r="S1042" s="3" t="s">
        <v>40</v>
      </c>
      <c r="T1042" s="21" t="s">
        <v>2324</v>
      </c>
      <c r="U1042" s="21"/>
      <c r="V1042" s="4" t="s">
        <v>59</v>
      </c>
      <c r="W1042" s="4" t="s">
        <v>54</v>
      </c>
      <c r="X1042" s="4" t="s">
        <v>60</v>
      </c>
      <c r="Y1042" s="21" t="s">
        <v>959</v>
      </c>
      <c r="Z1042" s="21"/>
      <c r="AA1042" s="4" t="s">
        <v>46</v>
      </c>
      <c r="AB1042" s="4" t="s">
        <v>117</v>
      </c>
      <c r="AC1042" s="4" t="s">
        <v>960</v>
      </c>
      <c r="AD1042" s="4" t="s">
        <v>2325</v>
      </c>
      <c r="AE1042" s="4" t="s">
        <v>48</v>
      </c>
      <c r="AF1042" s="4" t="s">
        <v>41</v>
      </c>
      <c r="AG1042" s="4" t="s">
        <v>2167</v>
      </c>
    </row>
    <row r="1043" spans="1:33" ht="16.5" customHeight="1" x14ac:dyDescent="0.2">
      <c r="A1043" s="2" t="s">
        <v>31</v>
      </c>
      <c r="B1043" s="19" t="s">
        <v>110</v>
      </c>
      <c r="C1043" s="19"/>
      <c r="D1043" s="19"/>
      <c r="E1043" s="20" t="s">
        <v>33</v>
      </c>
      <c r="F1043" s="20"/>
      <c r="G1043" s="21" t="s">
        <v>2164</v>
      </c>
      <c r="H1043" s="21"/>
      <c r="I1043" s="21"/>
      <c r="J1043" s="3" t="s">
        <v>35</v>
      </c>
      <c r="K1043" s="4" t="s">
        <v>1301</v>
      </c>
      <c r="N1043" s="21" t="s">
        <v>2326</v>
      </c>
      <c r="O1043" s="21"/>
      <c r="P1043" s="21" t="s">
        <v>2327</v>
      </c>
      <c r="Q1043" s="21"/>
      <c r="R1043" s="21"/>
      <c r="S1043" s="3" t="s">
        <v>40</v>
      </c>
      <c r="T1043" s="21" t="s">
        <v>2320</v>
      </c>
      <c r="U1043" s="21"/>
      <c r="V1043" s="4" t="s">
        <v>59</v>
      </c>
      <c r="W1043" s="4" t="s">
        <v>54</v>
      </c>
      <c r="X1043" s="4" t="s">
        <v>60</v>
      </c>
      <c r="Y1043" s="21" t="s">
        <v>980</v>
      </c>
      <c r="Z1043" s="21"/>
      <c r="AA1043" s="4" t="s">
        <v>46</v>
      </c>
      <c r="AB1043" s="4" t="s">
        <v>117</v>
      </c>
      <c r="AC1043" s="4" t="s">
        <v>1305</v>
      </c>
      <c r="AD1043" s="4" t="s">
        <v>2321</v>
      </c>
      <c r="AE1043" s="4" t="s">
        <v>48</v>
      </c>
      <c r="AF1043" s="4" t="s">
        <v>41</v>
      </c>
      <c r="AG1043" s="4" t="s">
        <v>2167</v>
      </c>
    </row>
    <row r="1044" spans="1:33" ht="16.5" customHeight="1" x14ac:dyDescent="0.2">
      <c r="A1044" s="2" t="s">
        <v>31</v>
      </c>
      <c r="B1044" s="19" t="s">
        <v>110</v>
      </c>
      <c r="C1044" s="19"/>
      <c r="D1044" s="19"/>
      <c r="E1044" s="20" t="s">
        <v>33</v>
      </c>
      <c r="F1044" s="20"/>
      <c r="G1044" s="21" t="s">
        <v>2164</v>
      </c>
      <c r="H1044" s="21"/>
      <c r="I1044" s="21"/>
      <c r="J1044" s="3" t="s">
        <v>35</v>
      </c>
      <c r="K1044" s="4" t="s">
        <v>1301</v>
      </c>
      <c r="N1044" s="21" t="s">
        <v>2328</v>
      </c>
      <c r="O1044" s="21"/>
      <c r="P1044" s="21" t="s">
        <v>2329</v>
      </c>
      <c r="Q1044" s="21"/>
      <c r="R1044" s="21"/>
      <c r="S1044" s="3" t="s">
        <v>40</v>
      </c>
      <c r="T1044" s="21" t="s">
        <v>2330</v>
      </c>
      <c r="U1044" s="21"/>
      <c r="V1044" s="4" t="s">
        <v>59</v>
      </c>
      <c r="W1044" s="4" t="s">
        <v>54</v>
      </c>
      <c r="X1044" s="4" t="s">
        <v>60</v>
      </c>
      <c r="Y1044" s="21" t="s">
        <v>980</v>
      </c>
      <c r="Z1044" s="21"/>
      <c r="AA1044" s="4" t="s">
        <v>46</v>
      </c>
      <c r="AB1044" s="4" t="s">
        <v>117</v>
      </c>
      <c r="AC1044" s="4" t="s">
        <v>1305</v>
      </c>
      <c r="AD1044" s="4" t="s">
        <v>2331</v>
      </c>
      <c r="AE1044" s="4" t="s">
        <v>48</v>
      </c>
      <c r="AF1044" s="4" t="s">
        <v>41</v>
      </c>
      <c r="AG1044" s="4" t="s">
        <v>2167</v>
      </c>
    </row>
    <row r="1045" spans="1:33" ht="16.5" customHeight="1" x14ac:dyDescent="0.2">
      <c r="A1045" s="2" t="s">
        <v>31</v>
      </c>
      <c r="B1045" s="19" t="s">
        <v>110</v>
      </c>
      <c r="C1045" s="19"/>
      <c r="D1045" s="19"/>
      <c r="E1045" s="20" t="s">
        <v>33</v>
      </c>
      <c r="F1045" s="20"/>
      <c r="G1045" s="21" t="s">
        <v>2164</v>
      </c>
      <c r="H1045" s="21"/>
      <c r="I1045" s="21"/>
      <c r="J1045" s="3" t="s">
        <v>35</v>
      </c>
      <c r="K1045" s="4" t="s">
        <v>394</v>
      </c>
      <c r="N1045" s="21" t="s">
        <v>2332</v>
      </c>
      <c r="O1045" s="21"/>
      <c r="P1045" s="21" t="s">
        <v>2333</v>
      </c>
      <c r="Q1045" s="21"/>
      <c r="R1045" s="21"/>
      <c r="S1045" s="3" t="s">
        <v>40</v>
      </c>
      <c r="T1045" s="21" t="s">
        <v>1281</v>
      </c>
      <c r="U1045" s="21"/>
      <c r="V1045" s="4" t="s">
        <v>59</v>
      </c>
      <c r="W1045" s="4" t="s">
        <v>54</v>
      </c>
      <c r="X1045" s="4" t="s">
        <v>60</v>
      </c>
      <c r="Y1045" s="21" t="s">
        <v>398</v>
      </c>
      <c r="Z1045" s="21"/>
      <c r="AA1045" s="4" t="s">
        <v>46</v>
      </c>
      <c r="AB1045" s="4" t="s">
        <v>117</v>
      </c>
      <c r="AC1045" s="4" t="s">
        <v>399</v>
      </c>
      <c r="AD1045" s="4" t="s">
        <v>1282</v>
      </c>
      <c r="AE1045" s="4" t="s">
        <v>48</v>
      </c>
      <c r="AF1045" s="4" t="s">
        <v>41</v>
      </c>
      <c r="AG1045" s="4" t="s">
        <v>2167</v>
      </c>
    </row>
    <row r="1046" spans="1:33" ht="16.5" customHeight="1" x14ac:dyDescent="0.2">
      <c r="A1046" s="2" t="s">
        <v>31</v>
      </c>
      <c r="B1046" s="19" t="s">
        <v>110</v>
      </c>
      <c r="C1046" s="19"/>
      <c r="D1046" s="19"/>
      <c r="E1046" s="20" t="s">
        <v>33</v>
      </c>
      <c r="F1046" s="20"/>
      <c r="G1046" s="21" t="s">
        <v>2164</v>
      </c>
      <c r="H1046" s="21"/>
      <c r="I1046" s="21"/>
      <c r="J1046" s="3" t="s">
        <v>35</v>
      </c>
      <c r="K1046" s="4" t="s">
        <v>1301</v>
      </c>
      <c r="N1046" s="21" t="s">
        <v>2334</v>
      </c>
      <c r="O1046" s="21"/>
      <c r="P1046" s="21" t="s">
        <v>2335</v>
      </c>
      <c r="Q1046" s="21"/>
      <c r="R1046" s="21"/>
      <c r="S1046" s="3" t="s">
        <v>40</v>
      </c>
      <c r="T1046" s="21" t="s">
        <v>2336</v>
      </c>
      <c r="U1046" s="21"/>
      <c r="V1046" s="4" t="s">
        <v>59</v>
      </c>
      <c r="W1046" s="4" t="s">
        <v>130</v>
      </c>
      <c r="X1046" s="4" t="s">
        <v>131</v>
      </c>
      <c r="Y1046" s="21" t="s">
        <v>980</v>
      </c>
      <c r="Z1046" s="21"/>
      <c r="AA1046" s="4" t="s">
        <v>46</v>
      </c>
      <c r="AB1046" s="4" t="s">
        <v>117</v>
      </c>
      <c r="AC1046" s="4" t="s">
        <v>981</v>
      </c>
      <c r="AD1046" s="4" t="s">
        <v>2337</v>
      </c>
      <c r="AE1046" s="4" t="s">
        <v>48</v>
      </c>
      <c r="AF1046" s="4" t="s">
        <v>41</v>
      </c>
      <c r="AG1046" s="4" t="s">
        <v>2167</v>
      </c>
    </row>
    <row r="1047" spans="1:33" ht="16.5" customHeight="1" x14ac:dyDescent="0.2">
      <c r="A1047" s="2" t="s">
        <v>31</v>
      </c>
      <c r="B1047" s="19" t="s">
        <v>110</v>
      </c>
      <c r="C1047" s="19"/>
      <c r="D1047" s="19"/>
      <c r="E1047" s="20" t="s">
        <v>33</v>
      </c>
      <c r="F1047" s="20"/>
      <c r="G1047" s="21" t="s">
        <v>2164</v>
      </c>
      <c r="H1047" s="21"/>
      <c r="I1047" s="21"/>
      <c r="J1047" s="3" t="s">
        <v>35</v>
      </c>
      <c r="K1047" s="4" t="s">
        <v>394</v>
      </c>
      <c r="N1047" s="21" t="s">
        <v>2338</v>
      </c>
      <c r="O1047" s="21"/>
      <c r="P1047" s="21" t="s">
        <v>2339</v>
      </c>
      <c r="Q1047" s="21"/>
      <c r="R1047" s="21"/>
      <c r="S1047" s="3" t="s">
        <v>40</v>
      </c>
      <c r="T1047" s="21" t="s">
        <v>2340</v>
      </c>
      <c r="U1047" s="21"/>
      <c r="V1047" s="4" t="s">
        <v>59</v>
      </c>
      <c r="W1047" s="4" t="s">
        <v>130</v>
      </c>
      <c r="X1047" s="4" t="s">
        <v>131</v>
      </c>
      <c r="Y1047" s="21" t="s">
        <v>924</v>
      </c>
      <c r="Z1047" s="21"/>
      <c r="AA1047" s="4" t="s">
        <v>46</v>
      </c>
      <c r="AB1047" s="4" t="s">
        <v>117</v>
      </c>
      <c r="AC1047" s="4" t="s">
        <v>2341</v>
      </c>
      <c r="AD1047" s="4" t="s">
        <v>2342</v>
      </c>
      <c r="AE1047" s="4" t="s">
        <v>48</v>
      </c>
      <c r="AF1047" s="4" t="s">
        <v>41</v>
      </c>
      <c r="AG1047" s="4" t="s">
        <v>2167</v>
      </c>
    </row>
    <row r="1048" spans="1:33" ht="16.5" customHeight="1" x14ac:dyDescent="0.2">
      <c r="A1048" s="2" t="s">
        <v>31</v>
      </c>
      <c r="B1048" s="19" t="s">
        <v>32</v>
      </c>
      <c r="C1048" s="19"/>
      <c r="D1048" s="19"/>
      <c r="E1048" s="20" t="s">
        <v>33</v>
      </c>
      <c r="F1048" s="20"/>
      <c r="G1048" s="21" t="s">
        <v>2343</v>
      </c>
      <c r="H1048" s="21"/>
      <c r="I1048" s="21"/>
      <c r="J1048" s="3" t="s">
        <v>35</v>
      </c>
      <c r="K1048" s="4" t="s">
        <v>665</v>
      </c>
      <c r="L1048" s="4" t="s">
        <v>37</v>
      </c>
      <c r="N1048" s="21" t="s">
        <v>2344</v>
      </c>
      <c r="O1048" s="21"/>
      <c r="P1048" s="21" t="s">
        <v>2345</v>
      </c>
      <c r="Q1048" s="21"/>
      <c r="R1048" s="21"/>
      <c r="S1048" s="3" t="s">
        <v>40</v>
      </c>
      <c r="T1048" s="21" t="s">
        <v>668</v>
      </c>
      <c r="U1048" s="21"/>
      <c r="V1048" s="4" t="s">
        <v>59</v>
      </c>
      <c r="W1048" s="4" t="s">
        <v>85</v>
      </c>
      <c r="X1048" s="4" t="s">
        <v>95</v>
      </c>
      <c r="Y1048" s="21" t="s">
        <v>669</v>
      </c>
      <c r="Z1048" s="21"/>
      <c r="AA1048" s="4" t="s">
        <v>46</v>
      </c>
      <c r="AB1048" s="4" t="s">
        <v>47</v>
      </c>
      <c r="AD1048" s="4" t="s">
        <v>41</v>
      </c>
      <c r="AE1048" s="4" t="s">
        <v>48</v>
      </c>
      <c r="AF1048" s="4" t="s">
        <v>41</v>
      </c>
      <c r="AG1048" s="4" t="s">
        <v>2346</v>
      </c>
    </row>
    <row r="1049" spans="1:33" ht="16.5" customHeight="1" x14ac:dyDescent="0.2">
      <c r="A1049" s="2" t="s">
        <v>31</v>
      </c>
      <c r="B1049" s="19" t="s">
        <v>32</v>
      </c>
      <c r="C1049" s="19"/>
      <c r="D1049" s="19"/>
      <c r="E1049" s="20" t="s">
        <v>33</v>
      </c>
      <c r="F1049" s="20"/>
      <c r="G1049" s="21" t="s">
        <v>2343</v>
      </c>
      <c r="H1049" s="21"/>
      <c r="I1049" s="21"/>
      <c r="J1049" s="3" t="s">
        <v>35</v>
      </c>
      <c r="K1049" s="4" t="s">
        <v>665</v>
      </c>
      <c r="L1049" s="4" t="s">
        <v>37</v>
      </c>
      <c r="N1049" s="21" t="s">
        <v>2347</v>
      </c>
      <c r="O1049" s="21"/>
      <c r="P1049" s="21" t="s">
        <v>2348</v>
      </c>
      <c r="Q1049" s="21"/>
      <c r="R1049" s="21"/>
      <c r="S1049" s="3" t="s">
        <v>40</v>
      </c>
      <c r="T1049" s="21" t="s">
        <v>668</v>
      </c>
      <c r="U1049" s="21"/>
      <c r="V1049" s="4" t="s">
        <v>59</v>
      </c>
      <c r="W1049" s="4" t="s">
        <v>94</v>
      </c>
      <c r="X1049" s="4" t="s">
        <v>105</v>
      </c>
      <c r="Y1049" s="21" t="s">
        <v>669</v>
      </c>
      <c r="Z1049" s="21"/>
      <c r="AA1049" s="4" t="s">
        <v>46</v>
      </c>
      <c r="AB1049" s="4" t="s">
        <v>47</v>
      </c>
      <c r="AD1049" s="4" t="s">
        <v>41</v>
      </c>
      <c r="AE1049" s="4" t="s">
        <v>48</v>
      </c>
      <c r="AF1049" s="4" t="s">
        <v>41</v>
      </c>
      <c r="AG1049" s="4" t="s">
        <v>2346</v>
      </c>
    </row>
    <row r="1050" spans="1:33" ht="16.5" customHeight="1" x14ac:dyDescent="0.2">
      <c r="A1050" s="2" t="s">
        <v>31</v>
      </c>
      <c r="B1050" s="19" t="s">
        <v>50</v>
      </c>
      <c r="C1050" s="19"/>
      <c r="D1050" s="19"/>
      <c r="E1050" s="20" t="s">
        <v>33</v>
      </c>
      <c r="F1050" s="20"/>
      <c r="G1050" s="21" t="s">
        <v>2343</v>
      </c>
      <c r="H1050" s="21"/>
      <c r="I1050" s="21"/>
      <c r="J1050" s="3" t="s">
        <v>35</v>
      </c>
      <c r="K1050" s="4" t="s">
        <v>146</v>
      </c>
      <c r="L1050" s="4" t="s">
        <v>37</v>
      </c>
      <c r="N1050" s="21" t="s">
        <v>2349</v>
      </c>
      <c r="O1050" s="21"/>
      <c r="P1050" s="21" t="s">
        <v>2350</v>
      </c>
      <c r="Q1050" s="21"/>
      <c r="R1050" s="21"/>
      <c r="S1050" s="3" t="s">
        <v>40</v>
      </c>
      <c r="T1050" s="21" t="s">
        <v>41</v>
      </c>
      <c r="U1050" s="21"/>
      <c r="V1050" s="4" t="s">
        <v>42</v>
      </c>
      <c r="W1050" s="4" t="s">
        <v>1980</v>
      </c>
      <c r="X1050" s="4" t="s">
        <v>1981</v>
      </c>
      <c r="Y1050" s="21" t="s">
        <v>138</v>
      </c>
      <c r="Z1050" s="21"/>
      <c r="AA1050" s="4" t="s">
        <v>46</v>
      </c>
      <c r="AB1050" s="4" t="s">
        <v>47</v>
      </c>
      <c r="AC1050" s="4" t="s">
        <v>139</v>
      </c>
      <c r="AD1050" s="4" t="s">
        <v>140</v>
      </c>
      <c r="AE1050" s="4" t="s">
        <v>48</v>
      </c>
      <c r="AF1050" s="4" t="s">
        <v>41</v>
      </c>
      <c r="AG1050" s="4" t="s">
        <v>2346</v>
      </c>
    </row>
    <row r="1051" spans="1:33" ht="16.5" customHeight="1" x14ac:dyDescent="0.2">
      <c r="A1051" s="2" t="s">
        <v>31</v>
      </c>
      <c r="B1051" s="19" t="s">
        <v>50</v>
      </c>
      <c r="C1051" s="19"/>
      <c r="D1051" s="19"/>
      <c r="E1051" s="20" t="s">
        <v>33</v>
      </c>
      <c r="F1051" s="20"/>
      <c r="G1051" s="21" t="s">
        <v>2343</v>
      </c>
      <c r="H1051" s="21"/>
      <c r="I1051" s="21"/>
      <c r="J1051" s="3" t="s">
        <v>35</v>
      </c>
      <c r="K1051" s="4" t="s">
        <v>204</v>
      </c>
      <c r="L1051" s="4" t="s">
        <v>37</v>
      </c>
      <c r="N1051" s="21" t="s">
        <v>2351</v>
      </c>
      <c r="O1051" s="21"/>
      <c r="P1051" s="21" t="s">
        <v>2352</v>
      </c>
      <c r="Q1051" s="21"/>
      <c r="R1051" s="21"/>
      <c r="S1051" s="3" t="s">
        <v>40</v>
      </c>
      <c r="T1051" s="21" t="s">
        <v>41</v>
      </c>
      <c r="U1051" s="21"/>
      <c r="V1051" s="4" t="s">
        <v>42</v>
      </c>
      <c r="W1051" s="4" t="s">
        <v>54</v>
      </c>
      <c r="X1051" s="4" t="s">
        <v>55</v>
      </c>
      <c r="Y1051" s="21" t="s">
        <v>198</v>
      </c>
      <c r="Z1051" s="21"/>
      <c r="AA1051" s="4" t="s">
        <v>46</v>
      </c>
      <c r="AB1051" s="4" t="s">
        <v>47</v>
      </c>
      <c r="AC1051" s="4" t="s">
        <v>139</v>
      </c>
      <c r="AD1051" s="4" t="s">
        <v>140</v>
      </c>
      <c r="AE1051" s="4" t="s">
        <v>48</v>
      </c>
      <c r="AF1051" s="4" t="s">
        <v>41</v>
      </c>
      <c r="AG1051" s="4" t="s">
        <v>2346</v>
      </c>
    </row>
    <row r="1052" spans="1:33" ht="16.5" customHeight="1" x14ac:dyDescent="0.2">
      <c r="A1052" s="2" t="s">
        <v>31</v>
      </c>
      <c r="B1052" s="19" t="s">
        <v>50</v>
      </c>
      <c r="C1052" s="19"/>
      <c r="D1052" s="19"/>
      <c r="E1052" s="20" t="s">
        <v>33</v>
      </c>
      <c r="F1052" s="20"/>
      <c r="G1052" s="21" t="s">
        <v>2343</v>
      </c>
      <c r="H1052" s="21"/>
      <c r="I1052" s="21"/>
      <c r="J1052" s="3" t="s">
        <v>35</v>
      </c>
      <c r="K1052" s="4" t="s">
        <v>51</v>
      </c>
      <c r="L1052" s="4" t="s">
        <v>37</v>
      </c>
      <c r="N1052" s="21" t="s">
        <v>2353</v>
      </c>
      <c r="O1052" s="21"/>
      <c r="P1052" s="21" t="s">
        <v>2354</v>
      </c>
      <c r="Q1052" s="21"/>
      <c r="R1052" s="21"/>
      <c r="S1052" s="3" t="s">
        <v>40</v>
      </c>
      <c r="T1052" s="21" t="s">
        <v>41</v>
      </c>
      <c r="U1052" s="21"/>
      <c r="V1052" s="4" t="s">
        <v>42</v>
      </c>
      <c r="W1052" s="4" t="s">
        <v>350</v>
      </c>
      <c r="X1052" s="4" t="s">
        <v>339</v>
      </c>
      <c r="Y1052" s="21" t="s">
        <v>56</v>
      </c>
      <c r="Z1052" s="21"/>
      <c r="AA1052" s="4" t="s">
        <v>46</v>
      </c>
      <c r="AB1052" s="4" t="s">
        <v>47</v>
      </c>
      <c r="AC1052" s="4" t="s">
        <v>139</v>
      </c>
      <c r="AD1052" s="4" t="s">
        <v>140</v>
      </c>
      <c r="AE1052" s="4" t="s">
        <v>48</v>
      </c>
      <c r="AF1052" s="4" t="s">
        <v>41</v>
      </c>
      <c r="AG1052" s="4" t="s">
        <v>2346</v>
      </c>
    </row>
    <row r="1053" spans="1:33" ht="16.5" customHeight="1" x14ac:dyDescent="0.2">
      <c r="A1053" s="2" t="s">
        <v>31</v>
      </c>
      <c r="B1053" s="19" t="s">
        <v>50</v>
      </c>
      <c r="C1053" s="19"/>
      <c r="D1053" s="19"/>
      <c r="E1053" s="20" t="s">
        <v>33</v>
      </c>
      <c r="F1053" s="20"/>
      <c r="G1053" s="21" t="s">
        <v>2343</v>
      </c>
      <c r="H1053" s="21"/>
      <c r="I1053" s="21"/>
      <c r="J1053" s="3" t="s">
        <v>35</v>
      </c>
      <c r="K1053" s="4" t="s">
        <v>74</v>
      </c>
      <c r="L1053" s="4" t="s">
        <v>37</v>
      </c>
      <c r="N1053" s="21" t="s">
        <v>2355</v>
      </c>
      <c r="O1053" s="21"/>
      <c r="P1053" s="21" t="s">
        <v>2356</v>
      </c>
      <c r="Q1053" s="21"/>
      <c r="R1053" s="21"/>
      <c r="S1053" s="3" t="s">
        <v>40</v>
      </c>
      <c r="T1053" s="21" t="s">
        <v>41</v>
      </c>
      <c r="U1053" s="21"/>
      <c r="V1053" s="4" t="s">
        <v>42</v>
      </c>
      <c r="W1053" s="4" t="s">
        <v>202</v>
      </c>
      <c r="X1053" s="4" t="s">
        <v>203</v>
      </c>
      <c r="Y1053" s="21" t="s">
        <v>65</v>
      </c>
      <c r="Z1053" s="21"/>
      <c r="AA1053" s="4" t="s">
        <v>46</v>
      </c>
      <c r="AB1053" s="4" t="s">
        <v>47</v>
      </c>
      <c r="AC1053" s="4" t="s">
        <v>57</v>
      </c>
      <c r="AD1053" s="4" t="s">
        <v>58</v>
      </c>
      <c r="AE1053" s="4" t="s">
        <v>48</v>
      </c>
      <c r="AF1053" s="4" t="s">
        <v>41</v>
      </c>
      <c r="AG1053" s="4" t="s">
        <v>2346</v>
      </c>
    </row>
    <row r="1054" spans="1:33" ht="16.5" customHeight="1" x14ac:dyDescent="0.2">
      <c r="A1054" s="2" t="s">
        <v>31</v>
      </c>
      <c r="B1054" s="19" t="s">
        <v>50</v>
      </c>
      <c r="C1054" s="19"/>
      <c r="D1054" s="19"/>
      <c r="E1054" s="20" t="s">
        <v>33</v>
      </c>
      <c r="F1054" s="20"/>
      <c r="G1054" s="21" t="s">
        <v>2343</v>
      </c>
      <c r="H1054" s="21"/>
      <c r="I1054" s="21"/>
      <c r="J1054" s="3" t="s">
        <v>35</v>
      </c>
      <c r="K1054" s="4" t="s">
        <v>152</v>
      </c>
      <c r="L1054" s="4" t="s">
        <v>37</v>
      </c>
      <c r="N1054" s="21" t="s">
        <v>2357</v>
      </c>
      <c r="O1054" s="21"/>
      <c r="P1054" s="21" t="s">
        <v>2358</v>
      </c>
      <c r="Q1054" s="21"/>
      <c r="R1054" s="21"/>
      <c r="S1054" s="3" t="s">
        <v>40</v>
      </c>
      <c r="T1054" s="21" t="s">
        <v>41</v>
      </c>
      <c r="U1054" s="21"/>
      <c r="V1054" s="4" t="s">
        <v>42</v>
      </c>
      <c r="W1054" s="4" t="s">
        <v>420</v>
      </c>
      <c r="X1054" s="4" t="s">
        <v>421</v>
      </c>
      <c r="Y1054" s="21" t="s">
        <v>56</v>
      </c>
      <c r="Z1054" s="21"/>
      <c r="AA1054" s="4" t="s">
        <v>46</v>
      </c>
      <c r="AB1054" s="4" t="s">
        <v>47</v>
      </c>
      <c r="AC1054" s="4" t="s">
        <v>139</v>
      </c>
      <c r="AD1054" s="4" t="s">
        <v>140</v>
      </c>
      <c r="AE1054" s="4" t="s">
        <v>48</v>
      </c>
      <c r="AF1054" s="4" t="s">
        <v>41</v>
      </c>
      <c r="AG1054" s="4" t="s">
        <v>2346</v>
      </c>
    </row>
    <row r="1055" spans="1:33" ht="16.5" customHeight="1" x14ac:dyDescent="0.2">
      <c r="A1055" s="2" t="s">
        <v>31</v>
      </c>
      <c r="B1055" s="19" t="s">
        <v>50</v>
      </c>
      <c r="C1055" s="19"/>
      <c r="D1055" s="19"/>
      <c r="E1055" s="20" t="s">
        <v>33</v>
      </c>
      <c r="F1055" s="20"/>
      <c r="G1055" s="21" t="s">
        <v>2343</v>
      </c>
      <c r="H1055" s="21"/>
      <c r="I1055" s="21"/>
      <c r="J1055" s="3" t="s">
        <v>35</v>
      </c>
      <c r="K1055" s="4" t="s">
        <v>247</v>
      </c>
      <c r="L1055" s="4" t="s">
        <v>37</v>
      </c>
      <c r="N1055" s="21" t="s">
        <v>2359</v>
      </c>
      <c r="O1055" s="21"/>
      <c r="P1055" s="21" t="s">
        <v>2360</v>
      </c>
      <c r="Q1055" s="21"/>
      <c r="R1055" s="21"/>
      <c r="S1055" s="3" t="s">
        <v>40</v>
      </c>
      <c r="T1055" s="21" t="s">
        <v>41</v>
      </c>
      <c r="U1055" s="21"/>
      <c r="V1055" s="4" t="s">
        <v>42</v>
      </c>
      <c r="W1055" s="4" t="s">
        <v>54</v>
      </c>
      <c r="X1055" s="4" t="s">
        <v>55</v>
      </c>
      <c r="Y1055" s="21" t="s">
        <v>65</v>
      </c>
      <c r="Z1055" s="21"/>
      <c r="AA1055" s="4" t="s">
        <v>46</v>
      </c>
      <c r="AB1055" s="4" t="s">
        <v>47</v>
      </c>
      <c r="AC1055" s="4" t="s">
        <v>66</v>
      </c>
      <c r="AD1055" s="4" t="s">
        <v>73</v>
      </c>
      <c r="AE1055" s="4" t="s">
        <v>48</v>
      </c>
      <c r="AF1055" s="4" t="s">
        <v>41</v>
      </c>
      <c r="AG1055" s="4" t="s">
        <v>2346</v>
      </c>
    </row>
    <row r="1056" spans="1:33" ht="16.5" customHeight="1" x14ac:dyDescent="0.2">
      <c r="A1056" s="2" t="s">
        <v>31</v>
      </c>
      <c r="B1056" s="19" t="s">
        <v>50</v>
      </c>
      <c r="C1056" s="19"/>
      <c r="D1056" s="19"/>
      <c r="E1056" s="20" t="s">
        <v>33</v>
      </c>
      <c r="F1056" s="20"/>
      <c r="G1056" s="21" t="s">
        <v>2343</v>
      </c>
      <c r="H1056" s="21"/>
      <c r="I1056" s="21"/>
      <c r="J1056" s="3" t="s">
        <v>35</v>
      </c>
      <c r="K1056" s="4" t="s">
        <v>51</v>
      </c>
      <c r="L1056" s="4" t="s">
        <v>37</v>
      </c>
      <c r="N1056" s="21" t="s">
        <v>2361</v>
      </c>
      <c r="O1056" s="21"/>
      <c r="P1056" s="21" t="s">
        <v>2362</v>
      </c>
      <c r="Q1056" s="21"/>
      <c r="R1056" s="21"/>
      <c r="S1056" s="3" t="s">
        <v>40</v>
      </c>
      <c r="T1056" s="21" t="s">
        <v>41</v>
      </c>
      <c r="U1056" s="21"/>
      <c r="V1056" s="4" t="s">
        <v>42</v>
      </c>
      <c r="W1056" s="4" t="s">
        <v>355</v>
      </c>
      <c r="X1056" s="4" t="s">
        <v>356</v>
      </c>
      <c r="Y1056" s="21" t="s">
        <v>56</v>
      </c>
      <c r="Z1056" s="21"/>
      <c r="AA1056" s="4" t="s">
        <v>46</v>
      </c>
      <c r="AB1056" s="4" t="s">
        <v>47</v>
      </c>
      <c r="AC1056" s="4" t="s">
        <v>139</v>
      </c>
      <c r="AD1056" s="4" t="s">
        <v>140</v>
      </c>
      <c r="AE1056" s="4" t="s">
        <v>48</v>
      </c>
      <c r="AF1056" s="4" t="s">
        <v>41</v>
      </c>
      <c r="AG1056" s="4" t="s">
        <v>2346</v>
      </c>
    </row>
    <row r="1057" spans="1:33" ht="16.5" customHeight="1" x14ac:dyDescent="0.2">
      <c r="A1057" s="2" t="s">
        <v>31</v>
      </c>
      <c r="B1057" s="19" t="s">
        <v>50</v>
      </c>
      <c r="C1057" s="19"/>
      <c r="D1057" s="19"/>
      <c r="E1057" s="20" t="s">
        <v>33</v>
      </c>
      <c r="F1057" s="20"/>
      <c r="G1057" s="21" t="s">
        <v>2343</v>
      </c>
      <c r="H1057" s="21"/>
      <c r="I1057" s="21"/>
      <c r="J1057" s="3" t="s">
        <v>35</v>
      </c>
      <c r="K1057" s="4" t="s">
        <v>87</v>
      </c>
      <c r="L1057" s="4" t="s">
        <v>37</v>
      </c>
      <c r="N1057" s="21" t="s">
        <v>2363</v>
      </c>
      <c r="O1057" s="21"/>
      <c r="P1057" s="21" t="s">
        <v>2364</v>
      </c>
      <c r="Q1057" s="21"/>
      <c r="R1057" s="21"/>
      <c r="S1057" s="3" t="s">
        <v>40</v>
      </c>
      <c r="T1057" s="21" t="s">
        <v>41</v>
      </c>
      <c r="U1057" s="21"/>
      <c r="V1057" s="4" t="s">
        <v>42</v>
      </c>
      <c r="W1057" s="4" t="s">
        <v>213</v>
      </c>
      <c r="X1057" s="4" t="s">
        <v>531</v>
      </c>
      <c r="Y1057" s="21" t="s">
        <v>56</v>
      </c>
      <c r="Z1057" s="21"/>
      <c r="AA1057" s="4" t="s">
        <v>46</v>
      </c>
      <c r="AB1057" s="4" t="s">
        <v>47</v>
      </c>
      <c r="AC1057" s="4" t="s">
        <v>139</v>
      </c>
      <c r="AD1057" s="4" t="s">
        <v>140</v>
      </c>
      <c r="AE1057" s="4" t="s">
        <v>48</v>
      </c>
      <c r="AF1057" s="4" t="s">
        <v>41</v>
      </c>
      <c r="AG1057" s="4" t="s">
        <v>2346</v>
      </c>
    </row>
    <row r="1058" spans="1:33" ht="0.75" customHeight="1" x14ac:dyDescent="0.2"/>
    <row r="1059" spans="1:33" ht="12" customHeight="1" x14ac:dyDescent="0.2"/>
    <row r="1060" spans="1:33" ht="16.5" customHeight="1" x14ac:dyDescent="0.2">
      <c r="A1060" s="2" t="s">
        <v>31</v>
      </c>
      <c r="B1060" s="19" t="s">
        <v>50</v>
      </c>
      <c r="C1060" s="19"/>
      <c r="D1060" s="19"/>
      <c r="E1060" s="20" t="s">
        <v>33</v>
      </c>
      <c r="F1060" s="20"/>
      <c r="G1060" s="21" t="s">
        <v>2343</v>
      </c>
      <c r="H1060" s="21"/>
      <c r="I1060" s="21"/>
      <c r="J1060" s="3" t="s">
        <v>35</v>
      </c>
      <c r="K1060" s="4" t="s">
        <v>152</v>
      </c>
      <c r="L1060" s="4" t="s">
        <v>37</v>
      </c>
      <c r="N1060" s="21" t="s">
        <v>2365</v>
      </c>
      <c r="O1060" s="21"/>
      <c r="P1060" s="21" t="s">
        <v>2366</v>
      </c>
      <c r="Q1060" s="21"/>
      <c r="R1060" s="21"/>
      <c r="S1060" s="3" t="s">
        <v>40</v>
      </c>
      <c r="T1060" s="21" t="s">
        <v>41</v>
      </c>
      <c r="U1060" s="21"/>
      <c r="V1060" s="4" t="s">
        <v>42</v>
      </c>
      <c r="W1060" s="4" t="s">
        <v>607</v>
      </c>
      <c r="X1060" s="4" t="s">
        <v>471</v>
      </c>
      <c r="Y1060" s="21" t="s">
        <v>56</v>
      </c>
      <c r="Z1060" s="21"/>
      <c r="AA1060" s="4" t="s">
        <v>46</v>
      </c>
      <c r="AB1060" s="4" t="s">
        <v>47</v>
      </c>
      <c r="AC1060" s="4" t="s">
        <v>139</v>
      </c>
      <c r="AD1060" s="4" t="s">
        <v>140</v>
      </c>
      <c r="AE1060" s="4" t="s">
        <v>48</v>
      </c>
      <c r="AF1060" s="4" t="s">
        <v>41</v>
      </c>
      <c r="AG1060" s="4" t="s">
        <v>2346</v>
      </c>
    </row>
    <row r="1061" spans="1:33" ht="16.5" customHeight="1" x14ac:dyDescent="0.2">
      <c r="A1061" s="2" t="s">
        <v>31</v>
      </c>
      <c r="B1061" s="19" t="s">
        <v>50</v>
      </c>
      <c r="C1061" s="19"/>
      <c r="D1061" s="19"/>
      <c r="E1061" s="20" t="s">
        <v>33</v>
      </c>
      <c r="F1061" s="20"/>
      <c r="G1061" s="21" t="s">
        <v>2343</v>
      </c>
      <c r="H1061" s="21"/>
      <c r="I1061" s="21"/>
      <c r="J1061" s="3" t="s">
        <v>35</v>
      </c>
      <c r="K1061" s="4" t="s">
        <v>133</v>
      </c>
      <c r="L1061" s="4" t="s">
        <v>37</v>
      </c>
      <c r="N1061" s="21" t="s">
        <v>2367</v>
      </c>
      <c r="O1061" s="21"/>
      <c r="P1061" s="21" t="s">
        <v>2368</v>
      </c>
      <c r="Q1061" s="21"/>
      <c r="R1061" s="21"/>
      <c r="S1061" s="3" t="s">
        <v>40</v>
      </c>
      <c r="T1061" s="21" t="s">
        <v>41</v>
      </c>
      <c r="U1061" s="21"/>
      <c r="V1061" s="4" t="s">
        <v>42</v>
      </c>
      <c r="W1061" s="4" t="s">
        <v>299</v>
      </c>
      <c r="X1061" s="4" t="s">
        <v>300</v>
      </c>
      <c r="Y1061" s="21" t="s">
        <v>138</v>
      </c>
      <c r="Z1061" s="21"/>
      <c r="AA1061" s="4" t="s">
        <v>46</v>
      </c>
      <c r="AB1061" s="4" t="s">
        <v>47</v>
      </c>
      <c r="AC1061" s="4" t="s">
        <v>57</v>
      </c>
      <c r="AD1061" s="4" t="s">
        <v>58</v>
      </c>
      <c r="AE1061" s="4" t="s">
        <v>48</v>
      </c>
      <c r="AF1061" s="4" t="s">
        <v>41</v>
      </c>
      <c r="AG1061" s="4" t="s">
        <v>2346</v>
      </c>
    </row>
    <row r="1062" spans="1:33" ht="16.5" customHeight="1" x14ac:dyDescent="0.2">
      <c r="A1062" s="2" t="s">
        <v>31</v>
      </c>
      <c r="B1062" s="19" t="s">
        <v>50</v>
      </c>
      <c r="C1062" s="19"/>
      <c r="D1062" s="19"/>
      <c r="E1062" s="20" t="s">
        <v>33</v>
      </c>
      <c r="F1062" s="20"/>
      <c r="G1062" s="21" t="s">
        <v>2343</v>
      </c>
      <c r="H1062" s="21"/>
      <c r="I1062" s="21"/>
      <c r="J1062" s="3" t="s">
        <v>35</v>
      </c>
      <c r="K1062" s="4" t="s">
        <v>133</v>
      </c>
      <c r="L1062" s="4" t="s">
        <v>37</v>
      </c>
      <c r="N1062" s="21" t="s">
        <v>2369</v>
      </c>
      <c r="O1062" s="21"/>
      <c r="P1062" s="21" t="s">
        <v>2370</v>
      </c>
      <c r="Q1062" s="21"/>
      <c r="R1062" s="21"/>
      <c r="S1062" s="3" t="s">
        <v>40</v>
      </c>
      <c r="T1062" s="21" t="s">
        <v>41</v>
      </c>
      <c r="U1062" s="21"/>
      <c r="V1062" s="4" t="s">
        <v>42</v>
      </c>
      <c r="W1062" s="4" t="s">
        <v>157</v>
      </c>
      <c r="X1062" s="4" t="s">
        <v>158</v>
      </c>
      <c r="Y1062" s="21" t="s">
        <v>138</v>
      </c>
      <c r="Z1062" s="21"/>
      <c r="AA1062" s="4" t="s">
        <v>46</v>
      </c>
      <c r="AB1062" s="4" t="s">
        <v>47</v>
      </c>
      <c r="AC1062" s="4" t="s">
        <v>139</v>
      </c>
      <c r="AD1062" s="4" t="s">
        <v>140</v>
      </c>
      <c r="AE1062" s="4" t="s">
        <v>48</v>
      </c>
      <c r="AF1062" s="4" t="s">
        <v>41</v>
      </c>
      <c r="AG1062" s="4" t="s">
        <v>2346</v>
      </c>
    </row>
    <row r="1063" spans="1:33" ht="16.5" customHeight="1" x14ac:dyDescent="0.2">
      <c r="A1063" s="2" t="s">
        <v>31</v>
      </c>
      <c r="B1063" s="19" t="s">
        <v>50</v>
      </c>
      <c r="C1063" s="19"/>
      <c r="D1063" s="19"/>
      <c r="E1063" s="20" t="s">
        <v>33</v>
      </c>
      <c r="F1063" s="20"/>
      <c r="G1063" s="21" t="s">
        <v>2343</v>
      </c>
      <c r="H1063" s="21"/>
      <c r="I1063" s="21"/>
      <c r="J1063" s="3" t="s">
        <v>35</v>
      </c>
      <c r="K1063" s="4" t="s">
        <v>152</v>
      </c>
      <c r="L1063" s="4" t="s">
        <v>37</v>
      </c>
      <c r="N1063" s="21" t="s">
        <v>2371</v>
      </c>
      <c r="O1063" s="21"/>
      <c r="P1063" s="21" t="s">
        <v>2372</v>
      </c>
      <c r="Q1063" s="21"/>
      <c r="R1063" s="21"/>
      <c r="S1063" s="3" t="s">
        <v>40</v>
      </c>
      <c r="T1063" s="21" t="s">
        <v>41</v>
      </c>
      <c r="U1063" s="21"/>
      <c r="V1063" s="4" t="s">
        <v>42</v>
      </c>
      <c r="W1063" s="4" t="s">
        <v>256</v>
      </c>
      <c r="X1063" s="4" t="s">
        <v>172</v>
      </c>
      <c r="Y1063" s="21" t="s">
        <v>56</v>
      </c>
      <c r="Z1063" s="21"/>
      <c r="AA1063" s="4" t="s">
        <v>46</v>
      </c>
      <c r="AB1063" s="4" t="s">
        <v>47</v>
      </c>
      <c r="AC1063" s="4" t="s">
        <v>139</v>
      </c>
      <c r="AD1063" s="4" t="s">
        <v>140</v>
      </c>
      <c r="AE1063" s="4" t="s">
        <v>48</v>
      </c>
      <c r="AF1063" s="4" t="s">
        <v>41</v>
      </c>
      <c r="AG1063" s="4" t="s">
        <v>2346</v>
      </c>
    </row>
    <row r="1064" spans="1:33" ht="16.5" customHeight="1" x14ac:dyDescent="0.2">
      <c r="A1064" s="2" t="s">
        <v>31</v>
      </c>
      <c r="B1064" s="19" t="s">
        <v>50</v>
      </c>
      <c r="C1064" s="19"/>
      <c r="D1064" s="19"/>
      <c r="E1064" s="20" t="s">
        <v>33</v>
      </c>
      <c r="F1064" s="20"/>
      <c r="G1064" s="21" t="s">
        <v>2343</v>
      </c>
      <c r="H1064" s="21"/>
      <c r="I1064" s="21"/>
      <c r="J1064" s="3" t="s">
        <v>35</v>
      </c>
      <c r="K1064" s="4" t="s">
        <v>82</v>
      </c>
      <c r="L1064" s="4" t="s">
        <v>278</v>
      </c>
      <c r="N1064" s="21" t="s">
        <v>2373</v>
      </c>
      <c r="O1064" s="21"/>
      <c r="P1064" s="21" t="s">
        <v>2374</v>
      </c>
      <c r="Q1064" s="21"/>
      <c r="R1064" s="21"/>
      <c r="S1064" s="3" t="s">
        <v>40</v>
      </c>
      <c r="T1064" s="21" t="s">
        <v>41</v>
      </c>
      <c r="U1064" s="21"/>
      <c r="V1064" s="4" t="s">
        <v>42</v>
      </c>
      <c r="W1064" s="4" t="s">
        <v>476</v>
      </c>
      <c r="X1064" s="4" t="s">
        <v>477</v>
      </c>
      <c r="Y1064" s="21" t="s">
        <v>56</v>
      </c>
      <c r="Z1064" s="21"/>
      <c r="AA1064" s="4" t="s">
        <v>46</v>
      </c>
      <c r="AB1064" s="4" t="s">
        <v>47</v>
      </c>
      <c r="AC1064" s="4" t="s">
        <v>139</v>
      </c>
      <c r="AD1064" s="4" t="s">
        <v>69</v>
      </c>
      <c r="AE1064" s="4" t="s">
        <v>48</v>
      </c>
      <c r="AF1064" s="4" t="s">
        <v>41</v>
      </c>
      <c r="AG1064" s="4" t="s">
        <v>2346</v>
      </c>
    </row>
    <row r="1065" spans="1:33" ht="16.5" customHeight="1" x14ac:dyDescent="0.2">
      <c r="A1065" s="2" t="s">
        <v>31</v>
      </c>
      <c r="B1065" s="19" t="s">
        <v>50</v>
      </c>
      <c r="C1065" s="19"/>
      <c r="D1065" s="19"/>
      <c r="E1065" s="20" t="s">
        <v>33</v>
      </c>
      <c r="F1065" s="20"/>
      <c r="G1065" s="21" t="s">
        <v>2343</v>
      </c>
      <c r="H1065" s="21"/>
      <c r="I1065" s="21"/>
      <c r="J1065" s="3" t="s">
        <v>35</v>
      </c>
      <c r="K1065" s="4" t="s">
        <v>152</v>
      </c>
      <c r="L1065" s="4" t="s">
        <v>37</v>
      </c>
      <c r="N1065" s="21" t="s">
        <v>2375</v>
      </c>
      <c r="O1065" s="21"/>
      <c r="P1065" s="21" t="s">
        <v>2376</v>
      </c>
      <c r="Q1065" s="21"/>
      <c r="R1065" s="21"/>
      <c r="S1065" s="3" t="s">
        <v>40</v>
      </c>
      <c r="T1065" s="21" t="s">
        <v>41</v>
      </c>
      <c r="U1065" s="21"/>
      <c r="V1065" s="4" t="s">
        <v>42</v>
      </c>
      <c r="W1065" s="4" t="s">
        <v>636</v>
      </c>
      <c r="X1065" s="4" t="s">
        <v>637</v>
      </c>
      <c r="Y1065" s="21" t="s">
        <v>56</v>
      </c>
      <c r="Z1065" s="21"/>
      <c r="AA1065" s="4" t="s">
        <v>46</v>
      </c>
      <c r="AB1065" s="4" t="s">
        <v>47</v>
      </c>
      <c r="AC1065" s="4" t="s">
        <v>139</v>
      </c>
      <c r="AD1065" s="4" t="s">
        <v>140</v>
      </c>
      <c r="AE1065" s="4" t="s">
        <v>48</v>
      </c>
      <c r="AF1065" s="4" t="s">
        <v>41</v>
      </c>
      <c r="AG1065" s="4" t="s">
        <v>2346</v>
      </c>
    </row>
    <row r="1066" spans="1:33" ht="16.5" customHeight="1" x14ac:dyDescent="0.2">
      <c r="A1066" s="2" t="s">
        <v>31</v>
      </c>
      <c r="B1066" s="19" t="s">
        <v>50</v>
      </c>
      <c r="C1066" s="19"/>
      <c r="D1066" s="19"/>
      <c r="E1066" s="20" t="s">
        <v>33</v>
      </c>
      <c r="F1066" s="20"/>
      <c r="G1066" s="21" t="s">
        <v>2343</v>
      </c>
      <c r="H1066" s="21"/>
      <c r="I1066" s="21"/>
      <c r="J1066" s="3" t="s">
        <v>35</v>
      </c>
      <c r="K1066" s="4" t="s">
        <v>146</v>
      </c>
      <c r="L1066" s="4" t="s">
        <v>37</v>
      </c>
      <c r="N1066" s="21" t="s">
        <v>2377</v>
      </c>
      <c r="O1066" s="21"/>
      <c r="P1066" s="21" t="s">
        <v>2378</v>
      </c>
      <c r="Q1066" s="21"/>
      <c r="R1066" s="21"/>
      <c r="S1066" s="3" t="s">
        <v>40</v>
      </c>
      <c r="T1066" s="21" t="s">
        <v>41</v>
      </c>
      <c r="U1066" s="21"/>
      <c r="V1066" s="4" t="s">
        <v>42</v>
      </c>
      <c r="W1066" s="4" t="s">
        <v>469</v>
      </c>
      <c r="X1066" s="4" t="s">
        <v>470</v>
      </c>
      <c r="Y1066" s="21" t="s">
        <v>138</v>
      </c>
      <c r="Z1066" s="21"/>
      <c r="AA1066" s="4" t="s">
        <v>46</v>
      </c>
      <c r="AB1066" s="4" t="s">
        <v>47</v>
      </c>
      <c r="AC1066" s="4" t="s">
        <v>139</v>
      </c>
      <c r="AD1066" s="4" t="s">
        <v>140</v>
      </c>
      <c r="AE1066" s="4" t="s">
        <v>48</v>
      </c>
      <c r="AF1066" s="4" t="s">
        <v>41</v>
      </c>
      <c r="AG1066" s="4" t="s">
        <v>2346</v>
      </c>
    </row>
    <row r="1067" spans="1:33" ht="16.5" customHeight="1" x14ac:dyDescent="0.2">
      <c r="A1067" s="2" t="s">
        <v>31</v>
      </c>
      <c r="B1067" s="19" t="s">
        <v>50</v>
      </c>
      <c r="C1067" s="19"/>
      <c r="D1067" s="19"/>
      <c r="E1067" s="20" t="s">
        <v>33</v>
      </c>
      <c r="F1067" s="20"/>
      <c r="G1067" s="21" t="s">
        <v>2343</v>
      </c>
      <c r="H1067" s="21"/>
      <c r="I1067" s="21"/>
      <c r="J1067" s="3" t="s">
        <v>35</v>
      </c>
      <c r="K1067" s="4" t="s">
        <v>146</v>
      </c>
      <c r="L1067" s="4" t="s">
        <v>37</v>
      </c>
      <c r="N1067" s="21" t="s">
        <v>2379</v>
      </c>
      <c r="O1067" s="21"/>
      <c r="P1067" s="21" t="s">
        <v>2380</v>
      </c>
      <c r="Q1067" s="21"/>
      <c r="R1067" s="21"/>
      <c r="S1067" s="3" t="s">
        <v>40</v>
      </c>
      <c r="T1067" s="21" t="s">
        <v>41</v>
      </c>
      <c r="U1067" s="21"/>
      <c r="V1067" s="4" t="s">
        <v>42</v>
      </c>
      <c r="W1067" s="4" t="s">
        <v>476</v>
      </c>
      <c r="X1067" s="4" t="s">
        <v>477</v>
      </c>
      <c r="Y1067" s="21" t="s">
        <v>138</v>
      </c>
      <c r="Z1067" s="21"/>
      <c r="AA1067" s="4" t="s">
        <v>46</v>
      </c>
      <c r="AB1067" s="4" t="s">
        <v>47</v>
      </c>
      <c r="AC1067" s="4" t="s">
        <v>139</v>
      </c>
      <c r="AD1067" s="4" t="s">
        <v>140</v>
      </c>
      <c r="AE1067" s="4" t="s">
        <v>48</v>
      </c>
      <c r="AF1067" s="4" t="s">
        <v>41</v>
      </c>
      <c r="AG1067" s="4" t="s">
        <v>2346</v>
      </c>
    </row>
    <row r="1068" spans="1:33" ht="16.5" customHeight="1" x14ac:dyDescent="0.2">
      <c r="A1068" s="2" t="s">
        <v>31</v>
      </c>
      <c r="B1068" s="19" t="s">
        <v>50</v>
      </c>
      <c r="C1068" s="19"/>
      <c r="D1068" s="19"/>
      <c r="E1068" s="20" t="s">
        <v>33</v>
      </c>
      <c r="F1068" s="20"/>
      <c r="G1068" s="21" t="s">
        <v>2343</v>
      </c>
      <c r="H1068" s="21"/>
      <c r="I1068" s="21"/>
      <c r="J1068" s="3" t="s">
        <v>35</v>
      </c>
      <c r="K1068" s="4" t="s">
        <v>51</v>
      </c>
      <c r="L1068" s="4" t="s">
        <v>37</v>
      </c>
      <c r="N1068" s="21" t="s">
        <v>2381</v>
      </c>
      <c r="O1068" s="21"/>
      <c r="P1068" s="21" t="s">
        <v>2382</v>
      </c>
      <c r="Q1068" s="21"/>
      <c r="R1068" s="21"/>
      <c r="S1068" s="3" t="s">
        <v>40</v>
      </c>
      <c r="T1068" s="21" t="s">
        <v>41</v>
      </c>
      <c r="U1068" s="21"/>
      <c r="V1068" s="4" t="s">
        <v>42</v>
      </c>
      <c r="W1068" s="4" t="s">
        <v>325</v>
      </c>
      <c r="X1068" s="4" t="s">
        <v>319</v>
      </c>
      <c r="Y1068" s="21" t="s">
        <v>56</v>
      </c>
      <c r="Z1068" s="21"/>
      <c r="AA1068" s="4" t="s">
        <v>46</v>
      </c>
      <c r="AB1068" s="4" t="s">
        <v>47</v>
      </c>
      <c r="AC1068" s="4" t="s">
        <v>139</v>
      </c>
      <c r="AD1068" s="4" t="s">
        <v>140</v>
      </c>
      <c r="AE1068" s="4" t="s">
        <v>48</v>
      </c>
      <c r="AF1068" s="4" t="s">
        <v>41</v>
      </c>
      <c r="AG1068" s="4" t="s">
        <v>2346</v>
      </c>
    </row>
    <row r="1069" spans="1:33" ht="16.5" customHeight="1" x14ac:dyDescent="0.2">
      <c r="A1069" s="2" t="s">
        <v>31</v>
      </c>
      <c r="B1069" s="19" t="s">
        <v>50</v>
      </c>
      <c r="C1069" s="19"/>
      <c r="D1069" s="19"/>
      <c r="E1069" s="20" t="s">
        <v>33</v>
      </c>
      <c r="F1069" s="20"/>
      <c r="G1069" s="21" t="s">
        <v>2343</v>
      </c>
      <c r="H1069" s="21"/>
      <c r="I1069" s="21"/>
      <c r="J1069" s="3" t="s">
        <v>35</v>
      </c>
      <c r="K1069" s="4" t="s">
        <v>51</v>
      </c>
      <c r="L1069" s="4" t="s">
        <v>37</v>
      </c>
      <c r="N1069" s="21" t="s">
        <v>2381</v>
      </c>
      <c r="O1069" s="21"/>
      <c r="P1069" s="21" t="s">
        <v>2382</v>
      </c>
      <c r="Q1069" s="21"/>
      <c r="R1069" s="21"/>
      <c r="S1069" s="3" t="s">
        <v>40</v>
      </c>
      <c r="T1069" s="21" t="s">
        <v>41</v>
      </c>
      <c r="U1069" s="21"/>
      <c r="V1069" s="4" t="s">
        <v>59</v>
      </c>
      <c r="W1069" s="4" t="s">
        <v>325</v>
      </c>
      <c r="X1069" s="4" t="s">
        <v>320</v>
      </c>
      <c r="Y1069" s="21" t="s">
        <v>56</v>
      </c>
      <c r="Z1069" s="21"/>
      <c r="AA1069" s="4" t="s">
        <v>46</v>
      </c>
      <c r="AB1069" s="4" t="s">
        <v>47</v>
      </c>
      <c r="AC1069" s="4" t="s">
        <v>139</v>
      </c>
      <c r="AD1069" s="4" t="s">
        <v>140</v>
      </c>
      <c r="AE1069" s="4" t="s">
        <v>48</v>
      </c>
      <c r="AF1069" s="4" t="s">
        <v>41</v>
      </c>
      <c r="AG1069" s="4" t="s">
        <v>2346</v>
      </c>
    </row>
    <row r="1070" spans="1:33" ht="16.5" customHeight="1" x14ac:dyDescent="0.2">
      <c r="A1070" s="2" t="s">
        <v>31</v>
      </c>
      <c r="B1070" s="19" t="s">
        <v>50</v>
      </c>
      <c r="C1070" s="19"/>
      <c r="D1070" s="19"/>
      <c r="E1070" s="20" t="s">
        <v>33</v>
      </c>
      <c r="F1070" s="20"/>
      <c r="G1070" s="21" t="s">
        <v>2343</v>
      </c>
      <c r="H1070" s="21"/>
      <c r="I1070" s="21"/>
      <c r="J1070" s="3" t="s">
        <v>35</v>
      </c>
      <c r="K1070" s="4" t="s">
        <v>82</v>
      </c>
      <c r="L1070" s="4" t="s">
        <v>37</v>
      </c>
      <c r="N1070" s="21" t="s">
        <v>2383</v>
      </c>
      <c r="O1070" s="21"/>
      <c r="P1070" s="21" t="s">
        <v>2384</v>
      </c>
      <c r="Q1070" s="21"/>
      <c r="R1070" s="21"/>
      <c r="S1070" s="3" t="s">
        <v>40</v>
      </c>
      <c r="T1070" s="21" t="s">
        <v>41</v>
      </c>
      <c r="U1070" s="21"/>
      <c r="V1070" s="4" t="s">
        <v>42</v>
      </c>
      <c r="W1070" s="4" t="s">
        <v>863</v>
      </c>
      <c r="X1070" s="4" t="s">
        <v>864</v>
      </c>
      <c r="Y1070" s="21" t="s">
        <v>56</v>
      </c>
      <c r="Z1070" s="21"/>
      <c r="AA1070" s="4" t="s">
        <v>46</v>
      </c>
      <c r="AB1070" s="4" t="s">
        <v>47</v>
      </c>
      <c r="AC1070" s="4" t="s">
        <v>139</v>
      </c>
      <c r="AD1070" s="4" t="s">
        <v>140</v>
      </c>
      <c r="AE1070" s="4" t="s">
        <v>48</v>
      </c>
      <c r="AF1070" s="4" t="s">
        <v>41</v>
      </c>
      <c r="AG1070" s="4" t="s">
        <v>2346</v>
      </c>
    </row>
    <row r="1071" spans="1:33" ht="16.5" customHeight="1" x14ac:dyDescent="0.2">
      <c r="A1071" s="2" t="s">
        <v>31</v>
      </c>
      <c r="B1071" s="19" t="s">
        <v>50</v>
      </c>
      <c r="C1071" s="19"/>
      <c r="D1071" s="19"/>
      <c r="E1071" s="20" t="s">
        <v>33</v>
      </c>
      <c r="F1071" s="20"/>
      <c r="G1071" s="21" t="s">
        <v>2343</v>
      </c>
      <c r="H1071" s="21"/>
      <c r="I1071" s="21"/>
      <c r="J1071" s="3" t="s">
        <v>35</v>
      </c>
      <c r="K1071" s="4" t="s">
        <v>120</v>
      </c>
      <c r="L1071" s="4" t="s">
        <v>278</v>
      </c>
      <c r="N1071" s="21" t="s">
        <v>2385</v>
      </c>
      <c r="O1071" s="21"/>
      <c r="P1071" s="21" t="s">
        <v>2386</v>
      </c>
      <c r="Q1071" s="21"/>
      <c r="R1071" s="21"/>
      <c r="S1071" s="3" t="s">
        <v>40</v>
      </c>
      <c r="T1071" s="21" t="s">
        <v>41</v>
      </c>
      <c r="U1071" s="21"/>
      <c r="V1071" s="4" t="s">
        <v>59</v>
      </c>
      <c r="W1071" s="4" t="s">
        <v>863</v>
      </c>
      <c r="X1071" s="4" t="s">
        <v>574</v>
      </c>
      <c r="Y1071" s="21" t="s">
        <v>65</v>
      </c>
      <c r="Z1071" s="21"/>
      <c r="AA1071" s="4" t="s">
        <v>46</v>
      </c>
      <c r="AB1071" s="4" t="s">
        <v>47</v>
      </c>
      <c r="AC1071" s="4" t="s">
        <v>57</v>
      </c>
      <c r="AD1071" s="4" t="s">
        <v>283</v>
      </c>
      <c r="AE1071" s="4" t="s">
        <v>48</v>
      </c>
      <c r="AF1071" s="4" t="s">
        <v>41</v>
      </c>
      <c r="AG1071" s="4" t="s">
        <v>2346</v>
      </c>
    </row>
    <row r="1072" spans="1:33" ht="16.5" customHeight="1" x14ac:dyDescent="0.2">
      <c r="A1072" s="2" t="s">
        <v>31</v>
      </c>
      <c r="B1072" s="19" t="s">
        <v>50</v>
      </c>
      <c r="C1072" s="19"/>
      <c r="D1072" s="19"/>
      <c r="E1072" s="20" t="s">
        <v>33</v>
      </c>
      <c r="F1072" s="20"/>
      <c r="G1072" s="21" t="s">
        <v>2343</v>
      </c>
      <c r="H1072" s="21"/>
      <c r="I1072" s="21"/>
      <c r="J1072" s="3" t="s">
        <v>35</v>
      </c>
      <c r="K1072" s="4" t="s">
        <v>51</v>
      </c>
      <c r="L1072" s="4" t="s">
        <v>68</v>
      </c>
      <c r="N1072" s="21" t="s">
        <v>2387</v>
      </c>
      <c r="O1072" s="21"/>
      <c r="P1072" s="21" t="s">
        <v>2388</v>
      </c>
      <c r="Q1072" s="21"/>
      <c r="R1072" s="21"/>
      <c r="S1072" s="3" t="s">
        <v>40</v>
      </c>
      <c r="T1072" s="21" t="s">
        <v>41</v>
      </c>
      <c r="U1072" s="21"/>
      <c r="V1072" s="4" t="s">
        <v>42</v>
      </c>
      <c r="W1072" s="4" t="s">
        <v>573</v>
      </c>
      <c r="X1072" s="4" t="s">
        <v>574</v>
      </c>
      <c r="Y1072" s="21" t="s">
        <v>56</v>
      </c>
      <c r="Z1072" s="21"/>
      <c r="AA1072" s="4" t="s">
        <v>46</v>
      </c>
      <c r="AB1072" s="4" t="s">
        <v>47</v>
      </c>
      <c r="AC1072" s="4" t="s">
        <v>139</v>
      </c>
      <c r="AD1072" s="4" t="s">
        <v>151</v>
      </c>
      <c r="AE1072" s="4" t="s">
        <v>48</v>
      </c>
      <c r="AF1072" s="4" t="s">
        <v>41</v>
      </c>
      <c r="AG1072" s="4" t="s">
        <v>2346</v>
      </c>
    </row>
    <row r="1073" spans="1:33" ht="16.5" customHeight="1" x14ac:dyDescent="0.2">
      <c r="A1073" s="2" t="s">
        <v>31</v>
      </c>
      <c r="B1073" s="19" t="s">
        <v>50</v>
      </c>
      <c r="C1073" s="19"/>
      <c r="D1073" s="19"/>
      <c r="E1073" s="20" t="s">
        <v>33</v>
      </c>
      <c r="F1073" s="20"/>
      <c r="G1073" s="21" t="s">
        <v>2343</v>
      </c>
      <c r="H1073" s="21"/>
      <c r="I1073" s="21"/>
      <c r="J1073" s="3" t="s">
        <v>35</v>
      </c>
      <c r="K1073" s="4" t="s">
        <v>51</v>
      </c>
      <c r="L1073" s="4" t="s">
        <v>37</v>
      </c>
      <c r="N1073" s="21" t="s">
        <v>2389</v>
      </c>
      <c r="O1073" s="21"/>
      <c r="P1073" s="21" t="s">
        <v>2390</v>
      </c>
      <c r="Q1073" s="21"/>
      <c r="R1073" s="21"/>
      <c r="S1073" s="3" t="s">
        <v>40</v>
      </c>
      <c r="T1073" s="21" t="s">
        <v>41</v>
      </c>
      <c r="U1073" s="21"/>
      <c r="V1073" s="4" t="s">
        <v>42</v>
      </c>
      <c r="W1073" s="4" t="s">
        <v>234</v>
      </c>
      <c r="X1073" s="4" t="s">
        <v>235</v>
      </c>
      <c r="Y1073" s="21" t="s">
        <v>56</v>
      </c>
      <c r="Z1073" s="21"/>
      <c r="AA1073" s="4" t="s">
        <v>46</v>
      </c>
      <c r="AB1073" s="4" t="s">
        <v>47</v>
      </c>
      <c r="AC1073" s="4" t="s">
        <v>139</v>
      </c>
      <c r="AD1073" s="4" t="s">
        <v>140</v>
      </c>
      <c r="AE1073" s="4" t="s">
        <v>48</v>
      </c>
      <c r="AF1073" s="4" t="s">
        <v>41</v>
      </c>
      <c r="AG1073" s="4" t="s">
        <v>2346</v>
      </c>
    </row>
    <row r="1074" spans="1:33" ht="16.5" customHeight="1" x14ac:dyDescent="0.2">
      <c r="A1074" s="2" t="s">
        <v>31</v>
      </c>
      <c r="B1074" s="19" t="s">
        <v>50</v>
      </c>
      <c r="C1074" s="19"/>
      <c r="D1074" s="19"/>
      <c r="E1074" s="20" t="s">
        <v>33</v>
      </c>
      <c r="F1074" s="20"/>
      <c r="G1074" s="21" t="s">
        <v>2343</v>
      </c>
      <c r="H1074" s="21"/>
      <c r="I1074" s="21"/>
      <c r="J1074" s="3" t="s">
        <v>35</v>
      </c>
      <c r="K1074" s="4" t="s">
        <v>265</v>
      </c>
      <c r="L1074" s="4" t="s">
        <v>37</v>
      </c>
      <c r="N1074" s="21" t="s">
        <v>2391</v>
      </c>
      <c r="O1074" s="21"/>
      <c r="P1074" s="21" t="s">
        <v>2392</v>
      </c>
      <c r="Q1074" s="21"/>
      <c r="R1074" s="21"/>
      <c r="S1074" s="3" t="s">
        <v>40</v>
      </c>
      <c r="T1074" s="21" t="s">
        <v>41</v>
      </c>
      <c r="U1074" s="21"/>
      <c r="V1074" s="4" t="s">
        <v>42</v>
      </c>
      <c r="W1074" s="4" t="s">
        <v>350</v>
      </c>
      <c r="X1074" s="4" t="s">
        <v>339</v>
      </c>
      <c r="Y1074" s="21" t="s">
        <v>56</v>
      </c>
      <c r="Z1074" s="21"/>
      <c r="AA1074" s="4" t="s">
        <v>46</v>
      </c>
      <c r="AB1074" s="4" t="s">
        <v>47</v>
      </c>
      <c r="AC1074" s="4" t="s">
        <v>139</v>
      </c>
      <c r="AD1074" s="4" t="s">
        <v>140</v>
      </c>
      <c r="AE1074" s="4" t="s">
        <v>48</v>
      </c>
      <c r="AF1074" s="4" t="s">
        <v>41</v>
      </c>
      <c r="AG1074" s="4" t="s">
        <v>2346</v>
      </c>
    </row>
    <row r="1075" spans="1:33" ht="16.5" customHeight="1" x14ac:dyDescent="0.2">
      <c r="A1075" s="2" t="s">
        <v>31</v>
      </c>
      <c r="B1075" s="19" t="s">
        <v>50</v>
      </c>
      <c r="C1075" s="19"/>
      <c r="D1075" s="19"/>
      <c r="E1075" s="20" t="s">
        <v>33</v>
      </c>
      <c r="F1075" s="20"/>
      <c r="G1075" s="21" t="s">
        <v>2343</v>
      </c>
      <c r="H1075" s="21"/>
      <c r="I1075" s="21"/>
      <c r="J1075" s="3" t="s">
        <v>35</v>
      </c>
      <c r="K1075" s="4" t="s">
        <v>123</v>
      </c>
      <c r="L1075" s="4" t="s">
        <v>37</v>
      </c>
      <c r="N1075" s="21" t="s">
        <v>2393</v>
      </c>
      <c r="O1075" s="21"/>
      <c r="P1075" s="21" t="s">
        <v>2394</v>
      </c>
      <c r="Q1075" s="21"/>
      <c r="R1075" s="21"/>
      <c r="S1075" s="3" t="s">
        <v>40</v>
      </c>
      <c r="T1075" s="21" t="s">
        <v>41</v>
      </c>
      <c r="U1075" s="21"/>
      <c r="V1075" s="4" t="s">
        <v>42</v>
      </c>
      <c r="W1075" s="4" t="s">
        <v>299</v>
      </c>
      <c r="X1075" s="4" t="s">
        <v>300</v>
      </c>
      <c r="Y1075" s="21" t="s">
        <v>65</v>
      </c>
      <c r="Z1075" s="21"/>
      <c r="AA1075" s="4" t="s">
        <v>46</v>
      </c>
      <c r="AB1075" s="4" t="s">
        <v>47</v>
      </c>
      <c r="AC1075" s="4" t="s">
        <v>66</v>
      </c>
      <c r="AD1075" s="4" t="s">
        <v>73</v>
      </c>
      <c r="AE1075" s="4" t="s">
        <v>48</v>
      </c>
      <c r="AF1075" s="4" t="s">
        <v>41</v>
      </c>
      <c r="AG1075" s="4" t="s">
        <v>2346</v>
      </c>
    </row>
    <row r="1076" spans="1:33" ht="16.5" customHeight="1" x14ac:dyDescent="0.2">
      <c r="A1076" s="2" t="s">
        <v>31</v>
      </c>
      <c r="B1076" s="19" t="s">
        <v>50</v>
      </c>
      <c r="C1076" s="19"/>
      <c r="D1076" s="19"/>
      <c r="E1076" s="20" t="s">
        <v>33</v>
      </c>
      <c r="F1076" s="20"/>
      <c r="G1076" s="21" t="s">
        <v>2343</v>
      </c>
      <c r="H1076" s="21"/>
      <c r="I1076" s="21"/>
      <c r="J1076" s="3" t="s">
        <v>35</v>
      </c>
      <c r="K1076" s="4" t="s">
        <v>146</v>
      </c>
      <c r="L1076" s="4" t="s">
        <v>37</v>
      </c>
      <c r="N1076" s="21" t="s">
        <v>2395</v>
      </c>
      <c r="O1076" s="21"/>
      <c r="P1076" s="21" t="s">
        <v>2396</v>
      </c>
      <c r="Q1076" s="21"/>
      <c r="R1076" s="21"/>
      <c r="S1076" s="3" t="s">
        <v>40</v>
      </c>
      <c r="T1076" s="21" t="s">
        <v>41</v>
      </c>
      <c r="U1076" s="21"/>
      <c r="V1076" s="4" t="s">
        <v>42</v>
      </c>
      <c r="W1076" s="4" t="s">
        <v>182</v>
      </c>
      <c r="X1076" s="4" t="s">
        <v>294</v>
      </c>
      <c r="Y1076" s="21" t="s">
        <v>138</v>
      </c>
      <c r="Z1076" s="21"/>
      <c r="AA1076" s="4" t="s">
        <v>46</v>
      </c>
      <c r="AB1076" s="4" t="s">
        <v>47</v>
      </c>
      <c r="AC1076" s="4" t="s">
        <v>57</v>
      </c>
      <c r="AD1076" s="4" t="s">
        <v>58</v>
      </c>
      <c r="AE1076" s="4" t="s">
        <v>48</v>
      </c>
      <c r="AF1076" s="4" t="s">
        <v>41</v>
      </c>
      <c r="AG1076" s="4" t="s">
        <v>2346</v>
      </c>
    </row>
    <row r="1077" spans="1:33" ht="16.5" customHeight="1" x14ac:dyDescent="0.2">
      <c r="A1077" s="2" t="s">
        <v>31</v>
      </c>
      <c r="B1077" s="19" t="s">
        <v>50</v>
      </c>
      <c r="C1077" s="19"/>
      <c r="D1077" s="19"/>
      <c r="E1077" s="20" t="s">
        <v>33</v>
      </c>
      <c r="F1077" s="20"/>
      <c r="G1077" s="21" t="s">
        <v>2343</v>
      </c>
      <c r="H1077" s="21"/>
      <c r="I1077" s="21"/>
      <c r="J1077" s="3" t="s">
        <v>35</v>
      </c>
      <c r="K1077" s="4" t="s">
        <v>383</v>
      </c>
      <c r="L1077" s="4" t="s">
        <v>68</v>
      </c>
      <c r="N1077" s="21" t="s">
        <v>2397</v>
      </c>
      <c r="O1077" s="21"/>
      <c r="P1077" s="21" t="s">
        <v>2398</v>
      </c>
      <c r="Q1077" s="21"/>
      <c r="R1077" s="21"/>
      <c r="S1077" s="3" t="s">
        <v>40</v>
      </c>
      <c r="T1077" s="21" t="s">
        <v>41</v>
      </c>
      <c r="U1077" s="21"/>
      <c r="V1077" s="4" t="s">
        <v>42</v>
      </c>
      <c r="W1077" s="4" t="s">
        <v>54</v>
      </c>
      <c r="X1077" s="4" t="s">
        <v>55</v>
      </c>
      <c r="Y1077" s="21" t="s">
        <v>198</v>
      </c>
      <c r="Z1077" s="21"/>
      <c r="AA1077" s="4" t="s">
        <v>46</v>
      </c>
      <c r="AB1077" s="4" t="s">
        <v>47</v>
      </c>
      <c r="AC1077" s="4" t="s">
        <v>139</v>
      </c>
      <c r="AD1077" s="4" t="s">
        <v>151</v>
      </c>
      <c r="AE1077" s="4" t="s">
        <v>48</v>
      </c>
      <c r="AF1077" s="4" t="s">
        <v>41</v>
      </c>
      <c r="AG1077" s="4" t="s">
        <v>2346</v>
      </c>
    </row>
    <row r="1078" spans="1:33" ht="16.5" customHeight="1" x14ac:dyDescent="0.2">
      <c r="A1078" s="2" t="s">
        <v>31</v>
      </c>
      <c r="B1078" s="19" t="s">
        <v>50</v>
      </c>
      <c r="C1078" s="19"/>
      <c r="D1078" s="19"/>
      <c r="E1078" s="20" t="s">
        <v>33</v>
      </c>
      <c r="F1078" s="20"/>
      <c r="G1078" s="21" t="s">
        <v>2343</v>
      </c>
      <c r="H1078" s="21"/>
      <c r="I1078" s="21"/>
      <c r="J1078" s="3" t="s">
        <v>35</v>
      </c>
      <c r="K1078" s="4" t="s">
        <v>51</v>
      </c>
      <c r="L1078" s="4" t="s">
        <v>37</v>
      </c>
      <c r="N1078" s="21" t="s">
        <v>2399</v>
      </c>
      <c r="O1078" s="21"/>
      <c r="P1078" s="21" t="s">
        <v>2400</v>
      </c>
      <c r="Q1078" s="21"/>
      <c r="R1078" s="21"/>
      <c r="S1078" s="3" t="s">
        <v>40</v>
      </c>
      <c r="T1078" s="21" t="s">
        <v>41</v>
      </c>
      <c r="U1078" s="21"/>
      <c r="V1078" s="4" t="s">
        <v>42</v>
      </c>
      <c r="W1078" s="4" t="s">
        <v>94</v>
      </c>
      <c r="X1078" s="4" t="s">
        <v>95</v>
      </c>
      <c r="Y1078" s="21" t="s">
        <v>56</v>
      </c>
      <c r="Z1078" s="21"/>
      <c r="AA1078" s="4" t="s">
        <v>46</v>
      </c>
      <c r="AB1078" s="4" t="s">
        <v>47</v>
      </c>
      <c r="AC1078" s="4" t="s">
        <v>57</v>
      </c>
      <c r="AD1078" s="4" t="s">
        <v>58</v>
      </c>
      <c r="AE1078" s="4" t="s">
        <v>48</v>
      </c>
      <c r="AF1078" s="4" t="s">
        <v>41</v>
      </c>
      <c r="AG1078" s="4" t="s">
        <v>2346</v>
      </c>
    </row>
    <row r="1079" spans="1:33" ht="16.5" customHeight="1" x14ac:dyDescent="0.2">
      <c r="A1079" s="2" t="s">
        <v>31</v>
      </c>
      <c r="B1079" s="19" t="s">
        <v>50</v>
      </c>
      <c r="C1079" s="19"/>
      <c r="D1079" s="19"/>
      <c r="E1079" s="20" t="s">
        <v>33</v>
      </c>
      <c r="F1079" s="20"/>
      <c r="G1079" s="21" t="s">
        <v>2343</v>
      </c>
      <c r="H1079" s="21"/>
      <c r="I1079" s="21"/>
      <c r="J1079" s="3" t="s">
        <v>35</v>
      </c>
      <c r="K1079" s="4" t="s">
        <v>247</v>
      </c>
      <c r="L1079" s="4" t="s">
        <v>37</v>
      </c>
      <c r="N1079" s="21" t="s">
        <v>2401</v>
      </c>
      <c r="O1079" s="21"/>
      <c r="P1079" s="21" t="s">
        <v>2402</v>
      </c>
      <c r="Q1079" s="21"/>
      <c r="R1079" s="21"/>
      <c r="S1079" s="3" t="s">
        <v>40</v>
      </c>
      <c r="T1079" s="21" t="s">
        <v>41</v>
      </c>
      <c r="U1079" s="21"/>
      <c r="V1079" s="4" t="s">
        <v>42</v>
      </c>
      <c r="W1079" s="4" t="s">
        <v>94</v>
      </c>
      <c r="X1079" s="4" t="s">
        <v>95</v>
      </c>
      <c r="Y1079" s="21" t="s">
        <v>65</v>
      </c>
      <c r="Z1079" s="21"/>
      <c r="AA1079" s="4" t="s">
        <v>46</v>
      </c>
      <c r="AB1079" s="4" t="s">
        <v>47</v>
      </c>
      <c r="AC1079" s="4" t="s">
        <v>66</v>
      </c>
      <c r="AD1079" s="4" t="s">
        <v>73</v>
      </c>
      <c r="AE1079" s="4" t="s">
        <v>48</v>
      </c>
      <c r="AF1079" s="4" t="s">
        <v>41</v>
      </c>
      <c r="AG1079" s="4" t="s">
        <v>2346</v>
      </c>
    </row>
    <row r="1080" spans="1:33" ht="16.5" customHeight="1" x14ac:dyDescent="0.2">
      <c r="A1080" s="2" t="s">
        <v>31</v>
      </c>
      <c r="B1080" s="19" t="s">
        <v>50</v>
      </c>
      <c r="C1080" s="19"/>
      <c r="D1080" s="19"/>
      <c r="E1080" s="20" t="s">
        <v>33</v>
      </c>
      <c r="F1080" s="20"/>
      <c r="G1080" s="21" t="s">
        <v>2343</v>
      </c>
      <c r="H1080" s="21"/>
      <c r="I1080" s="21"/>
      <c r="J1080" s="3" t="s">
        <v>35</v>
      </c>
      <c r="K1080" s="4" t="s">
        <v>74</v>
      </c>
      <c r="L1080" s="4" t="s">
        <v>68</v>
      </c>
      <c r="N1080" s="21" t="s">
        <v>2403</v>
      </c>
      <c r="O1080" s="21"/>
      <c r="P1080" s="21" t="s">
        <v>2404</v>
      </c>
      <c r="Q1080" s="21"/>
      <c r="R1080" s="21"/>
      <c r="S1080" s="3" t="s">
        <v>40</v>
      </c>
      <c r="T1080" s="21" t="s">
        <v>41</v>
      </c>
      <c r="U1080" s="21"/>
      <c r="V1080" s="4" t="s">
        <v>42</v>
      </c>
      <c r="W1080" s="4" t="s">
        <v>54</v>
      </c>
      <c r="X1080" s="4" t="s">
        <v>55</v>
      </c>
      <c r="Y1080" s="21" t="s">
        <v>65</v>
      </c>
      <c r="Z1080" s="21"/>
      <c r="AA1080" s="4" t="s">
        <v>46</v>
      </c>
      <c r="AB1080" s="4" t="s">
        <v>47</v>
      </c>
      <c r="AC1080" s="4" t="s">
        <v>66</v>
      </c>
      <c r="AD1080" s="4" t="s">
        <v>69</v>
      </c>
      <c r="AE1080" s="4" t="s">
        <v>48</v>
      </c>
      <c r="AF1080" s="4" t="s">
        <v>41</v>
      </c>
      <c r="AG1080" s="4" t="s">
        <v>2346</v>
      </c>
    </row>
    <row r="1081" spans="1:33" ht="16.5" customHeight="1" x14ac:dyDescent="0.2">
      <c r="A1081" s="2" t="s">
        <v>31</v>
      </c>
      <c r="B1081" s="19" t="s">
        <v>50</v>
      </c>
      <c r="C1081" s="19"/>
      <c r="D1081" s="19"/>
      <c r="E1081" s="20" t="s">
        <v>33</v>
      </c>
      <c r="F1081" s="20"/>
      <c r="G1081" s="21" t="s">
        <v>2343</v>
      </c>
      <c r="H1081" s="21"/>
      <c r="I1081" s="21"/>
      <c r="J1081" s="3" t="s">
        <v>35</v>
      </c>
      <c r="K1081" s="4" t="s">
        <v>413</v>
      </c>
      <c r="L1081" s="4" t="s">
        <v>37</v>
      </c>
      <c r="N1081" s="21" t="s">
        <v>2405</v>
      </c>
      <c r="O1081" s="21"/>
      <c r="P1081" s="21" t="s">
        <v>2406</v>
      </c>
      <c r="Q1081" s="21"/>
      <c r="R1081" s="21"/>
      <c r="S1081" s="3" t="s">
        <v>40</v>
      </c>
      <c r="T1081" s="21" t="s">
        <v>41</v>
      </c>
      <c r="U1081" s="21"/>
      <c r="V1081" s="4" t="s">
        <v>59</v>
      </c>
      <c r="W1081" s="4" t="s">
        <v>54</v>
      </c>
      <c r="X1081" s="4" t="s">
        <v>60</v>
      </c>
      <c r="Y1081" s="21" t="s">
        <v>198</v>
      </c>
      <c r="Z1081" s="21"/>
      <c r="AA1081" s="4" t="s">
        <v>46</v>
      </c>
      <c r="AB1081" s="4" t="s">
        <v>47</v>
      </c>
      <c r="AC1081" s="4" t="s">
        <v>139</v>
      </c>
      <c r="AD1081" s="4" t="s">
        <v>140</v>
      </c>
      <c r="AE1081" s="4" t="s">
        <v>48</v>
      </c>
      <c r="AF1081" s="4" t="s">
        <v>41</v>
      </c>
      <c r="AG1081" s="4" t="s">
        <v>2346</v>
      </c>
    </row>
    <row r="1082" spans="1:33" ht="16.5" customHeight="1" x14ac:dyDescent="0.2">
      <c r="A1082" s="2" t="s">
        <v>31</v>
      </c>
      <c r="B1082" s="19" t="s">
        <v>50</v>
      </c>
      <c r="C1082" s="19"/>
      <c r="D1082" s="19"/>
      <c r="E1082" s="20" t="s">
        <v>33</v>
      </c>
      <c r="F1082" s="20"/>
      <c r="G1082" s="21" t="s">
        <v>2343</v>
      </c>
      <c r="H1082" s="21"/>
      <c r="I1082" s="21"/>
      <c r="J1082" s="3" t="s">
        <v>35</v>
      </c>
      <c r="K1082" s="4" t="s">
        <v>383</v>
      </c>
      <c r="L1082" s="4" t="s">
        <v>278</v>
      </c>
      <c r="N1082" s="21" t="s">
        <v>2407</v>
      </c>
      <c r="O1082" s="21"/>
      <c r="P1082" s="21" t="s">
        <v>2408</v>
      </c>
      <c r="Q1082" s="21"/>
      <c r="R1082" s="21"/>
      <c r="S1082" s="3" t="s">
        <v>40</v>
      </c>
      <c r="T1082" s="21" t="s">
        <v>41</v>
      </c>
      <c r="U1082" s="21"/>
      <c r="V1082" s="4" t="s">
        <v>42</v>
      </c>
      <c r="W1082" s="4" t="s">
        <v>130</v>
      </c>
      <c r="X1082" s="4" t="s">
        <v>60</v>
      </c>
      <c r="Y1082" s="21" t="s">
        <v>198</v>
      </c>
      <c r="Z1082" s="21"/>
      <c r="AA1082" s="4" t="s">
        <v>46</v>
      </c>
      <c r="AB1082" s="4" t="s">
        <v>47</v>
      </c>
      <c r="AC1082" s="4" t="s">
        <v>139</v>
      </c>
      <c r="AD1082" s="4" t="s">
        <v>69</v>
      </c>
      <c r="AE1082" s="4" t="s">
        <v>48</v>
      </c>
      <c r="AF1082" s="4" t="s">
        <v>41</v>
      </c>
      <c r="AG1082" s="4" t="s">
        <v>2346</v>
      </c>
    </row>
    <row r="1083" spans="1:33" ht="16.5" customHeight="1" x14ac:dyDescent="0.2">
      <c r="A1083" s="2" t="s">
        <v>31</v>
      </c>
      <c r="B1083" s="19" t="s">
        <v>110</v>
      </c>
      <c r="C1083" s="19"/>
      <c r="D1083" s="19"/>
      <c r="E1083" s="20" t="s">
        <v>33</v>
      </c>
      <c r="F1083" s="20"/>
      <c r="G1083" s="21" t="s">
        <v>2343</v>
      </c>
      <c r="H1083" s="21"/>
      <c r="I1083" s="21"/>
      <c r="J1083" s="3" t="s">
        <v>35</v>
      </c>
      <c r="K1083" s="4" t="s">
        <v>976</v>
      </c>
      <c r="N1083" s="21" t="s">
        <v>2409</v>
      </c>
      <c r="O1083" s="21"/>
      <c r="P1083" s="21" t="s">
        <v>2345</v>
      </c>
      <c r="Q1083" s="21"/>
      <c r="R1083" s="21"/>
      <c r="S1083" s="3" t="s">
        <v>40</v>
      </c>
      <c r="T1083" s="21" t="s">
        <v>2410</v>
      </c>
      <c r="U1083" s="21"/>
      <c r="V1083" s="4" t="s">
        <v>59</v>
      </c>
      <c r="W1083" s="4" t="s">
        <v>85</v>
      </c>
      <c r="X1083" s="4" t="s">
        <v>95</v>
      </c>
      <c r="Y1083" s="21" t="s">
        <v>980</v>
      </c>
      <c r="Z1083" s="21"/>
      <c r="AA1083" s="4" t="s">
        <v>46</v>
      </c>
      <c r="AB1083" s="4" t="s">
        <v>117</v>
      </c>
      <c r="AC1083" s="4" t="s">
        <v>1305</v>
      </c>
      <c r="AD1083" s="4" t="s">
        <v>2411</v>
      </c>
      <c r="AE1083" s="4" t="s">
        <v>48</v>
      </c>
      <c r="AF1083" s="4" t="s">
        <v>41</v>
      </c>
      <c r="AG1083" s="4" t="s">
        <v>2346</v>
      </c>
    </row>
    <row r="1084" spans="1:33" ht="16.5" customHeight="1" x14ac:dyDescent="0.2">
      <c r="A1084" s="2" t="s">
        <v>31</v>
      </c>
      <c r="B1084" s="19" t="s">
        <v>110</v>
      </c>
      <c r="C1084" s="19"/>
      <c r="D1084" s="19"/>
      <c r="E1084" s="20" t="s">
        <v>33</v>
      </c>
      <c r="F1084" s="20"/>
      <c r="G1084" s="21" t="s">
        <v>2343</v>
      </c>
      <c r="H1084" s="21"/>
      <c r="I1084" s="21"/>
      <c r="J1084" s="3" t="s">
        <v>35</v>
      </c>
      <c r="K1084" s="4" t="s">
        <v>1301</v>
      </c>
      <c r="N1084" s="21" t="s">
        <v>2412</v>
      </c>
      <c r="O1084" s="21"/>
      <c r="P1084" s="21" t="s">
        <v>2348</v>
      </c>
      <c r="Q1084" s="21"/>
      <c r="R1084" s="21"/>
      <c r="S1084" s="3" t="s">
        <v>40</v>
      </c>
      <c r="T1084" s="21" t="s">
        <v>1757</v>
      </c>
      <c r="U1084" s="21"/>
      <c r="V1084" s="4" t="s">
        <v>59</v>
      </c>
      <c r="W1084" s="4" t="s">
        <v>94</v>
      </c>
      <c r="X1084" s="4" t="s">
        <v>105</v>
      </c>
      <c r="Y1084" s="21" t="s">
        <v>980</v>
      </c>
      <c r="Z1084" s="21"/>
      <c r="AA1084" s="4" t="s">
        <v>46</v>
      </c>
      <c r="AB1084" s="4" t="s">
        <v>117</v>
      </c>
      <c r="AC1084" s="4" t="s">
        <v>1305</v>
      </c>
      <c r="AD1084" s="4" t="s">
        <v>1758</v>
      </c>
      <c r="AE1084" s="4" t="s">
        <v>48</v>
      </c>
      <c r="AF1084" s="4" t="s">
        <v>41</v>
      </c>
      <c r="AG1084" s="4" t="s">
        <v>2346</v>
      </c>
    </row>
    <row r="1085" spans="1:33" ht="16.5" customHeight="1" x14ac:dyDescent="0.2">
      <c r="A1085" s="2" t="s">
        <v>31</v>
      </c>
      <c r="B1085" s="19" t="s">
        <v>110</v>
      </c>
      <c r="C1085" s="19"/>
      <c r="D1085" s="19"/>
      <c r="E1085" s="20" t="s">
        <v>33</v>
      </c>
      <c r="F1085" s="20"/>
      <c r="G1085" s="21" t="s">
        <v>2343</v>
      </c>
      <c r="H1085" s="21"/>
      <c r="I1085" s="21"/>
      <c r="J1085" s="3" t="s">
        <v>35</v>
      </c>
      <c r="K1085" s="4" t="s">
        <v>1301</v>
      </c>
      <c r="N1085" s="21" t="s">
        <v>2413</v>
      </c>
      <c r="O1085" s="21"/>
      <c r="P1085" s="21" t="s">
        <v>2414</v>
      </c>
      <c r="Q1085" s="21"/>
      <c r="R1085" s="21"/>
      <c r="S1085" s="3" t="s">
        <v>40</v>
      </c>
      <c r="T1085" s="21" t="s">
        <v>2324</v>
      </c>
      <c r="U1085" s="21"/>
      <c r="V1085" s="4" t="s">
        <v>59</v>
      </c>
      <c r="W1085" s="4" t="s">
        <v>54</v>
      </c>
      <c r="X1085" s="4" t="s">
        <v>60</v>
      </c>
      <c r="Y1085" s="21" t="s">
        <v>959</v>
      </c>
      <c r="Z1085" s="21"/>
      <c r="AA1085" s="4" t="s">
        <v>46</v>
      </c>
      <c r="AB1085" s="4" t="s">
        <v>117</v>
      </c>
      <c r="AC1085" s="4" t="s">
        <v>960</v>
      </c>
      <c r="AD1085" s="4" t="s">
        <v>2325</v>
      </c>
      <c r="AE1085" s="4" t="s">
        <v>48</v>
      </c>
      <c r="AF1085" s="4" t="s">
        <v>41</v>
      </c>
      <c r="AG1085" s="4" t="s">
        <v>2346</v>
      </c>
    </row>
    <row r="1086" spans="1:33" ht="16.5" customHeight="1" x14ac:dyDescent="0.2">
      <c r="A1086" s="2" t="s">
        <v>31</v>
      </c>
      <c r="B1086" s="19" t="s">
        <v>110</v>
      </c>
      <c r="C1086" s="19"/>
      <c r="D1086" s="19"/>
      <c r="E1086" s="20" t="s">
        <v>33</v>
      </c>
      <c r="F1086" s="20"/>
      <c r="G1086" s="21" t="s">
        <v>2343</v>
      </c>
      <c r="H1086" s="21"/>
      <c r="I1086" s="21"/>
      <c r="J1086" s="3" t="s">
        <v>35</v>
      </c>
      <c r="K1086" s="4" t="s">
        <v>1301</v>
      </c>
      <c r="N1086" s="21" t="s">
        <v>2415</v>
      </c>
      <c r="O1086" s="21"/>
      <c r="P1086" s="21" t="s">
        <v>2416</v>
      </c>
      <c r="Q1086" s="21"/>
      <c r="R1086" s="21"/>
      <c r="S1086" s="3" t="s">
        <v>40</v>
      </c>
      <c r="T1086" s="21" t="s">
        <v>2417</v>
      </c>
      <c r="U1086" s="21"/>
      <c r="V1086" s="4" t="s">
        <v>42</v>
      </c>
      <c r="W1086" s="4" t="s">
        <v>54</v>
      </c>
      <c r="X1086" s="4" t="s">
        <v>55</v>
      </c>
      <c r="Y1086" s="21" t="s">
        <v>959</v>
      </c>
      <c r="Z1086" s="21"/>
      <c r="AA1086" s="4" t="s">
        <v>46</v>
      </c>
      <c r="AB1086" s="4" t="s">
        <v>117</v>
      </c>
      <c r="AC1086" s="4" t="s">
        <v>960</v>
      </c>
      <c r="AD1086" s="4" t="s">
        <v>2418</v>
      </c>
      <c r="AE1086" s="4" t="s">
        <v>48</v>
      </c>
      <c r="AF1086" s="4" t="s">
        <v>41</v>
      </c>
      <c r="AG1086" s="4" t="s">
        <v>2346</v>
      </c>
    </row>
    <row r="1087" spans="1:33" ht="16.5" customHeight="1" x14ac:dyDescent="0.2">
      <c r="A1087" s="2" t="s">
        <v>31</v>
      </c>
      <c r="B1087" s="19" t="s">
        <v>110</v>
      </c>
      <c r="C1087" s="19"/>
      <c r="D1087" s="19"/>
      <c r="E1087" s="20" t="s">
        <v>33</v>
      </c>
      <c r="F1087" s="20"/>
      <c r="G1087" s="21" t="s">
        <v>2343</v>
      </c>
      <c r="H1087" s="21"/>
      <c r="I1087" s="21"/>
      <c r="J1087" s="3" t="s">
        <v>35</v>
      </c>
      <c r="K1087" s="4" t="s">
        <v>937</v>
      </c>
      <c r="N1087" s="21" t="s">
        <v>2419</v>
      </c>
      <c r="O1087" s="21"/>
      <c r="P1087" s="21" t="s">
        <v>2420</v>
      </c>
      <c r="Q1087" s="21"/>
      <c r="R1087" s="21"/>
      <c r="S1087" s="3" t="s">
        <v>40</v>
      </c>
      <c r="T1087" s="21" t="s">
        <v>2421</v>
      </c>
      <c r="U1087" s="21"/>
      <c r="V1087" s="4" t="s">
        <v>59</v>
      </c>
      <c r="W1087" s="4" t="s">
        <v>54</v>
      </c>
      <c r="X1087" s="4" t="s">
        <v>60</v>
      </c>
      <c r="Y1087" s="21" t="s">
        <v>924</v>
      </c>
      <c r="Z1087" s="21"/>
      <c r="AA1087" s="4" t="s">
        <v>46</v>
      </c>
      <c r="AB1087" s="4" t="s">
        <v>117</v>
      </c>
      <c r="AC1087" s="4" t="s">
        <v>925</v>
      </c>
      <c r="AD1087" s="4" t="s">
        <v>2422</v>
      </c>
      <c r="AE1087" s="4" t="s">
        <v>48</v>
      </c>
      <c r="AF1087" s="4" t="s">
        <v>41</v>
      </c>
      <c r="AG1087" s="4" t="s">
        <v>2346</v>
      </c>
    </row>
    <row r="1088" spans="1:33" ht="16.5" customHeight="1" x14ac:dyDescent="0.2">
      <c r="A1088" s="2" t="s">
        <v>31</v>
      </c>
      <c r="B1088" s="19" t="s">
        <v>110</v>
      </c>
      <c r="C1088" s="19"/>
      <c r="D1088" s="19"/>
      <c r="E1088" s="20" t="s">
        <v>33</v>
      </c>
      <c r="F1088" s="20"/>
      <c r="G1088" s="21" t="s">
        <v>2343</v>
      </c>
      <c r="H1088" s="21"/>
      <c r="I1088" s="21"/>
      <c r="J1088" s="3" t="s">
        <v>35</v>
      </c>
      <c r="K1088" s="4" t="s">
        <v>1301</v>
      </c>
      <c r="N1088" s="21" t="s">
        <v>2423</v>
      </c>
      <c r="O1088" s="21"/>
      <c r="P1088" s="21" t="s">
        <v>2424</v>
      </c>
      <c r="Q1088" s="21"/>
      <c r="R1088" s="21"/>
      <c r="S1088" s="3" t="s">
        <v>40</v>
      </c>
      <c r="T1088" s="21" t="s">
        <v>2425</v>
      </c>
      <c r="U1088" s="21"/>
      <c r="V1088" s="4" t="s">
        <v>42</v>
      </c>
      <c r="W1088" s="4" t="s">
        <v>54</v>
      </c>
      <c r="X1088" s="4" t="s">
        <v>55</v>
      </c>
      <c r="Y1088" s="21" t="s">
        <v>980</v>
      </c>
      <c r="Z1088" s="21"/>
      <c r="AA1088" s="4" t="s">
        <v>46</v>
      </c>
      <c r="AB1088" s="4" t="s">
        <v>117</v>
      </c>
      <c r="AC1088" s="4" t="s">
        <v>1305</v>
      </c>
      <c r="AD1088" s="4" t="s">
        <v>2426</v>
      </c>
      <c r="AE1088" s="4" t="s">
        <v>48</v>
      </c>
      <c r="AF1088" s="4" t="s">
        <v>41</v>
      </c>
      <c r="AG1088" s="4" t="s">
        <v>2346</v>
      </c>
    </row>
    <row r="1089" spans="1:33" ht="16.5" customHeight="1" x14ac:dyDescent="0.2">
      <c r="A1089" s="2" t="s">
        <v>31</v>
      </c>
      <c r="B1089" s="19" t="s">
        <v>110</v>
      </c>
      <c r="C1089" s="19"/>
      <c r="D1089" s="19"/>
      <c r="E1089" s="20" t="s">
        <v>33</v>
      </c>
      <c r="F1089" s="20"/>
      <c r="G1089" s="21" t="s">
        <v>2343</v>
      </c>
      <c r="H1089" s="21"/>
      <c r="I1089" s="21"/>
      <c r="J1089" s="3" t="s">
        <v>35</v>
      </c>
      <c r="K1089" s="4" t="s">
        <v>1301</v>
      </c>
      <c r="N1089" s="21" t="s">
        <v>2423</v>
      </c>
      <c r="O1089" s="21"/>
      <c r="P1089" s="21" t="s">
        <v>2424</v>
      </c>
      <c r="Q1089" s="21"/>
      <c r="R1089" s="21"/>
      <c r="S1089" s="3" t="s">
        <v>40</v>
      </c>
      <c r="T1089" s="21" t="s">
        <v>2425</v>
      </c>
      <c r="U1089" s="21"/>
      <c r="V1089" s="4" t="s">
        <v>59</v>
      </c>
      <c r="W1089" s="4" t="s">
        <v>54</v>
      </c>
      <c r="X1089" s="4" t="s">
        <v>60</v>
      </c>
      <c r="Y1089" s="21" t="s">
        <v>980</v>
      </c>
      <c r="Z1089" s="21"/>
      <c r="AA1089" s="4" t="s">
        <v>46</v>
      </c>
      <c r="AB1089" s="4" t="s">
        <v>117</v>
      </c>
      <c r="AC1089" s="4" t="s">
        <v>1305</v>
      </c>
      <c r="AD1089" s="4" t="s">
        <v>2426</v>
      </c>
      <c r="AE1089" s="4" t="s">
        <v>48</v>
      </c>
      <c r="AF1089" s="4" t="s">
        <v>41</v>
      </c>
      <c r="AG1089" s="4" t="s">
        <v>2346</v>
      </c>
    </row>
    <row r="1090" spans="1:33" ht="16.5" customHeight="1" x14ac:dyDescent="0.2">
      <c r="A1090" s="2" t="s">
        <v>31</v>
      </c>
      <c r="B1090" s="19" t="s">
        <v>110</v>
      </c>
      <c r="C1090" s="19"/>
      <c r="D1090" s="19"/>
      <c r="E1090" s="20" t="s">
        <v>33</v>
      </c>
      <c r="F1090" s="20"/>
      <c r="G1090" s="21" t="s">
        <v>2343</v>
      </c>
      <c r="H1090" s="21"/>
      <c r="I1090" s="21"/>
      <c r="J1090" s="3" t="s">
        <v>35</v>
      </c>
      <c r="K1090" s="4" t="s">
        <v>394</v>
      </c>
      <c r="N1090" s="21" t="s">
        <v>2427</v>
      </c>
      <c r="O1090" s="21"/>
      <c r="P1090" s="21" t="s">
        <v>2428</v>
      </c>
      <c r="Q1090" s="21"/>
      <c r="R1090" s="21"/>
      <c r="S1090" s="3" t="s">
        <v>40</v>
      </c>
      <c r="T1090" s="21" t="s">
        <v>2429</v>
      </c>
      <c r="U1090" s="21"/>
      <c r="V1090" s="4" t="s">
        <v>42</v>
      </c>
      <c r="W1090" s="4" t="s">
        <v>54</v>
      </c>
      <c r="X1090" s="4" t="s">
        <v>55</v>
      </c>
      <c r="Y1090" s="21" t="s">
        <v>398</v>
      </c>
      <c r="Z1090" s="21"/>
      <c r="AA1090" s="4" t="s">
        <v>46</v>
      </c>
      <c r="AB1090" s="4" t="s">
        <v>117</v>
      </c>
      <c r="AC1090" s="4" t="s">
        <v>399</v>
      </c>
      <c r="AD1090" s="4" t="s">
        <v>2430</v>
      </c>
      <c r="AE1090" s="4" t="s">
        <v>48</v>
      </c>
      <c r="AF1090" s="4" t="s">
        <v>41</v>
      </c>
      <c r="AG1090" s="4" t="s">
        <v>2346</v>
      </c>
    </row>
    <row r="1091" spans="1:33" ht="16.5" customHeight="1" x14ac:dyDescent="0.2">
      <c r="A1091" s="2" t="s">
        <v>31</v>
      </c>
      <c r="B1091" s="19" t="s">
        <v>110</v>
      </c>
      <c r="C1091" s="19"/>
      <c r="D1091" s="19"/>
      <c r="E1091" s="20" t="s">
        <v>33</v>
      </c>
      <c r="F1091" s="20"/>
      <c r="G1091" s="21" t="s">
        <v>2343</v>
      </c>
      <c r="H1091" s="21"/>
      <c r="I1091" s="21"/>
      <c r="J1091" s="3" t="s">
        <v>35</v>
      </c>
      <c r="K1091" s="4" t="s">
        <v>394</v>
      </c>
      <c r="N1091" s="21" t="s">
        <v>2427</v>
      </c>
      <c r="O1091" s="21"/>
      <c r="P1091" s="21" t="s">
        <v>2428</v>
      </c>
      <c r="Q1091" s="21"/>
      <c r="R1091" s="21"/>
      <c r="S1091" s="3" t="s">
        <v>40</v>
      </c>
      <c r="T1091" s="21" t="s">
        <v>2429</v>
      </c>
      <c r="U1091" s="21"/>
      <c r="V1091" s="4" t="s">
        <v>59</v>
      </c>
      <c r="W1091" s="4" t="s">
        <v>54</v>
      </c>
      <c r="X1091" s="4" t="s">
        <v>60</v>
      </c>
      <c r="Y1091" s="21" t="s">
        <v>398</v>
      </c>
      <c r="Z1091" s="21"/>
      <c r="AA1091" s="4" t="s">
        <v>46</v>
      </c>
      <c r="AB1091" s="4" t="s">
        <v>117</v>
      </c>
      <c r="AC1091" s="4" t="s">
        <v>399</v>
      </c>
      <c r="AD1091" s="4" t="s">
        <v>2430</v>
      </c>
      <c r="AE1091" s="4" t="s">
        <v>48</v>
      </c>
      <c r="AF1091" s="4" t="s">
        <v>41</v>
      </c>
      <c r="AG1091" s="4" t="s">
        <v>2346</v>
      </c>
    </row>
    <row r="1092" spans="1:33" ht="16.5" customHeight="1" x14ac:dyDescent="0.2">
      <c r="A1092" s="2" t="s">
        <v>31</v>
      </c>
      <c r="B1092" s="19" t="s">
        <v>110</v>
      </c>
      <c r="C1092" s="19"/>
      <c r="D1092" s="19"/>
      <c r="E1092" s="20" t="s">
        <v>33</v>
      </c>
      <c r="F1092" s="20"/>
      <c r="G1092" s="21" t="s">
        <v>2343</v>
      </c>
      <c r="H1092" s="21"/>
      <c r="I1092" s="21"/>
      <c r="J1092" s="3" t="s">
        <v>35</v>
      </c>
      <c r="K1092" s="4" t="s">
        <v>1301</v>
      </c>
      <c r="N1092" s="21" t="s">
        <v>2431</v>
      </c>
      <c r="O1092" s="21"/>
      <c r="P1092" s="21" t="s">
        <v>2432</v>
      </c>
      <c r="Q1092" s="21"/>
      <c r="R1092" s="21"/>
      <c r="S1092" s="3" t="s">
        <v>40</v>
      </c>
      <c r="T1092" s="21" t="s">
        <v>2433</v>
      </c>
      <c r="U1092" s="21"/>
      <c r="V1092" s="4" t="s">
        <v>59</v>
      </c>
      <c r="W1092" s="4" t="s">
        <v>54</v>
      </c>
      <c r="X1092" s="4" t="s">
        <v>60</v>
      </c>
      <c r="Y1092" s="21" t="s">
        <v>980</v>
      </c>
      <c r="Z1092" s="21"/>
      <c r="AA1092" s="4" t="s">
        <v>46</v>
      </c>
      <c r="AB1092" s="4" t="s">
        <v>117</v>
      </c>
      <c r="AC1092" s="4" t="s">
        <v>1305</v>
      </c>
      <c r="AD1092" s="4" t="s">
        <v>2434</v>
      </c>
      <c r="AE1092" s="4" t="s">
        <v>48</v>
      </c>
      <c r="AF1092" s="4" t="s">
        <v>41</v>
      </c>
      <c r="AG1092" s="4" t="s">
        <v>2346</v>
      </c>
    </row>
    <row r="1093" spans="1:33" ht="16.5" customHeight="1" x14ac:dyDescent="0.2">
      <c r="A1093" s="2" t="s">
        <v>31</v>
      </c>
      <c r="B1093" s="19" t="s">
        <v>110</v>
      </c>
      <c r="C1093" s="19"/>
      <c r="D1093" s="19"/>
      <c r="E1093" s="20" t="s">
        <v>33</v>
      </c>
      <c r="F1093" s="20"/>
      <c r="G1093" s="21" t="s">
        <v>2343</v>
      </c>
      <c r="H1093" s="21"/>
      <c r="I1093" s="21"/>
      <c r="J1093" s="3" t="s">
        <v>35</v>
      </c>
      <c r="K1093" s="4" t="s">
        <v>394</v>
      </c>
      <c r="N1093" s="21" t="s">
        <v>2435</v>
      </c>
      <c r="O1093" s="21"/>
      <c r="P1093" s="21" t="s">
        <v>2436</v>
      </c>
      <c r="Q1093" s="21"/>
      <c r="R1093" s="21"/>
      <c r="S1093" s="3" t="s">
        <v>40</v>
      </c>
      <c r="T1093" s="21" t="s">
        <v>2437</v>
      </c>
      <c r="U1093" s="21"/>
      <c r="V1093" s="4" t="s">
        <v>59</v>
      </c>
      <c r="W1093" s="4" t="s">
        <v>54</v>
      </c>
      <c r="X1093" s="4" t="s">
        <v>60</v>
      </c>
      <c r="Y1093" s="21" t="s">
        <v>398</v>
      </c>
      <c r="Z1093" s="21"/>
      <c r="AA1093" s="4" t="s">
        <v>46</v>
      </c>
      <c r="AB1093" s="4" t="s">
        <v>117</v>
      </c>
      <c r="AC1093" s="4" t="s">
        <v>399</v>
      </c>
      <c r="AD1093" s="4" t="s">
        <v>2438</v>
      </c>
      <c r="AE1093" s="4" t="s">
        <v>48</v>
      </c>
      <c r="AF1093" s="4" t="s">
        <v>41</v>
      </c>
      <c r="AG1093" s="4" t="s">
        <v>2346</v>
      </c>
    </row>
    <row r="1094" spans="1:33" ht="16.5" customHeight="1" x14ac:dyDescent="0.2">
      <c r="A1094" s="2" t="s">
        <v>31</v>
      </c>
      <c r="B1094" s="19" t="s">
        <v>110</v>
      </c>
      <c r="C1094" s="19"/>
      <c r="D1094" s="19"/>
      <c r="E1094" s="20" t="s">
        <v>33</v>
      </c>
      <c r="F1094" s="20"/>
      <c r="G1094" s="21" t="s">
        <v>2343</v>
      </c>
      <c r="H1094" s="21"/>
      <c r="I1094" s="21"/>
      <c r="J1094" s="3" t="s">
        <v>35</v>
      </c>
      <c r="K1094" s="4" t="s">
        <v>1301</v>
      </c>
      <c r="N1094" s="21" t="s">
        <v>2439</v>
      </c>
      <c r="O1094" s="21"/>
      <c r="P1094" s="21" t="s">
        <v>2440</v>
      </c>
      <c r="Q1094" s="21"/>
      <c r="R1094" s="21"/>
      <c r="S1094" s="3" t="s">
        <v>40</v>
      </c>
      <c r="T1094" s="21" t="s">
        <v>2441</v>
      </c>
      <c r="U1094" s="21"/>
      <c r="V1094" s="4" t="s">
        <v>59</v>
      </c>
      <c r="W1094" s="4" t="s">
        <v>54</v>
      </c>
      <c r="X1094" s="4" t="s">
        <v>60</v>
      </c>
      <c r="Y1094" s="21" t="s">
        <v>959</v>
      </c>
      <c r="Z1094" s="21"/>
      <c r="AA1094" s="4" t="s">
        <v>46</v>
      </c>
      <c r="AB1094" s="4" t="s">
        <v>117</v>
      </c>
      <c r="AC1094" s="4" t="s">
        <v>960</v>
      </c>
      <c r="AD1094" s="4" t="s">
        <v>2442</v>
      </c>
      <c r="AE1094" s="4" t="s">
        <v>48</v>
      </c>
      <c r="AF1094" s="4" t="s">
        <v>41</v>
      </c>
      <c r="AG1094" s="4" t="s">
        <v>2346</v>
      </c>
    </row>
    <row r="1095" spans="1:33" ht="16.5" customHeight="1" x14ac:dyDescent="0.2">
      <c r="A1095" s="2" t="s">
        <v>31</v>
      </c>
      <c r="B1095" s="19" t="s">
        <v>110</v>
      </c>
      <c r="C1095" s="19"/>
      <c r="D1095" s="19"/>
      <c r="E1095" s="20" t="s">
        <v>33</v>
      </c>
      <c r="F1095" s="20"/>
      <c r="G1095" s="21" t="s">
        <v>2343</v>
      </c>
      <c r="H1095" s="21"/>
      <c r="I1095" s="21"/>
      <c r="J1095" s="3" t="s">
        <v>35</v>
      </c>
      <c r="K1095" s="4" t="s">
        <v>1301</v>
      </c>
      <c r="N1095" s="21" t="s">
        <v>2443</v>
      </c>
      <c r="O1095" s="21"/>
      <c r="P1095" s="21" t="s">
        <v>2444</v>
      </c>
      <c r="Q1095" s="21"/>
      <c r="R1095" s="21"/>
      <c r="S1095" s="3" t="s">
        <v>40</v>
      </c>
      <c r="T1095" s="21" t="s">
        <v>2445</v>
      </c>
      <c r="U1095" s="21"/>
      <c r="V1095" s="4" t="s">
        <v>59</v>
      </c>
      <c r="W1095" s="4" t="s">
        <v>54</v>
      </c>
      <c r="X1095" s="4" t="s">
        <v>60</v>
      </c>
      <c r="Y1095" s="21" t="s">
        <v>959</v>
      </c>
      <c r="Z1095" s="21"/>
      <c r="AA1095" s="4" t="s">
        <v>46</v>
      </c>
      <c r="AB1095" s="4" t="s">
        <v>117</v>
      </c>
      <c r="AC1095" s="4" t="s">
        <v>960</v>
      </c>
      <c r="AD1095" s="4" t="s">
        <v>2446</v>
      </c>
      <c r="AE1095" s="4" t="s">
        <v>48</v>
      </c>
      <c r="AF1095" s="4" t="s">
        <v>41</v>
      </c>
      <c r="AG1095" s="4" t="s">
        <v>2346</v>
      </c>
    </row>
    <row r="1096" spans="1:33" ht="16.5" customHeight="1" x14ac:dyDescent="0.2">
      <c r="A1096" s="2" t="s">
        <v>31</v>
      </c>
      <c r="B1096" s="19" t="s">
        <v>50</v>
      </c>
      <c r="C1096" s="19"/>
      <c r="D1096" s="19"/>
      <c r="E1096" s="20" t="s">
        <v>33</v>
      </c>
      <c r="F1096" s="20"/>
      <c r="G1096" s="21" t="s">
        <v>2447</v>
      </c>
      <c r="H1096" s="21"/>
      <c r="I1096" s="21"/>
      <c r="J1096" s="3" t="s">
        <v>35</v>
      </c>
      <c r="K1096" s="4" t="s">
        <v>152</v>
      </c>
      <c r="L1096" s="4" t="s">
        <v>37</v>
      </c>
      <c r="N1096" s="21" t="s">
        <v>2448</v>
      </c>
      <c r="O1096" s="21"/>
      <c r="P1096" s="21" t="s">
        <v>2449</v>
      </c>
      <c r="Q1096" s="21"/>
      <c r="R1096" s="21"/>
      <c r="S1096" s="3" t="s">
        <v>40</v>
      </c>
      <c r="T1096" s="21" t="s">
        <v>41</v>
      </c>
      <c r="U1096" s="21"/>
      <c r="V1096" s="4" t="s">
        <v>42</v>
      </c>
      <c r="W1096" s="4" t="s">
        <v>559</v>
      </c>
      <c r="X1096" s="4" t="s">
        <v>560</v>
      </c>
      <c r="Y1096" s="21" t="s">
        <v>56</v>
      </c>
      <c r="Z1096" s="21"/>
      <c r="AA1096" s="4" t="s">
        <v>46</v>
      </c>
      <c r="AB1096" s="4" t="s">
        <v>47</v>
      </c>
      <c r="AC1096" s="4" t="s">
        <v>139</v>
      </c>
      <c r="AD1096" s="4" t="s">
        <v>140</v>
      </c>
      <c r="AE1096" s="4" t="s">
        <v>48</v>
      </c>
      <c r="AF1096" s="4" t="s">
        <v>41</v>
      </c>
      <c r="AG1096" s="4" t="s">
        <v>2450</v>
      </c>
    </row>
    <row r="1097" spans="1:33" ht="16.5" customHeight="1" x14ac:dyDescent="0.2">
      <c r="A1097" s="2" t="s">
        <v>31</v>
      </c>
      <c r="B1097" s="19" t="s">
        <v>50</v>
      </c>
      <c r="C1097" s="19"/>
      <c r="D1097" s="19"/>
      <c r="E1097" s="20" t="s">
        <v>33</v>
      </c>
      <c r="F1097" s="20"/>
      <c r="G1097" s="21" t="s">
        <v>2447</v>
      </c>
      <c r="H1097" s="21"/>
      <c r="I1097" s="21"/>
      <c r="J1097" s="3" t="s">
        <v>35</v>
      </c>
      <c r="K1097" s="4" t="s">
        <v>152</v>
      </c>
      <c r="L1097" s="4" t="s">
        <v>37</v>
      </c>
      <c r="N1097" s="21" t="s">
        <v>2451</v>
      </c>
      <c r="O1097" s="21"/>
      <c r="P1097" s="21" t="s">
        <v>2452</v>
      </c>
      <c r="Q1097" s="21"/>
      <c r="R1097" s="21"/>
      <c r="S1097" s="3" t="s">
        <v>40</v>
      </c>
      <c r="T1097" s="21" t="s">
        <v>41</v>
      </c>
      <c r="U1097" s="21"/>
      <c r="V1097" s="4" t="s">
        <v>42</v>
      </c>
      <c r="W1097" s="4" t="s">
        <v>202</v>
      </c>
      <c r="X1097" s="4" t="s">
        <v>203</v>
      </c>
      <c r="Y1097" s="21" t="s">
        <v>56</v>
      </c>
      <c r="Z1097" s="21"/>
      <c r="AA1097" s="4" t="s">
        <v>46</v>
      </c>
      <c r="AB1097" s="4" t="s">
        <v>47</v>
      </c>
      <c r="AC1097" s="4" t="s">
        <v>139</v>
      </c>
      <c r="AD1097" s="4" t="s">
        <v>140</v>
      </c>
      <c r="AE1097" s="4" t="s">
        <v>48</v>
      </c>
      <c r="AF1097" s="4" t="s">
        <v>41</v>
      </c>
      <c r="AG1097" s="4" t="s">
        <v>2450</v>
      </c>
    </row>
    <row r="1098" spans="1:33" ht="16.5" customHeight="1" x14ac:dyDescent="0.2">
      <c r="A1098" s="2" t="s">
        <v>31</v>
      </c>
      <c r="B1098" s="19" t="s">
        <v>50</v>
      </c>
      <c r="C1098" s="19"/>
      <c r="D1098" s="19"/>
      <c r="E1098" s="20" t="s">
        <v>33</v>
      </c>
      <c r="F1098" s="20"/>
      <c r="G1098" s="21" t="s">
        <v>2447</v>
      </c>
      <c r="H1098" s="21"/>
      <c r="I1098" s="21"/>
      <c r="J1098" s="3" t="s">
        <v>35</v>
      </c>
      <c r="K1098" s="4" t="s">
        <v>383</v>
      </c>
      <c r="L1098" s="4" t="s">
        <v>37</v>
      </c>
      <c r="N1098" s="21" t="s">
        <v>2453</v>
      </c>
      <c r="O1098" s="21"/>
      <c r="P1098" s="21" t="s">
        <v>2454</v>
      </c>
      <c r="Q1098" s="21"/>
      <c r="R1098" s="21"/>
      <c r="S1098" s="3" t="s">
        <v>40</v>
      </c>
      <c r="T1098" s="21" t="s">
        <v>41</v>
      </c>
      <c r="U1098" s="21"/>
      <c r="V1098" s="4" t="s">
        <v>42</v>
      </c>
      <c r="W1098" s="4" t="s">
        <v>165</v>
      </c>
      <c r="X1098" s="4" t="s">
        <v>166</v>
      </c>
      <c r="Y1098" s="21" t="s">
        <v>198</v>
      </c>
      <c r="Z1098" s="21"/>
      <c r="AA1098" s="4" t="s">
        <v>46</v>
      </c>
      <c r="AB1098" s="4" t="s">
        <v>47</v>
      </c>
      <c r="AC1098" s="4" t="s">
        <v>257</v>
      </c>
      <c r="AD1098" s="4" t="s">
        <v>258</v>
      </c>
      <c r="AE1098" s="4" t="s">
        <v>48</v>
      </c>
      <c r="AF1098" s="4" t="s">
        <v>41</v>
      </c>
      <c r="AG1098" s="4" t="s">
        <v>2450</v>
      </c>
    </row>
    <row r="1099" spans="1:33" ht="16.5" customHeight="1" x14ac:dyDescent="0.2">
      <c r="A1099" s="2" t="s">
        <v>31</v>
      </c>
      <c r="B1099" s="19" t="s">
        <v>50</v>
      </c>
      <c r="C1099" s="19"/>
      <c r="D1099" s="19"/>
      <c r="E1099" s="20" t="s">
        <v>33</v>
      </c>
      <c r="F1099" s="20"/>
      <c r="G1099" s="21" t="s">
        <v>2447</v>
      </c>
      <c r="H1099" s="21"/>
      <c r="I1099" s="21"/>
      <c r="J1099" s="3" t="s">
        <v>35</v>
      </c>
      <c r="K1099" s="4" t="s">
        <v>383</v>
      </c>
      <c r="L1099" s="4" t="s">
        <v>37</v>
      </c>
      <c r="N1099" s="21" t="s">
        <v>2453</v>
      </c>
      <c r="O1099" s="21"/>
      <c r="P1099" s="21" t="s">
        <v>2454</v>
      </c>
      <c r="Q1099" s="21"/>
      <c r="R1099" s="21"/>
      <c r="S1099" s="3" t="s">
        <v>40</v>
      </c>
      <c r="T1099" s="21" t="s">
        <v>41</v>
      </c>
      <c r="U1099" s="21"/>
      <c r="V1099" s="4" t="s">
        <v>59</v>
      </c>
      <c r="W1099" s="4" t="s">
        <v>165</v>
      </c>
      <c r="X1099" s="4" t="s">
        <v>158</v>
      </c>
      <c r="Y1099" s="21" t="s">
        <v>198</v>
      </c>
      <c r="Z1099" s="21"/>
      <c r="AA1099" s="4" t="s">
        <v>46</v>
      </c>
      <c r="AB1099" s="4" t="s">
        <v>47</v>
      </c>
      <c r="AC1099" s="4" t="s">
        <v>257</v>
      </c>
      <c r="AD1099" s="4" t="s">
        <v>258</v>
      </c>
      <c r="AE1099" s="4" t="s">
        <v>48</v>
      </c>
      <c r="AF1099" s="4" t="s">
        <v>41</v>
      </c>
      <c r="AG1099" s="4" t="s">
        <v>2450</v>
      </c>
    </row>
    <row r="1100" spans="1:33" ht="16.5" customHeight="1" x14ac:dyDescent="0.2">
      <c r="A1100" s="2" t="s">
        <v>31</v>
      </c>
      <c r="B1100" s="19" t="s">
        <v>50</v>
      </c>
      <c r="C1100" s="19"/>
      <c r="D1100" s="19"/>
      <c r="E1100" s="20" t="s">
        <v>33</v>
      </c>
      <c r="F1100" s="20"/>
      <c r="G1100" s="21" t="s">
        <v>2447</v>
      </c>
      <c r="H1100" s="21"/>
      <c r="I1100" s="21"/>
      <c r="J1100" s="3" t="s">
        <v>35</v>
      </c>
      <c r="K1100" s="4" t="s">
        <v>152</v>
      </c>
      <c r="L1100" s="4" t="s">
        <v>278</v>
      </c>
      <c r="N1100" s="21" t="s">
        <v>2455</v>
      </c>
      <c r="O1100" s="21"/>
      <c r="P1100" s="21" t="s">
        <v>2456</v>
      </c>
      <c r="Q1100" s="21"/>
      <c r="R1100" s="21"/>
      <c r="S1100" s="3" t="s">
        <v>40</v>
      </c>
      <c r="T1100" s="21" t="s">
        <v>41</v>
      </c>
      <c r="U1100" s="21"/>
      <c r="V1100" s="4" t="s">
        <v>42</v>
      </c>
      <c r="W1100" s="4" t="s">
        <v>272</v>
      </c>
      <c r="X1100" s="4" t="s">
        <v>273</v>
      </c>
      <c r="Y1100" s="21" t="s">
        <v>56</v>
      </c>
      <c r="Z1100" s="21"/>
      <c r="AA1100" s="4" t="s">
        <v>46</v>
      </c>
      <c r="AB1100" s="4" t="s">
        <v>47</v>
      </c>
      <c r="AC1100" s="4" t="s">
        <v>139</v>
      </c>
      <c r="AD1100" s="4" t="s">
        <v>69</v>
      </c>
      <c r="AE1100" s="4" t="s">
        <v>48</v>
      </c>
      <c r="AF1100" s="4" t="s">
        <v>41</v>
      </c>
      <c r="AG1100" s="4" t="s">
        <v>2450</v>
      </c>
    </row>
    <row r="1101" spans="1:33" ht="16.5" customHeight="1" x14ac:dyDescent="0.2">
      <c r="A1101" s="2" t="s">
        <v>31</v>
      </c>
      <c r="B1101" s="19" t="s">
        <v>50</v>
      </c>
      <c r="C1101" s="19"/>
      <c r="D1101" s="19"/>
      <c r="E1101" s="20" t="s">
        <v>33</v>
      </c>
      <c r="F1101" s="20"/>
      <c r="G1101" s="21" t="s">
        <v>2447</v>
      </c>
      <c r="H1101" s="21"/>
      <c r="I1101" s="21"/>
      <c r="J1101" s="3" t="s">
        <v>35</v>
      </c>
      <c r="K1101" s="4" t="s">
        <v>99</v>
      </c>
      <c r="L1101" s="4" t="s">
        <v>37</v>
      </c>
      <c r="N1101" s="21" t="s">
        <v>2457</v>
      </c>
      <c r="O1101" s="21"/>
      <c r="P1101" s="21" t="s">
        <v>2458</v>
      </c>
      <c r="Q1101" s="21"/>
      <c r="R1101" s="21"/>
      <c r="S1101" s="3" t="s">
        <v>40</v>
      </c>
      <c r="T1101" s="21" t="s">
        <v>41</v>
      </c>
      <c r="U1101" s="21"/>
      <c r="V1101" s="4" t="s">
        <v>42</v>
      </c>
      <c r="W1101" s="4" t="s">
        <v>272</v>
      </c>
      <c r="X1101" s="4" t="s">
        <v>273</v>
      </c>
      <c r="Y1101" s="21" t="s">
        <v>56</v>
      </c>
      <c r="Z1101" s="21"/>
      <c r="AA1101" s="4" t="s">
        <v>46</v>
      </c>
      <c r="AB1101" s="4" t="s">
        <v>47</v>
      </c>
      <c r="AC1101" s="4" t="s">
        <v>139</v>
      </c>
      <c r="AD1101" s="4" t="s">
        <v>140</v>
      </c>
      <c r="AE1101" s="4" t="s">
        <v>48</v>
      </c>
      <c r="AF1101" s="4" t="s">
        <v>41</v>
      </c>
      <c r="AG1101" s="4" t="s">
        <v>2450</v>
      </c>
    </row>
    <row r="1102" spans="1:33" ht="16.5" customHeight="1" x14ac:dyDescent="0.2">
      <c r="A1102" s="2" t="s">
        <v>31</v>
      </c>
      <c r="B1102" s="19" t="s">
        <v>50</v>
      </c>
      <c r="C1102" s="19"/>
      <c r="D1102" s="19"/>
      <c r="E1102" s="20" t="s">
        <v>33</v>
      </c>
      <c r="F1102" s="20"/>
      <c r="G1102" s="21" t="s">
        <v>2447</v>
      </c>
      <c r="H1102" s="21"/>
      <c r="I1102" s="21"/>
      <c r="J1102" s="3" t="s">
        <v>35</v>
      </c>
      <c r="K1102" s="4" t="s">
        <v>99</v>
      </c>
      <c r="L1102" s="4" t="s">
        <v>37</v>
      </c>
      <c r="N1102" s="21" t="s">
        <v>2459</v>
      </c>
      <c r="O1102" s="21"/>
      <c r="P1102" s="21" t="s">
        <v>2460</v>
      </c>
      <c r="Q1102" s="21"/>
      <c r="R1102" s="21"/>
      <c r="S1102" s="3" t="s">
        <v>40</v>
      </c>
      <c r="T1102" s="21" t="s">
        <v>41</v>
      </c>
      <c r="U1102" s="21"/>
      <c r="V1102" s="4" t="s">
        <v>42</v>
      </c>
      <c r="W1102" s="4" t="s">
        <v>823</v>
      </c>
      <c r="X1102" s="4" t="s">
        <v>791</v>
      </c>
      <c r="Y1102" s="21" t="s">
        <v>56</v>
      </c>
      <c r="Z1102" s="21"/>
      <c r="AA1102" s="4" t="s">
        <v>46</v>
      </c>
      <c r="AB1102" s="4" t="s">
        <v>47</v>
      </c>
      <c r="AC1102" s="4" t="s">
        <v>139</v>
      </c>
      <c r="AD1102" s="4" t="s">
        <v>140</v>
      </c>
      <c r="AE1102" s="4" t="s">
        <v>48</v>
      </c>
      <c r="AF1102" s="4" t="s">
        <v>41</v>
      </c>
      <c r="AG1102" s="4" t="s">
        <v>2450</v>
      </c>
    </row>
    <row r="1103" spans="1:33" ht="16.5" customHeight="1" x14ac:dyDescent="0.2">
      <c r="A1103" s="2" t="s">
        <v>31</v>
      </c>
      <c r="B1103" s="19" t="s">
        <v>50</v>
      </c>
      <c r="C1103" s="19"/>
      <c r="D1103" s="19"/>
      <c r="E1103" s="20" t="s">
        <v>33</v>
      </c>
      <c r="F1103" s="20"/>
      <c r="G1103" s="21" t="s">
        <v>2447</v>
      </c>
      <c r="H1103" s="21"/>
      <c r="I1103" s="21"/>
      <c r="J1103" s="3" t="s">
        <v>35</v>
      </c>
      <c r="K1103" s="4" t="s">
        <v>152</v>
      </c>
      <c r="L1103" s="4" t="s">
        <v>37</v>
      </c>
      <c r="N1103" s="21" t="s">
        <v>2461</v>
      </c>
      <c r="O1103" s="21"/>
      <c r="P1103" s="21" t="s">
        <v>2462</v>
      </c>
      <c r="Q1103" s="21"/>
      <c r="R1103" s="21"/>
      <c r="S1103" s="3" t="s">
        <v>40</v>
      </c>
      <c r="T1103" s="21" t="s">
        <v>41</v>
      </c>
      <c r="U1103" s="21"/>
      <c r="V1103" s="4" t="s">
        <v>42</v>
      </c>
      <c r="W1103" s="4" t="s">
        <v>828</v>
      </c>
      <c r="X1103" s="4" t="s">
        <v>829</v>
      </c>
      <c r="Y1103" s="21" t="s">
        <v>56</v>
      </c>
      <c r="Z1103" s="21"/>
      <c r="AA1103" s="4" t="s">
        <v>46</v>
      </c>
      <c r="AB1103" s="4" t="s">
        <v>47</v>
      </c>
      <c r="AC1103" s="4" t="s">
        <v>139</v>
      </c>
      <c r="AD1103" s="4" t="s">
        <v>140</v>
      </c>
      <c r="AE1103" s="4" t="s">
        <v>48</v>
      </c>
      <c r="AF1103" s="4" t="s">
        <v>41</v>
      </c>
      <c r="AG1103" s="4" t="s">
        <v>2450</v>
      </c>
    </row>
    <row r="1104" spans="1:33" ht="16.5" customHeight="1" x14ac:dyDescent="0.2">
      <c r="A1104" s="2" t="s">
        <v>31</v>
      </c>
      <c r="B1104" s="19" t="s">
        <v>50</v>
      </c>
      <c r="C1104" s="19"/>
      <c r="D1104" s="19"/>
      <c r="E1104" s="20" t="s">
        <v>33</v>
      </c>
      <c r="F1104" s="20"/>
      <c r="G1104" s="21" t="s">
        <v>2447</v>
      </c>
      <c r="H1104" s="21"/>
      <c r="I1104" s="21"/>
      <c r="J1104" s="3" t="s">
        <v>35</v>
      </c>
      <c r="K1104" s="4" t="s">
        <v>152</v>
      </c>
      <c r="L1104" s="4" t="s">
        <v>37</v>
      </c>
      <c r="N1104" s="21" t="s">
        <v>2463</v>
      </c>
      <c r="O1104" s="21"/>
      <c r="P1104" s="21" t="s">
        <v>2464</v>
      </c>
      <c r="Q1104" s="21"/>
      <c r="R1104" s="21"/>
      <c r="S1104" s="3" t="s">
        <v>40</v>
      </c>
      <c r="T1104" s="21" t="s">
        <v>41</v>
      </c>
      <c r="U1104" s="21"/>
      <c r="V1104" s="4" t="s">
        <v>42</v>
      </c>
      <c r="W1104" s="4" t="s">
        <v>325</v>
      </c>
      <c r="X1104" s="4" t="s">
        <v>319</v>
      </c>
      <c r="Y1104" s="21" t="s">
        <v>56</v>
      </c>
      <c r="Z1104" s="21"/>
      <c r="AA1104" s="4" t="s">
        <v>46</v>
      </c>
      <c r="AB1104" s="4" t="s">
        <v>47</v>
      </c>
      <c r="AC1104" s="4" t="s">
        <v>139</v>
      </c>
      <c r="AD1104" s="4" t="s">
        <v>140</v>
      </c>
      <c r="AE1104" s="4" t="s">
        <v>48</v>
      </c>
      <c r="AF1104" s="4" t="s">
        <v>41</v>
      </c>
      <c r="AG1104" s="4" t="s">
        <v>2450</v>
      </c>
    </row>
    <row r="1105" spans="1:33" ht="16.5" customHeight="1" x14ac:dyDescent="0.2">
      <c r="A1105" s="2" t="s">
        <v>31</v>
      </c>
      <c r="B1105" s="19" t="s">
        <v>50</v>
      </c>
      <c r="C1105" s="19"/>
      <c r="D1105" s="19"/>
      <c r="E1105" s="20" t="s">
        <v>33</v>
      </c>
      <c r="F1105" s="20"/>
      <c r="G1105" s="21" t="s">
        <v>2447</v>
      </c>
      <c r="H1105" s="21"/>
      <c r="I1105" s="21"/>
      <c r="J1105" s="3" t="s">
        <v>35</v>
      </c>
      <c r="K1105" s="4" t="s">
        <v>74</v>
      </c>
      <c r="L1105" s="4" t="s">
        <v>37</v>
      </c>
      <c r="N1105" s="21" t="s">
        <v>2465</v>
      </c>
      <c r="O1105" s="21"/>
      <c r="P1105" s="21" t="s">
        <v>2466</v>
      </c>
      <c r="Q1105" s="21"/>
      <c r="R1105" s="21"/>
      <c r="S1105" s="3" t="s">
        <v>40</v>
      </c>
      <c r="T1105" s="21" t="s">
        <v>41</v>
      </c>
      <c r="U1105" s="21"/>
      <c r="V1105" s="4" t="s">
        <v>42</v>
      </c>
      <c r="W1105" s="4" t="s">
        <v>77</v>
      </c>
      <c r="X1105" s="4" t="s">
        <v>78</v>
      </c>
      <c r="Y1105" s="21" t="s">
        <v>65</v>
      </c>
      <c r="Z1105" s="21"/>
      <c r="AA1105" s="4" t="s">
        <v>46</v>
      </c>
      <c r="AB1105" s="4" t="s">
        <v>47</v>
      </c>
      <c r="AC1105" s="4" t="s">
        <v>66</v>
      </c>
      <c r="AD1105" s="4" t="s">
        <v>73</v>
      </c>
      <c r="AE1105" s="4" t="s">
        <v>48</v>
      </c>
      <c r="AF1105" s="4" t="s">
        <v>41</v>
      </c>
      <c r="AG1105" s="4" t="s">
        <v>2450</v>
      </c>
    </row>
    <row r="1106" spans="1:33" ht="16.5" customHeight="1" x14ac:dyDescent="0.2">
      <c r="A1106" s="2" t="s">
        <v>31</v>
      </c>
      <c r="B1106" s="19" t="s">
        <v>50</v>
      </c>
      <c r="C1106" s="19"/>
      <c r="D1106" s="19"/>
      <c r="E1106" s="20" t="s">
        <v>33</v>
      </c>
      <c r="F1106" s="20"/>
      <c r="G1106" s="21" t="s">
        <v>2447</v>
      </c>
      <c r="H1106" s="21"/>
      <c r="I1106" s="21"/>
      <c r="J1106" s="3" t="s">
        <v>35</v>
      </c>
      <c r="K1106" s="4" t="s">
        <v>193</v>
      </c>
      <c r="L1106" s="4" t="s">
        <v>37</v>
      </c>
      <c r="N1106" s="21" t="s">
        <v>2467</v>
      </c>
      <c r="O1106" s="21"/>
      <c r="P1106" s="21" t="s">
        <v>2468</v>
      </c>
      <c r="Q1106" s="21"/>
      <c r="R1106" s="21"/>
      <c r="S1106" s="3" t="s">
        <v>40</v>
      </c>
      <c r="T1106" s="21" t="s">
        <v>41</v>
      </c>
      <c r="U1106" s="21"/>
      <c r="V1106" s="4" t="s">
        <v>42</v>
      </c>
      <c r="W1106" s="4" t="s">
        <v>77</v>
      </c>
      <c r="X1106" s="4" t="s">
        <v>78</v>
      </c>
      <c r="Y1106" s="21" t="s">
        <v>198</v>
      </c>
      <c r="Z1106" s="21"/>
      <c r="AA1106" s="4" t="s">
        <v>46</v>
      </c>
      <c r="AB1106" s="4" t="s">
        <v>47</v>
      </c>
      <c r="AC1106" s="4" t="s">
        <v>139</v>
      </c>
      <c r="AD1106" s="4" t="s">
        <v>140</v>
      </c>
      <c r="AE1106" s="4" t="s">
        <v>48</v>
      </c>
      <c r="AF1106" s="4" t="s">
        <v>41</v>
      </c>
      <c r="AG1106" s="4" t="s">
        <v>2450</v>
      </c>
    </row>
    <row r="1107" spans="1:33" ht="16.5" customHeight="1" x14ac:dyDescent="0.2">
      <c r="A1107" s="2" t="s">
        <v>31</v>
      </c>
      <c r="B1107" s="19" t="s">
        <v>50</v>
      </c>
      <c r="C1107" s="19"/>
      <c r="D1107" s="19"/>
      <c r="E1107" s="20" t="s">
        <v>33</v>
      </c>
      <c r="F1107" s="20"/>
      <c r="G1107" s="21" t="s">
        <v>2447</v>
      </c>
      <c r="H1107" s="21"/>
      <c r="I1107" s="21"/>
      <c r="J1107" s="3" t="s">
        <v>35</v>
      </c>
      <c r="K1107" s="4" t="s">
        <v>383</v>
      </c>
      <c r="L1107" s="4" t="s">
        <v>37</v>
      </c>
      <c r="N1107" s="21" t="s">
        <v>2469</v>
      </c>
      <c r="O1107" s="21"/>
      <c r="P1107" s="21" t="s">
        <v>2470</v>
      </c>
      <c r="Q1107" s="21"/>
      <c r="R1107" s="21"/>
      <c r="S1107" s="3" t="s">
        <v>40</v>
      </c>
      <c r="T1107" s="21" t="s">
        <v>41</v>
      </c>
      <c r="U1107" s="21"/>
      <c r="V1107" s="4" t="s">
        <v>42</v>
      </c>
      <c r="W1107" s="4" t="s">
        <v>85</v>
      </c>
      <c r="X1107" s="4" t="s">
        <v>86</v>
      </c>
      <c r="Y1107" s="21" t="s">
        <v>198</v>
      </c>
      <c r="Z1107" s="21"/>
      <c r="AA1107" s="4" t="s">
        <v>46</v>
      </c>
      <c r="AB1107" s="4" t="s">
        <v>47</v>
      </c>
      <c r="AC1107" s="4" t="s">
        <v>139</v>
      </c>
      <c r="AD1107" s="4" t="s">
        <v>140</v>
      </c>
      <c r="AE1107" s="4" t="s">
        <v>48</v>
      </c>
      <c r="AF1107" s="4" t="s">
        <v>41</v>
      </c>
      <c r="AG1107" s="4" t="s">
        <v>2450</v>
      </c>
    </row>
    <row r="1108" spans="1:33" ht="16.5" customHeight="1" x14ac:dyDescent="0.2">
      <c r="A1108" s="2" t="s">
        <v>31</v>
      </c>
      <c r="B1108" s="19" t="s">
        <v>50</v>
      </c>
      <c r="C1108" s="19"/>
      <c r="D1108" s="19"/>
      <c r="E1108" s="20" t="s">
        <v>33</v>
      </c>
      <c r="F1108" s="20"/>
      <c r="G1108" s="21" t="s">
        <v>2447</v>
      </c>
      <c r="H1108" s="21"/>
      <c r="I1108" s="21"/>
      <c r="J1108" s="3" t="s">
        <v>35</v>
      </c>
      <c r="K1108" s="4" t="s">
        <v>99</v>
      </c>
      <c r="L1108" s="4" t="s">
        <v>37</v>
      </c>
      <c r="N1108" s="21" t="s">
        <v>2471</v>
      </c>
      <c r="O1108" s="21"/>
      <c r="P1108" s="21" t="s">
        <v>2472</v>
      </c>
      <c r="Q1108" s="21"/>
      <c r="R1108" s="21"/>
      <c r="S1108" s="3" t="s">
        <v>40</v>
      </c>
      <c r="T1108" s="21" t="s">
        <v>41</v>
      </c>
      <c r="U1108" s="21"/>
      <c r="V1108" s="4" t="s">
        <v>42</v>
      </c>
      <c r="W1108" s="4" t="s">
        <v>85</v>
      </c>
      <c r="X1108" s="4" t="s">
        <v>86</v>
      </c>
      <c r="Y1108" s="21" t="s">
        <v>56</v>
      </c>
      <c r="Z1108" s="21"/>
      <c r="AA1108" s="4" t="s">
        <v>46</v>
      </c>
      <c r="AB1108" s="4" t="s">
        <v>47</v>
      </c>
      <c r="AC1108" s="4" t="s">
        <v>57</v>
      </c>
      <c r="AD1108" s="4" t="s">
        <v>58</v>
      </c>
      <c r="AE1108" s="4" t="s">
        <v>48</v>
      </c>
      <c r="AF1108" s="4" t="s">
        <v>41</v>
      </c>
      <c r="AG1108" s="4" t="s">
        <v>2450</v>
      </c>
    </row>
    <row r="1109" spans="1:33" ht="16.5" customHeight="1" x14ac:dyDescent="0.2">
      <c r="A1109" s="2" t="s">
        <v>31</v>
      </c>
      <c r="B1109" s="19" t="s">
        <v>50</v>
      </c>
      <c r="C1109" s="19"/>
      <c r="D1109" s="19"/>
      <c r="E1109" s="20" t="s">
        <v>33</v>
      </c>
      <c r="F1109" s="20"/>
      <c r="G1109" s="21" t="s">
        <v>2447</v>
      </c>
      <c r="H1109" s="21"/>
      <c r="I1109" s="21"/>
      <c r="J1109" s="3" t="s">
        <v>35</v>
      </c>
      <c r="K1109" s="4" t="s">
        <v>74</v>
      </c>
      <c r="L1109" s="4" t="s">
        <v>68</v>
      </c>
      <c r="N1109" s="21" t="s">
        <v>2473</v>
      </c>
      <c r="O1109" s="21"/>
      <c r="P1109" s="21" t="s">
        <v>2474</v>
      </c>
      <c r="Q1109" s="21"/>
      <c r="R1109" s="21"/>
      <c r="S1109" s="3" t="s">
        <v>40</v>
      </c>
      <c r="T1109" s="21" t="s">
        <v>41</v>
      </c>
      <c r="U1109" s="21"/>
      <c r="V1109" s="4" t="s">
        <v>42</v>
      </c>
      <c r="W1109" s="4" t="s">
        <v>94</v>
      </c>
      <c r="X1109" s="4" t="s">
        <v>95</v>
      </c>
      <c r="Y1109" s="21" t="s">
        <v>65</v>
      </c>
      <c r="Z1109" s="21"/>
      <c r="AA1109" s="4" t="s">
        <v>46</v>
      </c>
      <c r="AB1109" s="4" t="s">
        <v>47</v>
      </c>
      <c r="AC1109" s="4" t="s">
        <v>66</v>
      </c>
      <c r="AD1109" s="4" t="s">
        <v>69</v>
      </c>
      <c r="AE1109" s="4" t="s">
        <v>48</v>
      </c>
      <c r="AF1109" s="4" t="s">
        <v>41</v>
      </c>
      <c r="AG1109" s="4" t="s">
        <v>2450</v>
      </c>
    </row>
    <row r="1110" spans="1:33" ht="16.5" customHeight="1" x14ac:dyDescent="0.2">
      <c r="A1110" s="2" t="s">
        <v>31</v>
      </c>
      <c r="B1110" s="19" t="s">
        <v>50</v>
      </c>
      <c r="C1110" s="19"/>
      <c r="D1110" s="19"/>
      <c r="E1110" s="20" t="s">
        <v>33</v>
      </c>
      <c r="F1110" s="20"/>
      <c r="G1110" s="21" t="s">
        <v>2447</v>
      </c>
      <c r="H1110" s="21"/>
      <c r="I1110" s="21"/>
      <c r="J1110" s="3" t="s">
        <v>35</v>
      </c>
      <c r="K1110" s="4" t="s">
        <v>51</v>
      </c>
      <c r="L1110" s="4" t="s">
        <v>37</v>
      </c>
      <c r="N1110" s="21" t="s">
        <v>2475</v>
      </c>
      <c r="O1110" s="21"/>
      <c r="P1110" s="21" t="s">
        <v>2476</v>
      </c>
      <c r="Q1110" s="21"/>
      <c r="R1110" s="21"/>
      <c r="S1110" s="3" t="s">
        <v>40</v>
      </c>
      <c r="T1110" s="21" t="s">
        <v>41</v>
      </c>
      <c r="U1110" s="21"/>
      <c r="V1110" s="4" t="s">
        <v>42</v>
      </c>
      <c r="W1110" s="4" t="s">
        <v>54</v>
      </c>
      <c r="X1110" s="4" t="s">
        <v>55</v>
      </c>
      <c r="Y1110" s="21" t="s">
        <v>56</v>
      </c>
      <c r="Z1110" s="21"/>
      <c r="AA1110" s="4" t="s">
        <v>46</v>
      </c>
      <c r="AB1110" s="4" t="s">
        <v>47</v>
      </c>
      <c r="AC1110" s="4" t="s">
        <v>57</v>
      </c>
      <c r="AD1110" s="4" t="s">
        <v>58</v>
      </c>
      <c r="AE1110" s="4" t="s">
        <v>48</v>
      </c>
      <c r="AF1110" s="4" t="s">
        <v>41</v>
      </c>
      <c r="AG1110" s="4" t="s">
        <v>2450</v>
      </c>
    </row>
    <row r="1111" spans="1:33" ht="16.5" customHeight="1" x14ac:dyDescent="0.2">
      <c r="A1111" s="2" t="s">
        <v>31</v>
      </c>
      <c r="B1111" s="19" t="s">
        <v>50</v>
      </c>
      <c r="C1111" s="19"/>
      <c r="D1111" s="19"/>
      <c r="E1111" s="20" t="s">
        <v>33</v>
      </c>
      <c r="F1111" s="20"/>
      <c r="G1111" s="21" t="s">
        <v>2447</v>
      </c>
      <c r="H1111" s="21"/>
      <c r="I1111" s="21"/>
      <c r="J1111" s="3" t="s">
        <v>35</v>
      </c>
      <c r="K1111" s="4" t="s">
        <v>51</v>
      </c>
      <c r="L1111" s="4" t="s">
        <v>37</v>
      </c>
      <c r="N1111" s="21" t="s">
        <v>2477</v>
      </c>
      <c r="O1111" s="21"/>
      <c r="P1111" s="21" t="s">
        <v>2478</v>
      </c>
      <c r="Q1111" s="21"/>
      <c r="R1111" s="21"/>
      <c r="S1111" s="3" t="s">
        <v>40</v>
      </c>
      <c r="T1111" s="21" t="s">
        <v>41</v>
      </c>
      <c r="U1111" s="21"/>
      <c r="V1111" s="4" t="s">
        <v>42</v>
      </c>
      <c r="W1111" s="4" t="s">
        <v>54</v>
      </c>
      <c r="X1111" s="4" t="s">
        <v>55</v>
      </c>
      <c r="Y1111" s="21" t="s">
        <v>56</v>
      </c>
      <c r="Z1111" s="21"/>
      <c r="AA1111" s="4" t="s">
        <v>46</v>
      </c>
      <c r="AB1111" s="4" t="s">
        <v>47</v>
      </c>
      <c r="AC1111" s="4" t="s">
        <v>57</v>
      </c>
      <c r="AD1111" s="4" t="s">
        <v>58</v>
      </c>
      <c r="AE1111" s="4" t="s">
        <v>48</v>
      </c>
      <c r="AF1111" s="4" t="s">
        <v>41</v>
      </c>
      <c r="AG1111" s="4" t="s">
        <v>2450</v>
      </c>
    </row>
    <row r="1112" spans="1:33" ht="16.5" customHeight="1" x14ac:dyDescent="0.2">
      <c r="A1112" s="2" t="s">
        <v>31</v>
      </c>
      <c r="B1112" s="19" t="s">
        <v>50</v>
      </c>
      <c r="C1112" s="19"/>
      <c r="D1112" s="19"/>
      <c r="E1112" s="20" t="s">
        <v>33</v>
      </c>
      <c r="F1112" s="20"/>
      <c r="G1112" s="21" t="s">
        <v>2447</v>
      </c>
      <c r="H1112" s="21"/>
      <c r="I1112" s="21"/>
      <c r="J1112" s="3" t="s">
        <v>35</v>
      </c>
      <c r="K1112" s="4" t="s">
        <v>152</v>
      </c>
      <c r="L1112" s="4" t="s">
        <v>37</v>
      </c>
      <c r="N1112" s="21" t="s">
        <v>2479</v>
      </c>
      <c r="O1112" s="21"/>
      <c r="P1112" s="21" t="s">
        <v>2480</v>
      </c>
      <c r="Q1112" s="21"/>
      <c r="R1112" s="21"/>
      <c r="S1112" s="3" t="s">
        <v>40</v>
      </c>
      <c r="T1112" s="21" t="s">
        <v>41</v>
      </c>
      <c r="U1112" s="21"/>
      <c r="V1112" s="4" t="s">
        <v>42</v>
      </c>
      <c r="W1112" s="4" t="s">
        <v>54</v>
      </c>
      <c r="X1112" s="4" t="s">
        <v>55</v>
      </c>
      <c r="Y1112" s="21" t="s">
        <v>56</v>
      </c>
      <c r="Z1112" s="21"/>
      <c r="AA1112" s="4" t="s">
        <v>46</v>
      </c>
      <c r="AB1112" s="4" t="s">
        <v>47</v>
      </c>
      <c r="AC1112" s="4" t="s">
        <v>57</v>
      </c>
      <c r="AD1112" s="4" t="s">
        <v>58</v>
      </c>
      <c r="AE1112" s="4" t="s">
        <v>48</v>
      </c>
      <c r="AF1112" s="4" t="s">
        <v>41</v>
      </c>
      <c r="AG1112" s="4" t="s">
        <v>2450</v>
      </c>
    </row>
    <row r="1113" spans="1:33" ht="16.5" customHeight="1" x14ac:dyDescent="0.2">
      <c r="A1113" s="2" t="s">
        <v>31</v>
      </c>
      <c r="B1113" s="19" t="s">
        <v>32</v>
      </c>
      <c r="C1113" s="19"/>
      <c r="D1113" s="19"/>
      <c r="E1113" s="20" t="s">
        <v>33</v>
      </c>
      <c r="F1113" s="20"/>
      <c r="G1113" s="21" t="s">
        <v>2481</v>
      </c>
      <c r="H1113" s="21"/>
      <c r="I1113" s="21"/>
      <c r="J1113" s="3" t="s">
        <v>35</v>
      </c>
      <c r="K1113" s="4" t="s">
        <v>36</v>
      </c>
      <c r="L1113" s="4" t="s">
        <v>37</v>
      </c>
      <c r="N1113" s="21" t="s">
        <v>2482</v>
      </c>
      <c r="O1113" s="21"/>
      <c r="P1113" s="21" t="s">
        <v>2483</v>
      </c>
      <c r="Q1113" s="21"/>
      <c r="R1113" s="21"/>
      <c r="S1113" s="3" t="s">
        <v>40</v>
      </c>
      <c r="T1113" s="21" t="s">
        <v>2484</v>
      </c>
      <c r="U1113" s="21"/>
      <c r="V1113" s="4" t="s">
        <v>59</v>
      </c>
      <c r="W1113" s="4" t="s">
        <v>54</v>
      </c>
      <c r="X1113" s="4" t="s">
        <v>60</v>
      </c>
      <c r="Y1113" s="21" t="s">
        <v>45</v>
      </c>
      <c r="Z1113" s="21"/>
      <c r="AA1113" s="4" t="s">
        <v>46</v>
      </c>
      <c r="AB1113" s="4" t="s">
        <v>47</v>
      </c>
      <c r="AD1113" s="4" t="s">
        <v>41</v>
      </c>
      <c r="AE1113" s="4" t="s">
        <v>48</v>
      </c>
      <c r="AF1113" s="4" t="s">
        <v>41</v>
      </c>
      <c r="AG1113" s="4" t="s">
        <v>2485</v>
      </c>
    </row>
    <row r="1114" spans="1:33" ht="16.5" customHeight="1" x14ac:dyDescent="0.2">
      <c r="A1114" s="2" t="s">
        <v>31</v>
      </c>
      <c r="B1114" s="19" t="s">
        <v>32</v>
      </c>
      <c r="C1114" s="19"/>
      <c r="D1114" s="19"/>
      <c r="E1114" s="20" t="s">
        <v>33</v>
      </c>
      <c r="F1114" s="20"/>
      <c r="G1114" s="21" t="s">
        <v>2481</v>
      </c>
      <c r="H1114" s="21"/>
      <c r="I1114" s="21"/>
      <c r="J1114" s="3" t="s">
        <v>35</v>
      </c>
      <c r="K1114" s="4" t="s">
        <v>646</v>
      </c>
      <c r="L1114" s="4" t="s">
        <v>37</v>
      </c>
      <c r="N1114" s="21" t="s">
        <v>2486</v>
      </c>
      <c r="O1114" s="21"/>
      <c r="P1114" s="21" t="s">
        <v>2487</v>
      </c>
      <c r="Q1114" s="21"/>
      <c r="R1114" s="21"/>
      <c r="S1114" s="3" t="s">
        <v>40</v>
      </c>
      <c r="T1114" s="21" t="s">
        <v>41</v>
      </c>
      <c r="U1114" s="21"/>
      <c r="V1114" s="4" t="s">
        <v>42</v>
      </c>
      <c r="W1114" s="4" t="s">
        <v>54</v>
      </c>
      <c r="X1114" s="4" t="s">
        <v>55</v>
      </c>
      <c r="Y1114" s="21" t="s">
        <v>45</v>
      </c>
      <c r="Z1114" s="21"/>
      <c r="AA1114" s="4" t="s">
        <v>46</v>
      </c>
      <c r="AB1114" s="4" t="s">
        <v>47</v>
      </c>
      <c r="AD1114" s="4" t="s">
        <v>41</v>
      </c>
      <c r="AE1114" s="4" t="s">
        <v>48</v>
      </c>
      <c r="AF1114" s="4" t="s">
        <v>41</v>
      </c>
      <c r="AG1114" s="4" t="s">
        <v>2485</v>
      </c>
    </row>
    <row r="1115" spans="1:33" ht="16.5" customHeight="1" x14ac:dyDescent="0.2">
      <c r="A1115" s="2" t="s">
        <v>31</v>
      </c>
      <c r="B1115" s="19" t="s">
        <v>1290</v>
      </c>
      <c r="C1115" s="19"/>
      <c r="D1115" s="19"/>
      <c r="E1115" s="20" t="s">
        <v>33</v>
      </c>
      <c r="F1115" s="20"/>
      <c r="G1115" s="21" t="s">
        <v>2481</v>
      </c>
      <c r="H1115" s="21"/>
      <c r="I1115" s="21"/>
      <c r="J1115" s="3" t="s">
        <v>35</v>
      </c>
      <c r="K1115" s="4" t="s">
        <v>2488</v>
      </c>
      <c r="L1115" s="4" t="s">
        <v>37</v>
      </c>
      <c r="N1115" s="21" t="s">
        <v>2489</v>
      </c>
      <c r="O1115" s="21"/>
      <c r="P1115" s="21" t="s">
        <v>2490</v>
      </c>
      <c r="Q1115" s="21"/>
      <c r="R1115" s="21"/>
      <c r="S1115" s="3" t="s">
        <v>40</v>
      </c>
      <c r="T1115" s="21" t="s">
        <v>2491</v>
      </c>
      <c r="U1115" s="21"/>
      <c r="V1115" s="4" t="s">
        <v>59</v>
      </c>
      <c r="W1115" s="4" t="s">
        <v>130</v>
      </c>
      <c r="X1115" s="4" t="s">
        <v>131</v>
      </c>
      <c r="Y1115" s="21" t="s">
        <v>673</v>
      </c>
      <c r="Z1115" s="21"/>
      <c r="AA1115" s="4" t="s">
        <v>46</v>
      </c>
      <c r="AB1115" s="4" t="s">
        <v>47</v>
      </c>
      <c r="AD1115" s="4" t="s">
        <v>2492</v>
      </c>
      <c r="AE1115" s="4" t="s">
        <v>48</v>
      </c>
      <c r="AF1115" s="4" t="s">
        <v>41</v>
      </c>
      <c r="AG1115" s="4" t="s">
        <v>2485</v>
      </c>
    </row>
    <row r="1116" spans="1:33" ht="16.5" customHeight="1" x14ac:dyDescent="0.2">
      <c r="A1116" s="2" t="s">
        <v>31</v>
      </c>
      <c r="B1116" s="19" t="s">
        <v>50</v>
      </c>
      <c r="C1116" s="19"/>
      <c r="D1116" s="19"/>
      <c r="E1116" s="20" t="s">
        <v>33</v>
      </c>
      <c r="F1116" s="20"/>
      <c r="G1116" s="21" t="s">
        <v>2481</v>
      </c>
      <c r="H1116" s="21"/>
      <c r="I1116" s="21"/>
      <c r="J1116" s="3" t="s">
        <v>35</v>
      </c>
      <c r="K1116" s="4" t="s">
        <v>314</v>
      </c>
      <c r="L1116" s="4" t="s">
        <v>37</v>
      </c>
      <c r="N1116" s="21" t="s">
        <v>2493</v>
      </c>
      <c r="O1116" s="21"/>
      <c r="P1116" s="21" t="s">
        <v>2494</v>
      </c>
      <c r="Q1116" s="21"/>
      <c r="R1116" s="21"/>
      <c r="S1116" s="3" t="s">
        <v>40</v>
      </c>
      <c r="T1116" s="21" t="s">
        <v>41</v>
      </c>
      <c r="U1116" s="21"/>
      <c r="V1116" s="4" t="s">
        <v>59</v>
      </c>
      <c r="W1116" s="4" t="s">
        <v>177</v>
      </c>
      <c r="X1116" s="4" t="s">
        <v>2495</v>
      </c>
      <c r="Y1116" s="21" t="s">
        <v>65</v>
      </c>
      <c r="Z1116" s="21"/>
      <c r="AA1116" s="4" t="s">
        <v>46</v>
      </c>
      <c r="AB1116" s="4" t="s">
        <v>47</v>
      </c>
      <c r="AC1116" s="4" t="s">
        <v>57</v>
      </c>
      <c r="AD1116" s="4" t="s">
        <v>58</v>
      </c>
      <c r="AE1116" s="4" t="s">
        <v>48</v>
      </c>
      <c r="AF1116" s="4" t="s">
        <v>41</v>
      </c>
      <c r="AG1116" s="4" t="s">
        <v>2485</v>
      </c>
    </row>
    <row r="1117" spans="1:33" ht="16.5" customHeight="1" x14ac:dyDescent="0.2">
      <c r="A1117" s="2" t="s">
        <v>31</v>
      </c>
      <c r="B1117" s="19" t="s">
        <v>50</v>
      </c>
      <c r="C1117" s="19"/>
      <c r="D1117" s="19"/>
      <c r="E1117" s="20" t="s">
        <v>33</v>
      </c>
      <c r="F1117" s="20"/>
      <c r="G1117" s="21" t="s">
        <v>2481</v>
      </c>
      <c r="H1117" s="21"/>
      <c r="I1117" s="21"/>
      <c r="J1117" s="3" t="s">
        <v>35</v>
      </c>
      <c r="K1117" s="4" t="s">
        <v>61</v>
      </c>
      <c r="L1117" s="4" t="s">
        <v>37</v>
      </c>
      <c r="N1117" s="21" t="s">
        <v>2496</v>
      </c>
      <c r="O1117" s="21"/>
      <c r="P1117" s="21" t="s">
        <v>2497</v>
      </c>
      <c r="Q1117" s="21"/>
      <c r="R1117" s="21"/>
      <c r="S1117" s="3" t="s">
        <v>40</v>
      </c>
      <c r="T1117" s="21" t="s">
        <v>41</v>
      </c>
      <c r="U1117" s="21"/>
      <c r="V1117" s="4" t="s">
        <v>42</v>
      </c>
      <c r="W1117" s="4" t="s">
        <v>410</v>
      </c>
      <c r="X1117" s="4" t="s">
        <v>411</v>
      </c>
      <c r="Y1117" s="21" t="s">
        <v>65</v>
      </c>
      <c r="Z1117" s="21"/>
      <c r="AA1117" s="4" t="s">
        <v>46</v>
      </c>
      <c r="AB1117" s="4" t="s">
        <v>47</v>
      </c>
      <c r="AC1117" s="4" t="s">
        <v>57</v>
      </c>
      <c r="AD1117" s="4" t="s">
        <v>58</v>
      </c>
      <c r="AE1117" s="4" t="s">
        <v>48</v>
      </c>
      <c r="AF1117" s="4" t="s">
        <v>41</v>
      </c>
      <c r="AG1117" s="4" t="s">
        <v>2485</v>
      </c>
    </row>
    <row r="1118" spans="1:33" ht="16.5" customHeight="1" x14ac:dyDescent="0.2">
      <c r="A1118" s="2" t="s">
        <v>31</v>
      </c>
      <c r="B1118" s="19" t="s">
        <v>50</v>
      </c>
      <c r="C1118" s="19"/>
      <c r="D1118" s="19"/>
      <c r="E1118" s="20" t="s">
        <v>33</v>
      </c>
      <c r="F1118" s="20"/>
      <c r="G1118" s="21" t="s">
        <v>2481</v>
      </c>
      <c r="H1118" s="21"/>
      <c r="I1118" s="21"/>
      <c r="J1118" s="3" t="s">
        <v>35</v>
      </c>
      <c r="K1118" s="4" t="s">
        <v>152</v>
      </c>
      <c r="L1118" s="4" t="s">
        <v>37</v>
      </c>
      <c r="N1118" s="21" t="s">
        <v>2498</v>
      </c>
      <c r="O1118" s="21"/>
      <c r="P1118" s="21" t="s">
        <v>2499</v>
      </c>
      <c r="Q1118" s="21"/>
      <c r="R1118" s="21"/>
      <c r="S1118" s="3" t="s">
        <v>40</v>
      </c>
      <c r="T1118" s="21" t="s">
        <v>41</v>
      </c>
      <c r="U1118" s="21"/>
      <c r="V1118" s="4" t="s">
        <v>42</v>
      </c>
      <c r="W1118" s="4" t="s">
        <v>202</v>
      </c>
      <c r="X1118" s="4" t="s">
        <v>203</v>
      </c>
      <c r="Y1118" s="21" t="s">
        <v>56</v>
      </c>
      <c r="Z1118" s="21"/>
      <c r="AA1118" s="4" t="s">
        <v>46</v>
      </c>
      <c r="AB1118" s="4" t="s">
        <v>47</v>
      </c>
      <c r="AC1118" s="4" t="s">
        <v>139</v>
      </c>
      <c r="AD1118" s="4" t="s">
        <v>140</v>
      </c>
      <c r="AE1118" s="4" t="s">
        <v>48</v>
      </c>
      <c r="AF1118" s="4" t="s">
        <v>41</v>
      </c>
      <c r="AG1118" s="4" t="s">
        <v>2485</v>
      </c>
    </row>
    <row r="1119" spans="1:33" ht="16.5" customHeight="1" x14ac:dyDescent="0.2">
      <c r="A1119" s="2" t="s">
        <v>31</v>
      </c>
      <c r="B1119" s="19" t="s">
        <v>50</v>
      </c>
      <c r="C1119" s="19"/>
      <c r="D1119" s="19"/>
      <c r="E1119" s="20" t="s">
        <v>33</v>
      </c>
      <c r="F1119" s="20"/>
      <c r="G1119" s="21" t="s">
        <v>2481</v>
      </c>
      <c r="H1119" s="21"/>
      <c r="I1119" s="21"/>
      <c r="J1119" s="3" t="s">
        <v>35</v>
      </c>
      <c r="K1119" s="4" t="s">
        <v>152</v>
      </c>
      <c r="L1119" s="4" t="s">
        <v>37</v>
      </c>
      <c r="N1119" s="21" t="s">
        <v>2498</v>
      </c>
      <c r="O1119" s="21"/>
      <c r="P1119" s="21" t="s">
        <v>2499</v>
      </c>
      <c r="Q1119" s="21"/>
      <c r="R1119" s="21"/>
      <c r="S1119" s="3" t="s">
        <v>40</v>
      </c>
      <c r="T1119" s="21" t="s">
        <v>41</v>
      </c>
      <c r="U1119" s="21"/>
      <c r="V1119" s="4" t="s">
        <v>59</v>
      </c>
      <c r="W1119" s="4" t="s">
        <v>202</v>
      </c>
      <c r="X1119" s="4" t="s">
        <v>791</v>
      </c>
      <c r="Y1119" s="21" t="s">
        <v>56</v>
      </c>
      <c r="Z1119" s="21"/>
      <c r="AA1119" s="4" t="s">
        <v>46</v>
      </c>
      <c r="AB1119" s="4" t="s">
        <v>47</v>
      </c>
      <c r="AC1119" s="4" t="s">
        <v>139</v>
      </c>
      <c r="AD1119" s="4" t="s">
        <v>140</v>
      </c>
      <c r="AE1119" s="4" t="s">
        <v>48</v>
      </c>
      <c r="AF1119" s="4" t="s">
        <v>41</v>
      </c>
      <c r="AG1119" s="4" t="s">
        <v>2485</v>
      </c>
    </row>
    <row r="1120" spans="1:33" ht="16.5" customHeight="1" x14ac:dyDescent="0.2">
      <c r="A1120" s="2" t="s">
        <v>31</v>
      </c>
      <c r="B1120" s="19" t="s">
        <v>50</v>
      </c>
      <c r="C1120" s="19"/>
      <c r="D1120" s="19"/>
      <c r="E1120" s="20" t="s">
        <v>33</v>
      </c>
      <c r="F1120" s="20"/>
      <c r="G1120" s="21" t="s">
        <v>2481</v>
      </c>
      <c r="H1120" s="21"/>
      <c r="I1120" s="21"/>
      <c r="J1120" s="3" t="s">
        <v>35</v>
      </c>
      <c r="K1120" s="4" t="s">
        <v>265</v>
      </c>
      <c r="L1120" s="4" t="s">
        <v>37</v>
      </c>
      <c r="N1120" s="21" t="s">
        <v>2500</v>
      </c>
      <c r="O1120" s="21"/>
      <c r="P1120" s="21" t="s">
        <v>2501</v>
      </c>
      <c r="Q1120" s="21"/>
      <c r="R1120" s="21"/>
      <c r="S1120" s="3" t="s">
        <v>40</v>
      </c>
      <c r="T1120" s="21" t="s">
        <v>41</v>
      </c>
      <c r="U1120" s="21"/>
      <c r="V1120" s="4" t="s">
        <v>42</v>
      </c>
      <c r="W1120" s="4" t="s">
        <v>94</v>
      </c>
      <c r="X1120" s="4" t="s">
        <v>95</v>
      </c>
      <c r="Y1120" s="21" t="s">
        <v>56</v>
      </c>
      <c r="Z1120" s="21"/>
      <c r="AA1120" s="4" t="s">
        <v>46</v>
      </c>
      <c r="AB1120" s="4" t="s">
        <v>47</v>
      </c>
      <c r="AC1120" s="4" t="s">
        <v>57</v>
      </c>
      <c r="AD1120" s="4" t="s">
        <v>58</v>
      </c>
      <c r="AE1120" s="4" t="s">
        <v>48</v>
      </c>
      <c r="AF1120" s="4" t="s">
        <v>41</v>
      </c>
      <c r="AG1120" s="4" t="s">
        <v>2485</v>
      </c>
    </row>
    <row r="1121" spans="1:33" ht="16.5" customHeight="1" x14ac:dyDescent="0.2">
      <c r="A1121" s="2" t="s">
        <v>31</v>
      </c>
      <c r="B1121" s="19" t="s">
        <v>50</v>
      </c>
      <c r="C1121" s="19"/>
      <c r="D1121" s="19"/>
      <c r="E1121" s="20" t="s">
        <v>33</v>
      </c>
      <c r="F1121" s="20"/>
      <c r="G1121" s="21" t="s">
        <v>2481</v>
      </c>
      <c r="H1121" s="21"/>
      <c r="I1121" s="21"/>
      <c r="J1121" s="3" t="s">
        <v>35</v>
      </c>
      <c r="K1121" s="4" t="s">
        <v>123</v>
      </c>
      <c r="L1121" s="4" t="s">
        <v>68</v>
      </c>
      <c r="N1121" s="21" t="s">
        <v>2502</v>
      </c>
      <c r="O1121" s="21"/>
      <c r="P1121" s="21" t="s">
        <v>2503</v>
      </c>
      <c r="Q1121" s="21"/>
      <c r="R1121" s="21"/>
      <c r="S1121" s="3" t="s">
        <v>40</v>
      </c>
      <c r="T1121" s="21" t="s">
        <v>41</v>
      </c>
      <c r="U1121" s="21"/>
      <c r="V1121" s="4" t="s">
        <v>42</v>
      </c>
      <c r="W1121" s="4" t="s">
        <v>54</v>
      </c>
      <c r="X1121" s="4" t="s">
        <v>55</v>
      </c>
      <c r="Y1121" s="21" t="s">
        <v>65</v>
      </c>
      <c r="Z1121" s="21"/>
      <c r="AA1121" s="4" t="s">
        <v>46</v>
      </c>
      <c r="AB1121" s="4" t="s">
        <v>47</v>
      </c>
      <c r="AC1121" s="4" t="s">
        <v>66</v>
      </c>
      <c r="AD1121" s="4" t="s">
        <v>69</v>
      </c>
      <c r="AE1121" s="4" t="s">
        <v>48</v>
      </c>
      <c r="AF1121" s="4" t="s">
        <v>41</v>
      </c>
      <c r="AG1121" s="4" t="s">
        <v>2485</v>
      </c>
    </row>
    <row r="1122" spans="1:33" ht="16.5" customHeight="1" x14ac:dyDescent="0.2">
      <c r="A1122" s="2" t="s">
        <v>31</v>
      </c>
      <c r="B1122" s="19" t="s">
        <v>50</v>
      </c>
      <c r="C1122" s="19"/>
      <c r="D1122" s="19"/>
      <c r="E1122" s="20" t="s">
        <v>33</v>
      </c>
      <c r="F1122" s="20"/>
      <c r="G1122" s="21" t="s">
        <v>2481</v>
      </c>
      <c r="H1122" s="21"/>
      <c r="I1122" s="21"/>
      <c r="J1122" s="3" t="s">
        <v>35</v>
      </c>
      <c r="K1122" s="4" t="s">
        <v>123</v>
      </c>
      <c r="L1122" s="4" t="s">
        <v>68</v>
      </c>
      <c r="N1122" s="21" t="s">
        <v>2502</v>
      </c>
      <c r="O1122" s="21"/>
      <c r="P1122" s="21" t="s">
        <v>2503</v>
      </c>
      <c r="Q1122" s="21"/>
      <c r="R1122" s="21"/>
      <c r="S1122" s="3" t="s">
        <v>40</v>
      </c>
      <c r="T1122" s="21" t="s">
        <v>41</v>
      </c>
      <c r="U1122" s="21"/>
      <c r="V1122" s="4" t="s">
        <v>59</v>
      </c>
      <c r="W1122" s="4" t="s">
        <v>54</v>
      </c>
      <c r="X1122" s="4" t="s">
        <v>60</v>
      </c>
      <c r="Y1122" s="21" t="s">
        <v>65</v>
      </c>
      <c r="Z1122" s="21"/>
      <c r="AA1122" s="4" t="s">
        <v>46</v>
      </c>
      <c r="AB1122" s="4" t="s">
        <v>47</v>
      </c>
      <c r="AC1122" s="4" t="s">
        <v>66</v>
      </c>
      <c r="AD1122" s="4" t="s">
        <v>69</v>
      </c>
      <c r="AE1122" s="4" t="s">
        <v>48</v>
      </c>
      <c r="AF1122" s="4" t="s">
        <v>41</v>
      </c>
      <c r="AG1122" s="4" t="s">
        <v>2485</v>
      </c>
    </row>
    <row r="1123" spans="1:33" ht="16.5" customHeight="1" x14ac:dyDescent="0.2">
      <c r="A1123" s="2" t="s">
        <v>31</v>
      </c>
      <c r="B1123" s="19" t="s">
        <v>50</v>
      </c>
      <c r="C1123" s="19"/>
      <c r="D1123" s="19"/>
      <c r="E1123" s="20" t="s">
        <v>33</v>
      </c>
      <c r="F1123" s="20"/>
      <c r="G1123" s="21" t="s">
        <v>2481</v>
      </c>
      <c r="H1123" s="21"/>
      <c r="I1123" s="21"/>
      <c r="J1123" s="3" t="s">
        <v>35</v>
      </c>
      <c r="K1123" s="4" t="s">
        <v>265</v>
      </c>
      <c r="L1123" s="4" t="s">
        <v>37</v>
      </c>
      <c r="N1123" s="21" t="s">
        <v>2504</v>
      </c>
      <c r="O1123" s="21"/>
      <c r="P1123" s="21" t="s">
        <v>2505</v>
      </c>
      <c r="Q1123" s="21"/>
      <c r="R1123" s="21"/>
      <c r="S1123" s="3" t="s">
        <v>40</v>
      </c>
      <c r="T1123" s="21" t="s">
        <v>41</v>
      </c>
      <c r="U1123" s="21"/>
      <c r="V1123" s="4" t="s">
        <v>42</v>
      </c>
      <c r="W1123" s="4" t="s">
        <v>182</v>
      </c>
      <c r="X1123" s="4" t="s">
        <v>294</v>
      </c>
      <c r="Y1123" s="21" t="s">
        <v>56</v>
      </c>
      <c r="Z1123" s="21"/>
      <c r="AA1123" s="4" t="s">
        <v>46</v>
      </c>
      <c r="AB1123" s="4" t="s">
        <v>47</v>
      </c>
      <c r="AC1123" s="4" t="s">
        <v>57</v>
      </c>
      <c r="AD1123" s="4" t="s">
        <v>58</v>
      </c>
      <c r="AE1123" s="4" t="s">
        <v>48</v>
      </c>
      <c r="AF1123" s="4" t="s">
        <v>41</v>
      </c>
      <c r="AG1123" s="4" t="s">
        <v>2485</v>
      </c>
    </row>
    <row r="1124" spans="1:33" ht="16.5" customHeight="1" x14ac:dyDescent="0.2">
      <c r="A1124" s="2" t="s">
        <v>31</v>
      </c>
      <c r="B1124" s="19" t="s">
        <v>50</v>
      </c>
      <c r="C1124" s="19"/>
      <c r="D1124" s="19"/>
      <c r="E1124" s="20" t="s">
        <v>33</v>
      </c>
      <c r="F1124" s="20"/>
      <c r="G1124" s="21" t="s">
        <v>2481</v>
      </c>
      <c r="H1124" s="21"/>
      <c r="I1124" s="21"/>
      <c r="J1124" s="3" t="s">
        <v>35</v>
      </c>
      <c r="K1124" s="4" t="s">
        <v>146</v>
      </c>
      <c r="L1124" s="4" t="s">
        <v>37</v>
      </c>
      <c r="N1124" s="21" t="s">
        <v>2506</v>
      </c>
      <c r="O1124" s="21"/>
      <c r="P1124" s="21" t="s">
        <v>2507</v>
      </c>
      <c r="Q1124" s="21"/>
      <c r="R1124" s="21"/>
      <c r="S1124" s="3" t="s">
        <v>40</v>
      </c>
      <c r="T1124" s="21" t="s">
        <v>41</v>
      </c>
      <c r="U1124" s="21"/>
      <c r="V1124" s="4" t="s">
        <v>42</v>
      </c>
      <c r="W1124" s="4" t="s">
        <v>1455</v>
      </c>
      <c r="X1124" s="4" t="s">
        <v>1456</v>
      </c>
      <c r="Y1124" s="21" t="s">
        <v>138</v>
      </c>
      <c r="Z1124" s="21"/>
      <c r="AA1124" s="4" t="s">
        <v>46</v>
      </c>
      <c r="AB1124" s="4" t="s">
        <v>47</v>
      </c>
      <c r="AC1124" s="4" t="s">
        <v>139</v>
      </c>
      <c r="AD1124" s="4" t="s">
        <v>140</v>
      </c>
      <c r="AE1124" s="4" t="s">
        <v>48</v>
      </c>
      <c r="AF1124" s="4" t="s">
        <v>41</v>
      </c>
      <c r="AG1124" s="4" t="s">
        <v>2485</v>
      </c>
    </row>
    <row r="1125" spans="1:33" ht="16.5" customHeight="1" x14ac:dyDescent="0.2">
      <c r="A1125" s="2" t="s">
        <v>31</v>
      </c>
      <c r="B1125" s="19" t="s">
        <v>50</v>
      </c>
      <c r="C1125" s="19"/>
      <c r="D1125" s="19"/>
      <c r="E1125" s="20" t="s">
        <v>33</v>
      </c>
      <c r="F1125" s="20"/>
      <c r="G1125" s="21" t="s">
        <v>2481</v>
      </c>
      <c r="H1125" s="21"/>
      <c r="I1125" s="21"/>
      <c r="J1125" s="3" t="s">
        <v>35</v>
      </c>
      <c r="K1125" s="4" t="s">
        <v>152</v>
      </c>
      <c r="L1125" s="4" t="s">
        <v>37</v>
      </c>
      <c r="N1125" s="21" t="s">
        <v>2508</v>
      </c>
      <c r="O1125" s="21"/>
      <c r="P1125" s="21" t="s">
        <v>2509</v>
      </c>
      <c r="Q1125" s="21"/>
      <c r="R1125" s="21"/>
      <c r="S1125" s="3" t="s">
        <v>40</v>
      </c>
      <c r="T1125" s="21" t="s">
        <v>41</v>
      </c>
      <c r="U1125" s="21"/>
      <c r="V1125" s="4" t="s">
        <v>42</v>
      </c>
      <c r="W1125" s="4" t="s">
        <v>798</v>
      </c>
      <c r="X1125" s="4" t="s">
        <v>1005</v>
      </c>
      <c r="Y1125" s="21" t="s">
        <v>56</v>
      </c>
      <c r="Z1125" s="21"/>
      <c r="AA1125" s="4" t="s">
        <v>46</v>
      </c>
      <c r="AB1125" s="4" t="s">
        <v>47</v>
      </c>
      <c r="AC1125" s="4" t="s">
        <v>139</v>
      </c>
      <c r="AD1125" s="4" t="s">
        <v>140</v>
      </c>
      <c r="AE1125" s="4" t="s">
        <v>48</v>
      </c>
      <c r="AF1125" s="4" t="s">
        <v>41</v>
      </c>
      <c r="AG1125" s="4" t="s">
        <v>2485</v>
      </c>
    </row>
    <row r="1126" spans="1:33" ht="16.5" customHeight="1" x14ac:dyDescent="0.2">
      <c r="A1126" s="2" t="s">
        <v>31</v>
      </c>
      <c r="B1126" s="19" t="s">
        <v>50</v>
      </c>
      <c r="C1126" s="19"/>
      <c r="D1126" s="19"/>
      <c r="E1126" s="20" t="s">
        <v>33</v>
      </c>
      <c r="F1126" s="20"/>
      <c r="G1126" s="21" t="s">
        <v>2481</v>
      </c>
      <c r="H1126" s="21"/>
      <c r="I1126" s="21"/>
      <c r="J1126" s="3" t="s">
        <v>35</v>
      </c>
      <c r="K1126" s="4" t="s">
        <v>123</v>
      </c>
      <c r="L1126" s="4" t="s">
        <v>37</v>
      </c>
      <c r="N1126" s="21" t="s">
        <v>2510</v>
      </c>
      <c r="O1126" s="21"/>
      <c r="P1126" s="21" t="s">
        <v>2511</v>
      </c>
      <c r="Q1126" s="21"/>
      <c r="R1126" s="21"/>
      <c r="S1126" s="3" t="s">
        <v>40</v>
      </c>
      <c r="T1126" s="21" t="s">
        <v>41</v>
      </c>
      <c r="U1126" s="21"/>
      <c r="V1126" s="4" t="s">
        <v>42</v>
      </c>
      <c r="W1126" s="4" t="s">
        <v>765</v>
      </c>
      <c r="X1126" s="4" t="s">
        <v>766</v>
      </c>
      <c r="Y1126" s="21" t="s">
        <v>65</v>
      </c>
      <c r="Z1126" s="21"/>
      <c r="AA1126" s="4" t="s">
        <v>46</v>
      </c>
      <c r="AB1126" s="4" t="s">
        <v>47</v>
      </c>
      <c r="AC1126" s="4" t="s">
        <v>57</v>
      </c>
      <c r="AD1126" s="4" t="s">
        <v>58</v>
      </c>
      <c r="AE1126" s="4" t="s">
        <v>48</v>
      </c>
      <c r="AF1126" s="4" t="s">
        <v>41</v>
      </c>
      <c r="AG1126" s="4" t="s">
        <v>2485</v>
      </c>
    </row>
    <row r="1127" spans="1:33" ht="16.5" customHeight="1" x14ac:dyDescent="0.2">
      <c r="A1127" s="2" t="s">
        <v>31</v>
      </c>
      <c r="B1127" s="19" t="s">
        <v>50</v>
      </c>
      <c r="C1127" s="19"/>
      <c r="D1127" s="19"/>
      <c r="E1127" s="20" t="s">
        <v>33</v>
      </c>
      <c r="F1127" s="20"/>
      <c r="G1127" s="21" t="s">
        <v>2481</v>
      </c>
      <c r="H1127" s="21"/>
      <c r="I1127" s="21"/>
      <c r="J1127" s="3" t="s">
        <v>35</v>
      </c>
      <c r="K1127" s="4" t="s">
        <v>82</v>
      </c>
      <c r="L1127" s="4" t="s">
        <v>37</v>
      </c>
      <c r="N1127" s="21" t="s">
        <v>2512</v>
      </c>
      <c r="O1127" s="21"/>
      <c r="P1127" s="21" t="s">
        <v>2513</v>
      </c>
      <c r="Q1127" s="21"/>
      <c r="R1127" s="21"/>
      <c r="S1127" s="3" t="s">
        <v>40</v>
      </c>
      <c r="T1127" s="21" t="s">
        <v>41</v>
      </c>
      <c r="U1127" s="21"/>
      <c r="V1127" s="4" t="s">
        <v>42</v>
      </c>
      <c r="W1127" s="4" t="s">
        <v>94</v>
      </c>
      <c r="X1127" s="4" t="s">
        <v>95</v>
      </c>
      <c r="Y1127" s="21" t="s">
        <v>56</v>
      </c>
      <c r="Z1127" s="21"/>
      <c r="AA1127" s="4" t="s">
        <v>46</v>
      </c>
      <c r="AB1127" s="4" t="s">
        <v>47</v>
      </c>
      <c r="AC1127" s="4" t="s">
        <v>57</v>
      </c>
      <c r="AD1127" s="4" t="s">
        <v>58</v>
      </c>
      <c r="AE1127" s="4" t="s">
        <v>48</v>
      </c>
      <c r="AF1127" s="4" t="s">
        <v>41</v>
      </c>
      <c r="AG1127" s="4" t="s">
        <v>2485</v>
      </c>
    </row>
    <row r="1128" spans="1:33" ht="16.5" customHeight="1" x14ac:dyDescent="0.2">
      <c r="A1128" s="2" t="s">
        <v>31</v>
      </c>
      <c r="B1128" s="19" t="s">
        <v>50</v>
      </c>
      <c r="C1128" s="19"/>
      <c r="D1128" s="19"/>
      <c r="E1128" s="20" t="s">
        <v>33</v>
      </c>
      <c r="F1128" s="20"/>
      <c r="G1128" s="21" t="s">
        <v>2481</v>
      </c>
      <c r="H1128" s="21"/>
      <c r="I1128" s="21"/>
      <c r="J1128" s="3" t="s">
        <v>35</v>
      </c>
      <c r="K1128" s="4" t="s">
        <v>169</v>
      </c>
      <c r="L1128" s="4" t="s">
        <v>37</v>
      </c>
      <c r="N1128" s="21" t="s">
        <v>2514</v>
      </c>
      <c r="O1128" s="21"/>
      <c r="P1128" s="21" t="s">
        <v>2515</v>
      </c>
      <c r="Q1128" s="21"/>
      <c r="R1128" s="21"/>
      <c r="S1128" s="3" t="s">
        <v>40</v>
      </c>
      <c r="T1128" s="21" t="s">
        <v>41</v>
      </c>
      <c r="U1128" s="21"/>
      <c r="V1128" s="4" t="s">
        <v>42</v>
      </c>
      <c r="W1128" s="4" t="s">
        <v>54</v>
      </c>
      <c r="X1128" s="4" t="s">
        <v>55</v>
      </c>
      <c r="Y1128" s="21" t="s">
        <v>56</v>
      </c>
      <c r="Z1128" s="21"/>
      <c r="AA1128" s="4" t="s">
        <v>46</v>
      </c>
      <c r="AB1128" s="4" t="s">
        <v>47</v>
      </c>
      <c r="AC1128" s="4" t="s">
        <v>57</v>
      </c>
      <c r="AD1128" s="4" t="s">
        <v>58</v>
      </c>
      <c r="AE1128" s="4" t="s">
        <v>48</v>
      </c>
      <c r="AF1128" s="4" t="s">
        <v>41</v>
      </c>
      <c r="AG1128" s="4" t="s">
        <v>2485</v>
      </c>
    </row>
    <row r="1129" spans="1:33" ht="16.5" customHeight="1" x14ac:dyDescent="0.2">
      <c r="A1129" s="2" t="s">
        <v>31</v>
      </c>
      <c r="B1129" s="19" t="s">
        <v>50</v>
      </c>
      <c r="C1129" s="19"/>
      <c r="D1129" s="19"/>
      <c r="E1129" s="20" t="s">
        <v>33</v>
      </c>
      <c r="F1129" s="20"/>
      <c r="G1129" s="21" t="s">
        <v>2481</v>
      </c>
      <c r="H1129" s="21"/>
      <c r="I1129" s="21"/>
      <c r="J1129" s="3" t="s">
        <v>35</v>
      </c>
      <c r="K1129" s="4" t="s">
        <v>70</v>
      </c>
      <c r="L1129" s="4" t="s">
        <v>37</v>
      </c>
      <c r="N1129" s="21" t="s">
        <v>2516</v>
      </c>
      <c r="O1129" s="21"/>
      <c r="P1129" s="21" t="s">
        <v>2517</v>
      </c>
      <c r="Q1129" s="21"/>
      <c r="R1129" s="21"/>
      <c r="S1129" s="3" t="s">
        <v>40</v>
      </c>
      <c r="T1129" s="21" t="s">
        <v>41</v>
      </c>
      <c r="U1129" s="21"/>
      <c r="V1129" s="4" t="s">
        <v>2518</v>
      </c>
      <c r="W1129" s="4" t="s">
        <v>42</v>
      </c>
      <c r="X1129" s="4" t="s">
        <v>131</v>
      </c>
      <c r="Y1129" s="21" t="s">
        <v>65</v>
      </c>
      <c r="Z1129" s="21"/>
      <c r="AA1129" s="4" t="s">
        <v>46</v>
      </c>
      <c r="AB1129" s="4" t="s">
        <v>47</v>
      </c>
      <c r="AC1129" s="4" t="s">
        <v>66</v>
      </c>
      <c r="AD1129" s="4" t="s">
        <v>73</v>
      </c>
      <c r="AE1129" s="4" t="s">
        <v>48</v>
      </c>
      <c r="AF1129" s="4" t="s">
        <v>41</v>
      </c>
      <c r="AG1129" s="4" t="s">
        <v>2485</v>
      </c>
    </row>
    <row r="1130" spans="1:33" ht="16.5" customHeight="1" x14ac:dyDescent="0.2">
      <c r="A1130" s="2" t="s">
        <v>31</v>
      </c>
      <c r="B1130" s="19" t="s">
        <v>110</v>
      </c>
      <c r="C1130" s="19"/>
      <c r="D1130" s="19"/>
      <c r="E1130" s="20" t="s">
        <v>33</v>
      </c>
      <c r="F1130" s="20"/>
      <c r="G1130" s="21" t="s">
        <v>2481</v>
      </c>
      <c r="H1130" s="21"/>
      <c r="I1130" s="21"/>
      <c r="J1130" s="3" t="s">
        <v>35</v>
      </c>
      <c r="K1130" s="4" t="s">
        <v>394</v>
      </c>
      <c r="N1130" s="21" t="s">
        <v>2519</v>
      </c>
      <c r="O1130" s="21"/>
      <c r="P1130" s="21" t="s">
        <v>2490</v>
      </c>
      <c r="Q1130" s="21"/>
      <c r="R1130" s="21"/>
      <c r="S1130" s="3" t="s">
        <v>40</v>
      </c>
      <c r="T1130" s="21" t="s">
        <v>2520</v>
      </c>
      <c r="U1130" s="21"/>
      <c r="V1130" s="4" t="s">
        <v>922</v>
      </c>
      <c r="W1130" s="4" t="s">
        <v>2521</v>
      </c>
      <c r="X1130" s="4" t="s">
        <v>60</v>
      </c>
      <c r="Y1130" s="21" t="s">
        <v>924</v>
      </c>
      <c r="Z1130" s="21"/>
      <c r="AA1130" s="4" t="s">
        <v>46</v>
      </c>
      <c r="AB1130" s="4" t="s">
        <v>117</v>
      </c>
      <c r="AC1130" s="4" t="s">
        <v>925</v>
      </c>
      <c r="AD1130" s="4" t="s">
        <v>2522</v>
      </c>
      <c r="AE1130" s="4" t="s">
        <v>48</v>
      </c>
      <c r="AF1130" s="4" t="s">
        <v>41</v>
      </c>
      <c r="AG1130" s="4" t="s">
        <v>2485</v>
      </c>
    </row>
    <row r="1131" spans="1:33" ht="16.5" customHeight="1" x14ac:dyDescent="0.2">
      <c r="A1131" s="2" t="s">
        <v>31</v>
      </c>
      <c r="B1131" s="19" t="s">
        <v>110</v>
      </c>
      <c r="C1131" s="19"/>
      <c r="D1131" s="19"/>
      <c r="E1131" s="20" t="s">
        <v>33</v>
      </c>
      <c r="F1131" s="20"/>
      <c r="G1131" s="21" t="s">
        <v>2481</v>
      </c>
      <c r="H1131" s="21"/>
      <c r="I1131" s="21"/>
      <c r="J1131" s="3" t="s">
        <v>35</v>
      </c>
      <c r="K1131" s="4" t="s">
        <v>394</v>
      </c>
      <c r="N1131" s="21" t="s">
        <v>2519</v>
      </c>
      <c r="O1131" s="21"/>
      <c r="P1131" s="21" t="s">
        <v>2490</v>
      </c>
      <c r="Q1131" s="21"/>
      <c r="R1131" s="21"/>
      <c r="S1131" s="3" t="s">
        <v>40</v>
      </c>
      <c r="T1131" s="21" t="s">
        <v>2523</v>
      </c>
      <c r="U1131" s="21"/>
      <c r="V1131" s="4" t="s">
        <v>922</v>
      </c>
      <c r="W1131" s="4" t="s">
        <v>2521</v>
      </c>
      <c r="X1131" s="4" t="s">
        <v>60</v>
      </c>
      <c r="Y1131" s="21" t="s">
        <v>924</v>
      </c>
      <c r="Z1131" s="21"/>
      <c r="AA1131" s="4" t="s">
        <v>46</v>
      </c>
      <c r="AB1131" s="4" t="s">
        <v>117</v>
      </c>
      <c r="AC1131" s="4" t="s">
        <v>925</v>
      </c>
      <c r="AD1131" s="4" t="s">
        <v>2524</v>
      </c>
      <c r="AE1131" s="4" t="s">
        <v>48</v>
      </c>
      <c r="AF1131" s="4" t="s">
        <v>41</v>
      </c>
      <c r="AG1131" s="4" t="s">
        <v>2485</v>
      </c>
    </row>
    <row r="1132" spans="1:33" ht="16.5" customHeight="1" x14ac:dyDescent="0.2">
      <c r="A1132" s="2" t="s">
        <v>31</v>
      </c>
      <c r="B1132" s="19" t="s">
        <v>110</v>
      </c>
      <c r="C1132" s="19"/>
      <c r="D1132" s="19"/>
      <c r="E1132" s="20" t="s">
        <v>33</v>
      </c>
      <c r="F1132" s="20"/>
      <c r="G1132" s="21" t="s">
        <v>2481</v>
      </c>
      <c r="H1132" s="21"/>
      <c r="I1132" s="21"/>
      <c r="J1132" s="3" t="s">
        <v>35</v>
      </c>
      <c r="K1132" s="4" t="s">
        <v>394</v>
      </c>
      <c r="N1132" s="21" t="s">
        <v>2519</v>
      </c>
      <c r="O1132" s="21"/>
      <c r="P1132" s="21" t="s">
        <v>2490</v>
      </c>
      <c r="Q1132" s="21"/>
      <c r="R1132" s="21"/>
      <c r="S1132" s="3" t="s">
        <v>40</v>
      </c>
      <c r="T1132" s="21" t="s">
        <v>2523</v>
      </c>
      <c r="U1132" s="21"/>
      <c r="V1132" s="4" t="s">
        <v>2525</v>
      </c>
      <c r="W1132" s="4" t="s">
        <v>2521</v>
      </c>
      <c r="X1132" s="4" t="s">
        <v>131</v>
      </c>
      <c r="Y1132" s="21" t="s">
        <v>924</v>
      </c>
      <c r="Z1132" s="21"/>
      <c r="AA1132" s="4" t="s">
        <v>46</v>
      </c>
      <c r="AB1132" s="4" t="s">
        <v>117</v>
      </c>
      <c r="AC1132" s="4" t="s">
        <v>925</v>
      </c>
      <c r="AD1132" s="4" t="s">
        <v>2524</v>
      </c>
      <c r="AE1132" s="4" t="s">
        <v>48</v>
      </c>
      <c r="AF1132" s="4" t="s">
        <v>41</v>
      </c>
      <c r="AG1132" s="4" t="s">
        <v>2485</v>
      </c>
    </row>
    <row r="1133" spans="1:33" ht="16.5" customHeight="1" x14ac:dyDescent="0.2">
      <c r="A1133" s="2" t="s">
        <v>31</v>
      </c>
      <c r="B1133" s="19" t="s">
        <v>110</v>
      </c>
      <c r="C1133" s="19"/>
      <c r="D1133" s="19"/>
      <c r="E1133" s="20" t="s">
        <v>33</v>
      </c>
      <c r="F1133" s="20"/>
      <c r="G1133" s="21" t="s">
        <v>2481</v>
      </c>
      <c r="H1133" s="21"/>
      <c r="I1133" s="21"/>
      <c r="J1133" s="3" t="s">
        <v>35</v>
      </c>
      <c r="K1133" s="4" t="s">
        <v>394</v>
      </c>
      <c r="N1133" s="21" t="s">
        <v>2519</v>
      </c>
      <c r="O1133" s="21"/>
      <c r="P1133" s="21" t="s">
        <v>2490</v>
      </c>
      <c r="Q1133" s="21"/>
      <c r="R1133" s="21"/>
      <c r="S1133" s="3" t="s">
        <v>40</v>
      </c>
      <c r="T1133" s="21" t="s">
        <v>2520</v>
      </c>
      <c r="U1133" s="21"/>
      <c r="V1133" s="4" t="s">
        <v>2525</v>
      </c>
      <c r="W1133" s="4" t="s">
        <v>2521</v>
      </c>
      <c r="X1133" s="4" t="s">
        <v>131</v>
      </c>
      <c r="Y1133" s="21" t="s">
        <v>924</v>
      </c>
      <c r="Z1133" s="21"/>
      <c r="AA1133" s="4" t="s">
        <v>46</v>
      </c>
      <c r="AB1133" s="4" t="s">
        <v>117</v>
      </c>
      <c r="AC1133" s="4" t="s">
        <v>925</v>
      </c>
      <c r="AD1133" s="4" t="s">
        <v>2522</v>
      </c>
      <c r="AE1133" s="4" t="s">
        <v>48</v>
      </c>
      <c r="AF1133" s="4" t="s">
        <v>41</v>
      </c>
      <c r="AG1133" s="4" t="s">
        <v>2485</v>
      </c>
    </row>
    <row r="1134" spans="1:33" ht="16.5" customHeight="1" x14ac:dyDescent="0.2">
      <c r="A1134" s="2" t="s">
        <v>31</v>
      </c>
      <c r="B1134" s="19" t="s">
        <v>110</v>
      </c>
      <c r="C1134" s="19"/>
      <c r="D1134" s="19"/>
      <c r="E1134" s="20" t="s">
        <v>33</v>
      </c>
      <c r="F1134" s="20"/>
      <c r="G1134" s="21" t="s">
        <v>2481</v>
      </c>
      <c r="H1134" s="21"/>
      <c r="I1134" s="21"/>
      <c r="J1134" s="3" t="s">
        <v>35</v>
      </c>
      <c r="K1134" s="4" t="s">
        <v>1301</v>
      </c>
      <c r="N1134" s="21" t="s">
        <v>2526</v>
      </c>
      <c r="O1134" s="21"/>
      <c r="P1134" s="21" t="s">
        <v>2527</v>
      </c>
      <c r="Q1134" s="21"/>
      <c r="R1134" s="21"/>
      <c r="S1134" s="3" t="s">
        <v>40</v>
      </c>
      <c r="T1134" s="21" t="s">
        <v>2528</v>
      </c>
      <c r="U1134" s="21"/>
      <c r="V1134" s="4" t="s">
        <v>59</v>
      </c>
      <c r="W1134" s="4" t="s">
        <v>94</v>
      </c>
      <c r="X1134" s="4" t="s">
        <v>105</v>
      </c>
      <c r="Y1134" s="21" t="s">
        <v>980</v>
      </c>
      <c r="Z1134" s="21"/>
      <c r="AA1134" s="4" t="s">
        <v>46</v>
      </c>
      <c r="AB1134" s="4" t="s">
        <v>117</v>
      </c>
      <c r="AC1134" s="4" t="s">
        <v>1305</v>
      </c>
      <c r="AD1134" s="4" t="s">
        <v>2529</v>
      </c>
      <c r="AE1134" s="4" t="s">
        <v>48</v>
      </c>
      <c r="AF1134" s="4" t="s">
        <v>41</v>
      </c>
      <c r="AG1134" s="4" t="s">
        <v>2485</v>
      </c>
    </row>
    <row r="1135" spans="1:33" ht="16.5" customHeight="1" x14ac:dyDescent="0.2">
      <c r="A1135" s="2" t="s">
        <v>31</v>
      </c>
      <c r="B1135" s="19" t="s">
        <v>110</v>
      </c>
      <c r="C1135" s="19"/>
      <c r="D1135" s="19"/>
      <c r="E1135" s="20" t="s">
        <v>33</v>
      </c>
      <c r="F1135" s="20"/>
      <c r="G1135" s="21" t="s">
        <v>2481</v>
      </c>
      <c r="H1135" s="21"/>
      <c r="I1135" s="21"/>
      <c r="J1135" s="3" t="s">
        <v>35</v>
      </c>
      <c r="K1135" s="4" t="s">
        <v>2530</v>
      </c>
      <c r="N1135" s="21" t="s">
        <v>2531</v>
      </c>
      <c r="O1135" s="21"/>
      <c r="P1135" s="21" t="s">
        <v>2532</v>
      </c>
      <c r="Q1135" s="21"/>
      <c r="R1135" s="21"/>
      <c r="S1135" s="3" t="s">
        <v>40</v>
      </c>
      <c r="T1135" s="21" t="s">
        <v>2533</v>
      </c>
      <c r="U1135" s="21"/>
      <c r="V1135" s="4" t="s">
        <v>42</v>
      </c>
      <c r="W1135" s="4" t="s">
        <v>381</v>
      </c>
      <c r="X1135" s="4" t="s">
        <v>382</v>
      </c>
      <c r="Y1135" s="21" t="s">
        <v>398</v>
      </c>
      <c r="Z1135" s="21"/>
      <c r="AA1135" s="4" t="s">
        <v>46</v>
      </c>
      <c r="AB1135" s="4" t="s">
        <v>117</v>
      </c>
      <c r="AC1135" s="4" t="s">
        <v>399</v>
      </c>
      <c r="AD1135" s="4" t="s">
        <v>2534</v>
      </c>
      <c r="AE1135" s="4" t="s">
        <v>48</v>
      </c>
      <c r="AF1135" s="4" t="s">
        <v>41</v>
      </c>
      <c r="AG1135" s="4" t="s">
        <v>2485</v>
      </c>
    </row>
    <row r="1136" spans="1:33" ht="16.5" customHeight="1" x14ac:dyDescent="0.2">
      <c r="A1136" s="2" t="s">
        <v>31</v>
      </c>
      <c r="B1136" s="19" t="s">
        <v>50</v>
      </c>
      <c r="C1136" s="19"/>
      <c r="D1136" s="19"/>
      <c r="E1136" s="20" t="s">
        <v>33</v>
      </c>
      <c r="F1136" s="20"/>
      <c r="G1136" s="21" t="s">
        <v>2535</v>
      </c>
      <c r="H1136" s="21"/>
      <c r="I1136" s="21"/>
      <c r="J1136" s="3" t="s">
        <v>35</v>
      </c>
      <c r="K1136" s="4" t="s">
        <v>661</v>
      </c>
      <c r="L1136" s="4" t="s">
        <v>445</v>
      </c>
      <c r="N1136" s="21" t="s">
        <v>2536</v>
      </c>
      <c r="O1136" s="21"/>
      <c r="P1136" s="21" t="s">
        <v>2537</v>
      </c>
      <c r="Q1136" s="21"/>
      <c r="R1136" s="21"/>
      <c r="S1136" s="3" t="s">
        <v>40</v>
      </c>
      <c r="T1136" s="21" t="s">
        <v>41</v>
      </c>
      <c r="U1136" s="21"/>
      <c r="V1136" s="4" t="s">
        <v>42</v>
      </c>
      <c r="W1136" s="4" t="s">
        <v>43</v>
      </c>
      <c r="X1136" s="4" t="s">
        <v>44</v>
      </c>
      <c r="Y1136" s="21" t="s">
        <v>198</v>
      </c>
      <c r="Z1136" s="21"/>
      <c r="AA1136" s="4" t="s">
        <v>46</v>
      </c>
      <c r="AB1136" s="4" t="s">
        <v>47</v>
      </c>
      <c r="AC1136" s="4" t="s">
        <v>257</v>
      </c>
      <c r="AD1136" s="4" t="s">
        <v>69</v>
      </c>
      <c r="AE1136" s="4" t="s">
        <v>48</v>
      </c>
      <c r="AF1136" s="4" t="s">
        <v>41</v>
      </c>
      <c r="AG1136" s="4" t="s">
        <v>2538</v>
      </c>
    </row>
    <row r="1137" spans="1:33" ht="16.5" customHeight="1" x14ac:dyDescent="0.2">
      <c r="A1137" s="2" t="s">
        <v>31</v>
      </c>
      <c r="B1137" s="19" t="s">
        <v>50</v>
      </c>
      <c r="C1137" s="19"/>
      <c r="D1137" s="19"/>
      <c r="E1137" s="20" t="s">
        <v>33</v>
      </c>
      <c r="F1137" s="20"/>
      <c r="G1137" s="21" t="s">
        <v>2535</v>
      </c>
      <c r="H1137" s="21"/>
      <c r="I1137" s="21"/>
      <c r="J1137" s="3" t="s">
        <v>35</v>
      </c>
      <c r="K1137" s="4" t="s">
        <v>661</v>
      </c>
      <c r="L1137" s="4" t="s">
        <v>445</v>
      </c>
      <c r="N1137" s="21" t="s">
        <v>2536</v>
      </c>
      <c r="O1137" s="21"/>
      <c r="P1137" s="21" t="s">
        <v>2537</v>
      </c>
      <c r="Q1137" s="21"/>
      <c r="R1137" s="21"/>
      <c r="S1137" s="3" t="s">
        <v>40</v>
      </c>
      <c r="T1137" s="21" t="s">
        <v>41</v>
      </c>
      <c r="U1137" s="21"/>
      <c r="V1137" s="4" t="s">
        <v>59</v>
      </c>
      <c r="W1137" s="4" t="s">
        <v>43</v>
      </c>
      <c r="X1137" s="4" t="s">
        <v>319</v>
      </c>
      <c r="Y1137" s="21" t="s">
        <v>198</v>
      </c>
      <c r="Z1137" s="21"/>
      <c r="AA1137" s="4" t="s">
        <v>46</v>
      </c>
      <c r="AB1137" s="4" t="s">
        <v>47</v>
      </c>
      <c r="AC1137" s="4" t="s">
        <v>257</v>
      </c>
      <c r="AD1137" s="4" t="s">
        <v>69</v>
      </c>
      <c r="AE1137" s="4" t="s">
        <v>48</v>
      </c>
      <c r="AF1137" s="4" t="s">
        <v>41</v>
      </c>
      <c r="AG1137" s="4" t="s">
        <v>2538</v>
      </c>
    </row>
    <row r="1138" spans="1:33" ht="16.5" customHeight="1" x14ac:dyDescent="0.2">
      <c r="A1138" s="2" t="s">
        <v>31</v>
      </c>
      <c r="B1138" s="19" t="s">
        <v>50</v>
      </c>
      <c r="C1138" s="19"/>
      <c r="D1138" s="19"/>
      <c r="E1138" s="20" t="s">
        <v>33</v>
      </c>
      <c r="F1138" s="20"/>
      <c r="G1138" s="21" t="s">
        <v>2535</v>
      </c>
      <c r="H1138" s="21"/>
      <c r="I1138" s="21"/>
      <c r="J1138" s="3" t="s">
        <v>35</v>
      </c>
      <c r="K1138" s="4" t="s">
        <v>661</v>
      </c>
      <c r="L1138" s="4" t="s">
        <v>37</v>
      </c>
      <c r="N1138" s="21" t="s">
        <v>2539</v>
      </c>
      <c r="O1138" s="21"/>
      <c r="P1138" s="21" t="s">
        <v>2540</v>
      </c>
      <c r="Q1138" s="21"/>
      <c r="R1138" s="21"/>
      <c r="S1138" s="3" t="s">
        <v>40</v>
      </c>
      <c r="T1138" s="21" t="s">
        <v>41</v>
      </c>
      <c r="U1138" s="21"/>
      <c r="V1138" s="4" t="s">
        <v>42</v>
      </c>
      <c r="W1138" s="4" t="s">
        <v>213</v>
      </c>
      <c r="X1138" s="4" t="s">
        <v>531</v>
      </c>
      <c r="Y1138" s="21" t="s">
        <v>198</v>
      </c>
      <c r="Z1138" s="21"/>
      <c r="AA1138" s="4" t="s">
        <v>46</v>
      </c>
      <c r="AB1138" s="4" t="s">
        <v>47</v>
      </c>
      <c r="AC1138" s="4" t="s">
        <v>257</v>
      </c>
      <c r="AD1138" s="4" t="s">
        <v>258</v>
      </c>
      <c r="AE1138" s="4" t="s">
        <v>48</v>
      </c>
      <c r="AF1138" s="4" t="s">
        <v>41</v>
      </c>
      <c r="AG1138" s="4" t="s">
        <v>2538</v>
      </c>
    </row>
    <row r="1139" spans="1:33" ht="0.75" customHeight="1" x14ac:dyDescent="0.2"/>
    <row r="1140" spans="1:33" ht="12" customHeight="1" x14ac:dyDescent="0.2"/>
    <row r="1141" spans="1:33" ht="16.5" customHeight="1" x14ac:dyDescent="0.2">
      <c r="A1141" s="2" t="s">
        <v>31</v>
      </c>
      <c r="B1141" s="19" t="s">
        <v>50</v>
      </c>
      <c r="C1141" s="19"/>
      <c r="D1141" s="19"/>
      <c r="E1141" s="20" t="s">
        <v>33</v>
      </c>
      <c r="F1141" s="20"/>
      <c r="G1141" s="21" t="s">
        <v>2535</v>
      </c>
      <c r="H1141" s="21"/>
      <c r="I1141" s="21"/>
      <c r="J1141" s="3" t="s">
        <v>35</v>
      </c>
      <c r="K1141" s="4" t="s">
        <v>247</v>
      </c>
      <c r="L1141" s="4" t="s">
        <v>37</v>
      </c>
      <c r="N1141" s="21" t="s">
        <v>2541</v>
      </c>
      <c r="O1141" s="21"/>
      <c r="P1141" s="21" t="s">
        <v>2542</v>
      </c>
      <c r="Q1141" s="21"/>
      <c r="R1141" s="21"/>
      <c r="S1141" s="3" t="s">
        <v>40</v>
      </c>
      <c r="T1141" s="21" t="s">
        <v>41</v>
      </c>
      <c r="U1141" s="21"/>
      <c r="V1141" s="4" t="s">
        <v>42</v>
      </c>
      <c r="W1141" s="4" t="s">
        <v>43</v>
      </c>
      <c r="X1141" s="4" t="s">
        <v>44</v>
      </c>
      <c r="Y1141" s="21" t="s">
        <v>65</v>
      </c>
      <c r="Z1141" s="21"/>
      <c r="AA1141" s="4" t="s">
        <v>46</v>
      </c>
      <c r="AB1141" s="4" t="s">
        <v>47</v>
      </c>
      <c r="AC1141" s="4" t="s">
        <v>57</v>
      </c>
      <c r="AD1141" s="4" t="s">
        <v>58</v>
      </c>
      <c r="AE1141" s="4" t="s">
        <v>48</v>
      </c>
      <c r="AF1141" s="4" t="s">
        <v>41</v>
      </c>
      <c r="AG1141" s="4" t="s">
        <v>2538</v>
      </c>
    </row>
    <row r="1142" spans="1:33" ht="16.5" customHeight="1" x14ac:dyDescent="0.2">
      <c r="A1142" s="2" t="s">
        <v>31</v>
      </c>
      <c r="B1142" s="19" t="s">
        <v>50</v>
      </c>
      <c r="C1142" s="19"/>
      <c r="D1142" s="19"/>
      <c r="E1142" s="20" t="s">
        <v>33</v>
      </c>
      <c r="F1142" s="20"/>
      <c r="G1142" s="21" t="s">
        <v>2535</v>
      </c>
      <c r="H1142" s="21"/>
      <c r="I1142" s="21"/>
      <c r="J1142" s="3" t="s">
        <v>35</v>
      </c>
      <c r="K1142" s="4" t="s">
        <v>99</v>
      </c>
      <c r="L1142" s="4" t="s">
        <v>37</v>
      </c>
      <c r="N1142" s="21" t="s">
        <v>2543</v>
      </c>
      <c r="O1142" s="21"/>
      <c r="P1142" s="21" t="s">
        <v>2544</v>
      </c>
      <c r="Q1142" s="21"/>
      <c r="R1142" s="21"/>
      <c r="S1142" s="3" t="s">
        <v>40</v>
      </c>
      <c r="T1142" s="21" t="s">
        <v>41</v>
      </c>
      <c r="U1142" s="21"/>
      <c r="V1142" s="4" t="s">
        <v>42</v>
      </c>
      <c r="W1142" s="4" t="s">
        <v>54</v>
      </c>
      <c r="X1142" s="4" t="s">
        <v>55</v>
      </c>
      <c r="Y1142" s="21" t="s">
        <v>56</v>
      </c>
      <c r="Z1142" s="21"/>
      <c r="AA1142" s="4" t="s">
        <v>46</v>
      </c>
      <c r="AB1142" s="4" t="s">
        <v>47</v>
      </c>
      <c r="AC1142" s="4" t="s">
        <v>57</v>
      </c>
      <c r="AD1142" s="4" t="s">
        <v>58</v>
      </c>
      <c r="AE1142" s="4" t="s">
        <v>48</v>
      </c>
      <c r="AF1142" s="4" t="s">
        <v>41</v>
      </c>
      <c r="AG1142" s="4" t="s">
        <v>2538</v>
      </c>
    </row>
    <row r="1143" spans="1:33" ht="16.5" customHeight="1" x14ac:dyDescent="0.2">
      <c r="A1143" s="2" t="s">
        <v>31</v>
      </c>
      <c r="B1143" s="19" t="s">
        <v>50</v>
      </c>
      <c r="C1143" s="19"/>
      <c r="D1143" s="19"/>
      <c r="E1143" s="20" t="s">
        <v>33</v>
      </c>
      <c r="F1143" s="20"/>
      <c r="G1143" s="21" t="s">
        <v>2535</v>
      </c>
      <c r="H1143" s="21"/>
      <c r="I1143" s="21"/>
      <c r="J1143" s="3" t="s">
        <v>35</v>
      </c>
      <c r="K1143" s="4" t="s">
        <v>74</v>
      </c>
      <c r="L1143" s="4" t="s">
        <v>37</v>
      </c>
      <c r="N1143" s="21" t="s">
        <v>2545</v>
      </c>
      <c r="O1143" s="21"/>
      <c r="P1143" s="21" t="s">
        <v>2546</v>
      </c>
      <c r="Q1143" s="21"/>
      <c r="R1143" s="21"/>
      <c r="S1143" s="3" t="s">
        <v>40</v>
      </c>
      <c r="T1143" s="21" t="s">
        <v>41</v>
      </c>
      <c r="U1143" s="21"/>
      <c r="V1143" s="4" t="s">
        <v>42</v>
      </c>
      <c r="W1143" s="4" t="s">
        <v>54</v>
      </c>
      <c r="X1143" s="4" t="s">
        <v>55</v>
      </c>
      <c r="Y1143" s="21" t="s">
        <v>65</v>
      </c>
      <c r="Z1143" s="21"/>
      <c r="AA1143" s="4" t="s">
        <v>46</v>
      </c>
      <c r="AB1143" s="4" t="s">
        <v>47</v>
      </c>
      <c r="AC1143" s="4" t="s">
        <v>66</v>
      </c>
      <c r="AD1143" s="4" t="s">
        <v>73</v>
      </c>
      <c r="AE1143" s="4" t="s">
        <v>48</v>
      </c>
      <c r="AF1143" s="4" t="s">
        <v>41</v>
      </c>
      <c r="AG1143" s="4" t="s">
        <v>2538</v>
      </c>
    </row>
    <row r="1144" spans="1:33" ht="16.5" customHeight="1" x14ac:dyDescent="0.2">
      <c r="A1144" s="2" t="s">
        <v>31</v>
      </c>
      <c r="B1144" s="19" t="s">
        <v>50</v>
      </c>
      <c r="C1144" s="19"/>
      <c r="D1144" s="19"/>
      <c r="E1144" s="20" t="s">
        <v>33</v>
      </c>
      <c r="F1144" s="20"/>
      <c r="G1144" s="21" t="s">
        <v>2535</v>
      </c>
      <c r="H1144" s="21"/>
      <c r="I1144" s="21"/>
      <c r="J1144" s="3" t="s">
        <v>35</v>
      </c>
      <c r="K1144" s="4" t="s">
        <v>247</v>
      </c>
      <c r="L1144" s="4" t="s">
        <v>37</v>
      </c>
      <c r="N1144" s="21" t="s">
        <v>2547</v>
      </c>
      <c r="O1144" s="21"/>
      <c r="P1144" s="21" t="s">
        <v>2548</v>
      </c>
      <c r="Q1144" s="21"/>
      <c r="R1144" s="21"/>
      <c r="S1144" s="3" t="s">
        <v>40</v>
      </c>
      <c r="T1144" s="21" t="s">
        <v>41</v>
      </c>
      <c r="U1144" s="21"/>
      <c r="V1144" s="4" t="s">
        <v>42</v>
      </c>
      <c r="W1144" s="4" t="s">
        <v>54</v>
      </c>
      <c r="X1144" s="4" t="s">
        <v>55</v>
      </c>
      <c r="Y1144" s="21" t="s">
        <v>65</v>
      </c>
      <c r="Z1144" s="21"/>
      <c r="AA1144" s="4" t="s">
        <v>46</v>
      </c>
      <c r="AB1144" s="4" t="s">
        <v>47</v>
      </c>
      <c r="AC1144" s="4" t="s">
        <v>66</v>
      </c>
      <c r="AD1144" s="4" t="s">
        <v>73</v>
      </c>
      <c r="AE1144" s="4" t="s">
        <v>48</v>
      </c>
      <c r="AF1144" s="4" t="s">
        <v>41</v>
      </c>
      <c r="AG1144" s="4" t="s">
        <v>2538</v>
      </c>
    </row>
    <row r="1145" spans="1:33" ht="16.5" customHeight="1" x14ac:dyDescent="0.2">
      <c r="A1145" s="2" t="s">
        <v>31</v>
      </c>
      <c r="B1145" s="19" t="s">
        <v>50</v>
      </c>
      <c r="C1145" s="19"/>
      <c r="D1145" s="19"/>
      <c r="E1145" s="20" t="s">
        <v>33</v>
      </c>
      <c r="F1145" s="20"/>
      <c r="G1145" s="21" t="s">
        <v>2535</v>
      </c>
      <c r="H1145" s="21"/>
      <c r="I1145" s="21"/>
      <c r="J1145" s="3" t="s">
        <v>35</v>
      </c>
      <c r="K1145" s="4" t="s">
        <v>247</v>
      </c>
      <c r="L1145" s="4" t="s">
        <v>37</v>
      </c>
      <c r="N1145" s="21" t="s">
        <v>2547</v>
      </c>
      <c r="O1145" s="21"/>
      <c r="P1145" s="21" t="s">
        <v>2548</v>
      </c>
      <c r="Q1145" s="21"/>
      <c r="R1145" s="21"/>
      <c r="S1145" s="3" t="s">
        <v>40</v>
      </c>
      <c r="T1145" s="21" t="s">
        <v>41</v>
      </c>
      <c r="U1145" s="21"/>
      <c r="V1145" s="4" t="s">
        <v>59</v>
      </c>
      <c r="W1145" s="4" t="s">
        <v>54</v>
      </c>
      <c r="X1145" s="4" t="s">
        <v>60</v>
      </c>
      <c r="Y1145" s="21" t="s">
        <v>65</v>
      </c>
      <c r="Z1145" s="21"/>
      <c r="AA1145" s="4" t="s">
        <v>46</v>
      </c>
      <c r="AB1145" s="4" t="s">
        <v>47</v>
      </c>
      <c r="AC1145" s="4" t="s">
        <v>66</v>
      </c>
      <c r="AD1145" s="4" t="s">
        <v>73</v>
      </c>
      <c r="AE1145" s="4" t="s">
        <v>48</v>
      </c>
      <c r="AF1145" s="4" t="s">
        <v>41</v>
      </c>
      <c r="AG1145" s="4" t="s">
        <v>2538</v>
      </c>
    </row>
    <row r="1146" spans="1:33" ht="16.5" customHeight="1" x14ac:dyDescent="0.2">
      <c r="A1146" s="2" t="s">
        <v>31</v>
      </c>
      <c r="B1146" s="19" t="s">
        <v>50</v>
      </c>
      <c r="C1146" s="19"/>
      <c r="D1146" s="19"/>
      <c r="E1146" s="20" t="s">
        <v>33</v>
      </c>
      <c r="F1146" s="20"/>
      <c r="G1146" s="21" t="s">
        <v>2535</v>
      </c>
      <c r="H1146" s="21"/>
      <c r="I1146" s="21"/>
      <c r="J1146" s="3" t="s">
        <v>35</v>
      </c>
      <c r="K1146" s="4" t="s">
        <v>204</v>
      </c>
      <c r="L1146" s="4" t="s">
        <v>37</v>
      </c>
      <c r="N1146" s="21" t="s">
        <v>2549</v>
      </c>
      <c r="O1146" s="21"/>
      <c r="P1146" s="21" t="s">
        <v>2550</v>
      </c>
      <c r="Q1146" s="21"/>
      <c r="R1146" s="21"/>
      <c r="S1146" s="3" t="s">
        <v>40</v>
      </c>
      <c r="T1146" s="21" t="s">
        <v>41</v>
      </c>
      <c r="U1146" s="21"/>
      <c r="V1146" s="4" t="s">
        <v>42</v>
      </c>
      <c r="W1146" s="4" t="s">
        <v>54</v>
      </c>
      <c r="X1146" s="4" t="s">
        <v>55</v>
      </c>
      <c r="Y1146" s="21" t="s">
        <v>198</v>
      </c>
      <c r="Z1146" s="21"/>
      <c r="AA1146" s="4" t="s">
        <v>46</v>
      </c>
      <c r="AB1146" s="4" t="s">
        <v>47</v>
      </c>
      <c r="AC1146" s="4" t="s">
        <v>139</v>
      </c>
      <c r="AD1146" s="4" t="s">
        <v>140</v>
      </c>
      <c r="AE1146" s="4" t="s">
        <v>48</v>
      </c>
      <c r="AF1146" s="4" t="s">
        <v>41</v>
      </c>
      <c r="AG1146" s="4" t="s">
        <v>2538</v>
      </c>
    </row>
    <row r="1147" spans="1:33" ht="16.5" customHeight="1" x14ac:dyDescent="0.2">
      <c r="A1147" s="2" t="s">
        <v>31</v>
      </c>
      <c r="B1147" s="19" t="s">
        <v>50</v>
      </c>
      <c r="C1147" s="19"/>
      <c r="D1147" s="19"/>
      <c r="E1147" s="20" t="s">
        <v>33</v>
      </c>
      <c r="F1147" s="20"/>
      <c r="G1147" s="21" t="s">
        <v>2535</v>
      </c>
      <c r="H1147" s="21"/>
      <c r="I1147" s="21"/>
      <c r="J1147" s="3" t="s">
        <v>35</v>
      </c>
      <c r="K1147" s="4" t="s">
        <v>661</v>
      </c>
      <c r="L1147" s="4" t="s">
        <v>37</v>
      </c>
      <c r="N1147" s="21" t="s">
        <v>2551</v>
      </c>
      <c r="O1147" s="21"/>
      <c r="P1147" s="21" t="s">
        <v>2552</v>
      </c>
      <c r="Q1147" s="21"/>
      <c r="R1147" s="21"/>
      <c r="S1147" s="3" t="s">
        <v>40</v>
      </c>
      <c r="T1147" s="21" t="s">
        <v>41</v>
      </c>
      <c r="U1147" s="21"/>
      <c r="V1147" s="4" t="s">
        <v>42</v>
      </c>
      <c r="W1147" s="4" t="s">
        <v>54</v>
      </c>
      <c r="X1147" s="4" t="s">
        <v>55</v>
      </c>
      <c r="Y1147" s="21" t="s">
        <v>198</v>
      </c>
      <c r="Z1147" s="21"/>
      <c r="AA1147" s="4" t="s">
        <v>46</v>
      </c>
      <c r="AB1147" s="4" t="s">
        <v>47</v>
      </c>
      <c r="AC1147" s="4" t="s">
        <v>139</v>
      </c>
      <c r="AD1147" s="4" t="s">
        <v>140</v>
      </c>
      <c r="AE1147" s="4" t="s">
        <v>48</v>
      </c>
      <c r="AF1147" s="4" t="s">
        <v>41</v>
      </c>
      <c r="AG1147" s="4" t="s">
        <v>2538</v>
      </c>
    </row>
    <row r="1148" spans="1:33" ht="16.5" customHeight="1" x14ac:dyDescent="0.2">
      <c r="A1148" s="2" t="s">
        <v>31</v>
      </c>
      <c r="B1148" s="19" t="s">
        <v>50</v>
      </c>
      <c r="C1148" s="19"/>
      <c r="D1148" s="19"/>
      <c r="E1148" s="20" t="s">
        <v>33</v>
      </c>
      <c r="F1148" s="20"/>
      <c r="G1148" s="21" t="s">
        <v>2535</v>
      </c>
      <c r="H1148" s="21"/>
      <c r="I1148" s="21"/>
      <c r="J1148" s="3" t="s">
        <v>35</v>
      </c>
      <c r="K1148" s="4" t="s">
        <v>661</v>
      </c>
      <c r="L1148" s="4" t="s">
        <v>37</v>
      </c>
      <c r="N1148" s="21" t="s">
        <v>2553</v>
      </c>
      <c r="O1148" s="21"/>
      <c r="P1148" s="21" t="s">
        <v>2554</v>
      </c>
      <c r="Q1148" s="21"/>
      <c r="R1148" s="21"/>
      <c r="S1148" s="3" t="s">
        <v>40</v>
      </c>
      <c r="T1148" s="21" t="s">
        <v>41</v>
      </c>
      <c r="U1148" s="21"/>
      <c r="V1148" s="4" t="s">
        <v>42</v>
      </c>
      <c r="W1148" s="4" t="s">
        <v>54</v>
      </c>
      <c r="X1148" s="4" t="s">
        <v>55</v>
      </c>
      <c r="Y1148" s="21" t="s">
        <v>198</v>
      </c>
      <c r="Z1148" s="21"/>
      <c r="AA1148" s="4" t="s">
        <v>46</v>
      </c>
      <c r="AB1148" s="4" t="s">
        <v>47</v>
      </c>
      <c r="AC1148" s="4" t="s">
        <v>139</v>
      </c>
      <c r="AD1148" s="4" t="s">
        <v>140</v>
      </c>
      <c r="AE1148" s="4" t="s">
        <v>48</v>
      </c>
      <c r="AF1148" s="4" t="s">
        <v>41</v>
      </c>
      <c r="AG1148" s="4" t="s">
        <v>2538</v>
      </c>
    </row>
    <row r="1149" spans="1:33" ht="16.5" customHeight="1" x14ac:dyDescent="0.2">
      <c r="A1149" s="2" t="s">
        <v>31</v>
      </c>
      <c r="B1149" s="19" t="s">
        <v>50</v>
      </c>
      <c r="C1149" s="19"/>
      <c r="D1149" s="19"/>
      <c r="E1149" s="20" t="s">
        <v>33</v>
      </c>
      <c r="F1149" s="20"/>
      <c r="G1149" s="21" t="s">
        <v>2535</v>
      </c>
      <c r="H1149" s="21"/>
      <c r="I1149" s="21"/>
      <c r="J1149" s="3" t="s">
        <v>35</v>
      </c>
      <c r="K1149" s="4" t="s">
        <v>661</v>
      </c>
      <c r="L1149" s="4" t="s">
        <v>278</v>
      </c>
      <c r="N1149" s="21" t="s">
        <v>2555</v>
      </c>
      <c r="O1149" s="21"/>
      <c r="P1149" s="21" t="s">
        <v>2556</v>
      </c>
      <c r="Q1149" s="21"/>
      <c r="R1149" s="21"/>
      <c r="S1149" s="3" t="s">
        <v>40</v>
      </c>
      <c r="T1149" s="21" t="s">
        <v>41</v>
      </c>
      <c r="U1149" s="21"/>
      <c r="V1149" s="4" t="s">
        <v>42</v>
      </c>
      <c r="W1149" s="4" t="s">
        <v>130</v>
      </c>
      <c r="X1149" s="4" t="s">
        <v>60</v>
      </c>
      <c r="Y1149" s="21" t="s">
        <v>198</v>
      </c>
      <c r="Z1149" s="21"/>
      <c r="AA1149" s="4" t="s">
        <v>46</v>
      </c>
      <c r="AB1149" s="4" t="s">
        <v>47</v>
      </c>
      <c r="AC1149" s="4" t="s">
        <v>139</v>
      </c>
      <c r="AD1149" s="4" t="s">
        <v>69</v>
      </c>
      <c r="AE1149" s="4" t="s">
        <v>48</v>
      </c>
      <c r="AF1149" s="4" t="s">
        <v>41</v>
      </c>
      <c r="AG1149" s="4" t="s">
        <v>2538</v>
      </c>
    </row>
    <row r="1150" spans="1:33" ht="16.5" customHeight="1" x14ac:dyDescent="0.2">
      <c r="A1150" s="2" t="s">
        <v>31</v>
      </c>
      <c r="B1150" s="19" t="s">
        <v>50</v>
      </c>
      <c r="C1150" s="19"/>
      <c r="D1150" s="19"/>
      <c r="E1150" s="20" t="s">
        <v>33</v>
      </c>
      <c r="F1150" s="20"/>
      <c r="G1150" s="21" t="s">
        <v>2535</v>
      </c>
      <c r="H1150" s="21"/>
      <c r="I1150" s="21"/>
      <c r="J1150" s="3" t="s">
        <v>35</v>
      </c>
      <c r="K1150" s="4" t="s">
        <v>82</v>
      </c>
      <c r="L1150" s="4" t="s">
        <v>37</v>
      </c>
      <c r="N1150" s="21" t="s">
        <v>2557</v>
      </c>
      <c r="O1150" s="21"/>
      <c r="P1150" s="21" t="s">
        <v>2558</v>
      </c>
      <c r="Q1150" s="21"/>
      <c r="R1150" s="21"/>
      <c r="S1150" s="3" t="s">
        <v>40</v>
      </c>
      <c r="T1150" s="21" t="s">
        <v>41</v>
      </c>
      <c r="U1150" s="21"/>
      <c r="V1150" s="4" t="s">
        <v>42</v>
      </c>
      <c r="W1150" s="4" t="s">
        <v>59</v>
      </c>
      <c r="X1150" s="4" t="s">
        <v>131</v>
      </c>
      <c r="Y1150" s="21" t="s">
        <v>56</v>
      </c>
      <c r="Z1150" s="21"/>
      <c r="AA1150" s="4" t="s">
        <v>46</v>
      </c>
      <c r="AB1150" s="4" t="s">
        <v>47</v>
      </c>
      <c r="AC1150" s="4" t="s">
        <v>57</v>
      </c>
      <c r="AD1150" s="4" t="s">
        <v>58</v>
      </c>
      <c r="AE1150" s="4" t="s">
        <v>48</v>
      </c>
      <c r="AF1150" s="4" t="s">
        <v>41</v>
      </c>
      <c r="AG1150" s="4" t="s">
        <v>2538</v>
      </c>
    </row>
    <row r="1151" spans="1:33" ht="16.5" customHeight="1" x14ac:dyDescent="0.2">
      <c r="A1151" s="2" t="s">
        <v>31</v>
      </c>
      <c r="B1151" s="19" t="s">
        <v>32</v>
      </c>
      <c r="C1151" s="19"/>
      <c r="D1151" s="19"/>
      <c r="E1151" s="20" t="s">
        <v>33</v>
      </c>
      <c r="F1151" s="20"/>
      <c r="G1151" s="21" t="s">
        <v>2559</v>
      </c>
      <c r="H1151" s="21"/>
      <c r="I1151" s="21"/>
      <c r="J1151" s="3" t="s">
        <v>35</v>
      </c>
      <c r="K1151" s="4" t="s">
        <v>665</v>
      </c>
      <c r="L1151" s="4" t="s">
        <v>37</v>
      </c>
      <c r="N1151" s="21" t="s">
        <v>2560</v>
      </c>
      <c r="O1151" s="21"/>
      <c r="P1151" s="21" t="s">
        <v>2561</v>
      </c>
      <c r="Q1151" s="21"/>
      <c r="R1151" s="21"/>
      <c r="S1151" s="3" t="s">
        <v>40</v>
      </c>
      <c r="T1151" s="21" t="s">
        <v>668</v>
      </c>
      <c r="U1151" s="21"/>
      <c r="V1151" s="4" t="s">
        <v>59</v>
      </c>
      <c r="W1151" s="4" t="s">
        <v>54</v>
      </c>
      <c r="X1151" s="4" t="s">
        <v>60</v>
      </c>
      <c r="Y1151" s="21" t="s">
        <v>673</v>
      </c>
      <c r="Z1151" s="21"/>
      <c r="AA1151" s="4" t="s">
        <v>46</v>
      </c>
      <c r="AB1151" s="4" t="s">
        <v>47</v>
      </c>
      <c r="AD1151" s="4" t="s">
        <v>41</v>
      </c>
      <c r="AE1151" s="4" t="s">
        <v>48</v>
      </c>
      <c r="AF1151" s="4" t="s">
        <v>41</v>
      </c>
      <c r="AG1151" s="4" t="s">
        <v>2562</v>
      </c>
    </row>
    <row r="1152" spans="1:33" ht="16.5" customHeight="1" x14ac:dyDescent="0.2">
      <c r="A1152" s="2" t="s">
        <v>31</v>
      </c>
      <c r="B1152" s="19" t="s">
        <v>32</v>
      </c>
      <c r="C1152" s="19"/>
      <c r="D1152" s="19"/>
      <c r="E1152" s="20" t="s">
        <v>33</v>
      </c>
      <c r="F1152" s="20"/>
      <c r="G1152" s="21" t="s">
        <v>2559</v>
      </c>
      <c r="H1152" s="21"/>
      <c r="I1152" s="21"/>
      <c r="J1152" s="3" t="s">
        <v>35</v>
      </c>
      <c r="K1152" s="4" t="s">
        <v>665</v>
      </c>
      <c r="L1152" s="4" t="s">
        <v>37</v>
      </c>
      <c r="N1152" s="21" t="s">
        <v>2563</v>
      </c>
      <c r="O1152" s="21"/>
      <c r="P1152" s="21" t="s">
        <v>2564</v>
      </c>
      <c r="Q1152" s="21"/>
      <c r="R1152" s="21"/>
      <c r="S1152" s="3" t="s">
        <v>40</v>
      </c>
      <c r="T1152" s="21" t="s">
        <v>668</v>
      </c>
      <c r="U1152" s="21"/>
      <c r="V1152" s="4" t="s">
        <v>59</v>
      </c>
      <c r="W1152" s="4" t="s">
        <v>77</v>
      </c>
      <c r="X1152" s="4" t="s">
        <v>311</v>
      </c>
      <c r="Y1152" s="21" t="s">
        <v>669</v>
      </c>
      <c r="Z1152" s="21"/>
      <c r="AA1152" s="4" t="s">
        <v>46</v>
      </c>
      <c r="AB1152" s="4" t="s">
        <v>47</v>
      </c>
      <c r="AD1152" s="4" t="s">
        <v>41</v>
      </c>
      <c r="AE1152" s="4" t="s">
        <v>48</v>
      </c>
      <c r="AF1152" s="4" t="s">
        <v>41</v>
      </c>
      <c r="AG1152" s="4" t="s">
        <v>2562</v>
      </c>
    </row>
    <row r="1153" spans="1:33" ht="16.5" customHeight="1" x14ac:dyDescent="0.2">
      <c r="A1153" s="2" t="s">
        <v>31</v>
      </c>
      <c r="B1153" s="19" t="s">
        <v>32</v>
      </c>
      <c r="C1153" s="19"/>
      <c r="D1153" s="19"/>
      <c r="E1153" s="20" t="s">
        <v>33</v>
      </c>
      <c r="F1153" s="20"/>
      <c r="G1153" s="21" t="s">
        <v>2559</v>
      </c>
      <c r="H1153" s="21"/>
      <c r="I1153" s="21"/>
      <c r="J1153" s="3" t="s">
        <v>35</v>
      </c>
      <c r="K1153" s="4" t="s">
        <v>665</v>
      </c>
      <c r="L1153" s="4" t="s">
        <v>37</v>
      </c>
      <c r="N1153" s="21" t="s">
        <v>2565</v>
      </c>
      <c r="O1153" s="21"/>
      <c r="P1153" s="21" t="s">
        <v>2566</v>
      </c>
      <c r="Q1153" s="21"/>
      <c r="R1153" s="21"/>
      <c r="S1153" s="3" t="s">
        <v>40</v>
      </c>
      <c r="T1153" s="21" t="s">
        <v>668</v>
      </c>
      <c r="U1153" s="21"/>
      <c r="V1153" s="4" t="s">
        <v>59</v>
      </c>
      <c r="W1153" s="4" t="s">
        <v>85</v>
      </c>
      <c r="X1153" s="4" t="s">
        <v>95</v>
      </c>
      <c r="Y1153" s="21" t="s">
        <v>669</v>
      </c>
      <c r="Z1153" s="21"/>
      <c r="AA1153" s="4" t="s">
        <v>46</v>
      </c>
      <c r="AB1153" s="4" t="s">
        <v>47</v>
      </c>
      <c r="AD1153" s="4" t="s">
        <v>41</v>
      </c>
      <c r="AE1153" s="4" t="s">
        <v>48</v>
      </c>
      <c r="AF1153" s="4" t="s">
        <v>41</v>
      </c>
      <c r="AG1153" s="4" t="s">
        <v>2562</v>
      </c>
    </row>
    <row r="1154" spans="1:33" ht="16.5" customHeight="1" x14ac:dyDescent="0.2">
      <c r="A1154" s="2" t="s">
        <v>31</v>
      </c>
      <c r="B1154" s="19" t="s">
        <v>50</v>
      </c>
      <c r="C1154" s="19"/>
      <c r="D1154" s="19"/>
      <c r="E1154" s="20" t="s">
        <v>33</v>
      </c>
      <c r="F1154" s="20"/>
      <c r="G1154" s="21" t="s">
        <v>2559</v>
      </c>
      <c r="H1154" s="21"/>
      <c r="I1154" s="21"/>
      <c r="J1154" s="3" t="s">
        <v>35</v>
      </c>
      <c r="K1154" s="4" t="s">
        <v>169</v>
      </c>
      <c r="L1154" s="4" t="s">
        <v>37</v>
      </c>
      <c r="N1154" s="21" t="s">
        <v>2567</v>
      </c>
      <c r="O1154" s="21"/>
      <c r="P1154" s="21" t="s">
        <v>2568</v>
      </c>
      <c r="Q1154" s="21"/>
      <c r="R1154" s="21"/>
      <c r="S1154" s="3" t="s">
        <v>40</v>
      </c>
      <c r="T1154" s="21" t="s">
        <v>41</v>
      </c>
      <c r="U1154" s="21"/>
      <c r="V1154" s="4" t="s">
        <v>59</v>
      </c>
      <c r="W1154" s="4" t="s">
        <v>229</v>
      </c>
      <c r="X1154" s="4" t="s">
        <v>230</v>
      </c>
      <c r="Y1154" s="21" t="s">
        <v>56</v>
      </c>
      <c r="Z1154" s="21"/>
      <c r="AA1154" s="4" t="s">
        <v>46</v>
      </c>
      <c r="AB1154" s="4" t="s">
        <v>47</v>
      </c>
      <c r="AC1154" s="4" t="s">
        <v>139</v>
      </c>
      <c r="AD1154" s="4" t="s">
        <v>140</v>
      </c>
      <c r="AE1154" s="4" t="s">
        <v>48</v>
      </c>
      <c r="AF1154" s="4" t="s">
        <v>41</v>
      </c>
      <c r="AG1154" s="4" t="s">
        <v>2562</v>
      </c>
    </row>
    <row r="1155" spans="1:33" ht="16.5" customHeight="1" x14ac:dyDescent="0.2">
      <c r="A1155" s="2" t="s">
        <v>31</v>
      </c>
      <c r="B1155" s="19" t="s">
        <v>50</v>
      </c>
      <c r="C1155" s="19"/>
      <c r="D1155" s="19"/>
      <c r="E1155" s="20" t="s">
        <v>33</v>
      </c>
      <c r="F1155" s="20"/>
      <c r="G1155" s="21" t="s">
        <v>2559</v>
      </c>
      <c r="H1155" s="21"/>
      <c r="I1155" s="21"/>
      <c r="J1155" s="3" t="s">
        <v>35</v>
      </c>
      <c r="K1155" s="4" t="s">
        <v>383</v>
      </c>
      <c r="L1155" s="4" t="s">
        <v>278</v>
      </c>
      <c r="N1155" s="21" t="s">
        <v>2569</v>
      </c>
      <c r="O1155" s="21"/>
      <c r="P1155" s="21" t="s">
        <v>2570</v>
      </c>
      <c r="Q1155" s="21"/>
      <c r="R1155" s="21"/>
      <c r="S1155" s="3" t="s">
        <v>40</v>
      </c>
      <c r="T1155" s="21" t="s">
        <v>41</v>
      </c>
      <c r="U1155" s="21"/>
      <c r="V1155" s="4" t="s">
        <v>42</v>
      </c>
      <c r="W1155" s="4" t="s">
        <v>165</v>
      </c>
      <c r="X1155" s="4" t="s">
        <v>166</v>
      </c>
      <c r="Y1155" s="21" t="s">
        <v>198</v>
      </c>
      <c r="Z1155" s="21"/>
      <c r="AA1155" s="4" t="s">
        <v>46</v>
      </c>
      <c r="AB1155" s="4" t="s">
        <v>47</v>
      </c>
      <c r="AC1155" s="4" t="s">
        <v>257</v>
      </c>
      <c r="AD1155" s="4" t="s">
        <v>1072</v>
      </c>
      <c r="AE1155" s="4" t="s">
        <v>48</v>
      </c>
      <c r="AF1155" s="4" t="s">
        <v>41</v>
      </c>
      <c r="AG1155" s="4" t="s">
        <v>2562</v>
      </c>
    </row>
    <row r="1156" spans="1:33" ht="16.5" customHeight="1" x14ac:dyDescent="0.2">
      <c r="A1156" s="2" t="s">
        <v>31</v>
      </c>
      <c r="B1156" s="19" t="s">
        <v>50</v>
      </c>
      <c r="C1156" s="19"/>
      <c r="D1156" s="19"/>
      <c r="E1156" s="20" t="s">
        <v>33</v>
      </c>
      <c r="F1156" s="20"/>
      <c r="G1156" s="21" t="s">
        <v>2559</v>
      </c>
      <c r="H1156" s="21"/>
      <c r="I1156" s="21"/>
      <c r="J1156" s="3" t="s">
        <v>35</v>
      </c>
      <c r="K1156" s="4" t="s">
        <v>383</v>
      </c>
      <c r="L1156" s="4" t="s">
        <v>68</v>
      </c>
      <c r="N1156" s="21" t="s">
        <v>2571</v>
      </c>
      <c r="O1156" s="21"/>
      <c r="P1156" s="21" t="s">
        <v>2572</v>
      </c>
      <c r="Q1156" s="21"/>
      <c r="R1156" s="21"/>
      <c r="S1156" s="3" t="s">
        <v>40</v>
      </c>
      <c r="T1156" s="21" t="s">
        <v>41</v>
      </c>
      <c r="U1156" s="21"/>
      <c r="V1156" s="4" t="s">
        <v>42</v>
      </c>
      <c r="W1156" s="4" t="s">
        <v>130</v>
      </c>
      <c r="X1156" s="4" t="s">
        <v>60</v>
      </c>
      <c r="Y1156" s="21" t="s">
        <v>198</v>
      </c>
      <c r="Z1156" s="21"/>
      <c r="AA1156" s="4" t="s">
        <v>46</v>
      </c>
      <c r="AB1156" s="4" t="s">
        <v>47</v>
      </c>
      <c r="AC1156" s="4" t="s">
        <v>139</v>
      </c>
      <c r="AD1156" s="4" t="s">
        <v>151</v>
      </c>
      <c r="AE1156" s="4" t="s">
        <v>48</v>
      </c>
      <c r="AF1156" s="4" t="s">
        <v>41</v>
      </c>
      <c r="AG1156" s="4" t="s">
        <v>2562</v>
      </c>
    </row>
    <row r="1157" spans="1:33" ht="16.5" customHeight="1" x14ac:dyDescent="0.2">
      <c r="A1157" s="2" t="s">
        <v>31</v>
      </c>
      <c r="B1157" s="19" t="s">
        <v>50</v>
      </c>
      <c r="C1157" s="19"/>
      <c r="D1157" s="19"/>
      <c r="E1157" s="20" t="s">
        <v>33</v>
      </c>
      <c r="F1157" s="20"/>
      <c r="G1157" s="21" t="s">
        <v>2559</v>
      </c>
      <c r="H1157" s="21"/>
      <c r="I1157" s="21"/>
      <c r="J1157" s="3" t="s">
        <v>35</v>
      </c>
      <c r="K1157" s="4" t="s">
        <v>413</v>
      </c>
      <c r="L1157" s="4" t="s">
        <v>37</v>
      </c>
      <c r="N1157" s="21" t="s">
        <v>2573</v>
      </c>
      <c r="O1157" s="21"/>
      <c r="P1157" s="21" t="s">
        <v>2574</v>
      </c>
      <c r="Q1157" s="21"/>
      <c r="R1157" s="21"/>
      <c r="S1157" s="3" t="s">
        <v>40</v>
      </c>
      <c r="T1157" s="21" t="s">
        <v>41</v>
      </c>
      <c r="U1157" s="21"/>
      <c r="V1157" s="4" t="s">
        <v>42</v>
      </c>
      <c r="W1157" s="4" t="s">
        <v>234</v>
      </c>
      <c r="X1157" s="4" t="s">
        <v>235</v>
      </c>
      <c r="Y1157" s="21" t="s">
        <v>198</v>
      </c>
      <c r="Z1157" s="21"/>
      <c r="AA1157" s="4" t="s">
        <v>46</v>
      </c>
      <c r="AB1157" s="4" t="s">
        <v>47</v>
      </c>
      <c r="AC1157" s="4" t="s">
        <v>257</v>
      </c>
      <c r="AD1157" s="4" t="s">
        <v>258</v>
      </c>
      <c r="AE1157" s="4" t="s">
        <v>48</v>
      </c>
      <c r="AF1157" s="4" t="s">
        <v>41</v>
      </c>
      <c r="AG1157" s="4" t="s">
        <v>2562</v>
      </c>
    </row>
    <row r="1158" spans="1:33" ht="16.5" customHeight="1" x14ac:dyDescent="0.2">
      <c r="A1158" s="2" t="s">
        <v>31</v>
      </c>
      <c r="B1158" s="19" t="s">
        <v>50</v>
      </c>
      <c r="C1158" s="19"/>
      <c r="D1158" s="19"/>
      <c r="E1158" s="20" t="s">
        <v>33</v>
      </c>
      <c r="F1158" s="20"/>
      <c r="G1158" s="21" t="s">
        <v>2559</v>
      </c>
      <c r="H1158" s="21"/>
      <c r="I1158" s="21"/>
      <c r="J1158" s="3" t="s">
        <v>35</v>
      </c>
      <c r="K1158" s="4" t="s">
        <v>123</v>
      </c>
      <c r="L1158" s="4" t="s">
        <v>37</v>
      </c>
      <c r="N1158" s="21" t="s">
        <v>2575</v>
      </c>
      <c r="O1158" s="21"/>
      <c r="P1158" s="21" t="s">
        <v>2576</v>
      </c>
      <c r="Q1158" s="21"/>
      <c r="R1158" s="21"/>
      <c r="S1158" s="3" t="s">
        <v>40</v>
      </c>
      <c r="T1158" s="21" t="s">
        <v>41</v>
      </c>
      <c r="U1158" s="21"/>
      <c r="V1158" s="4" t="s">
        <v>42</v>
      </c>
      <c r="W1158" s="4" t="s">
        <v>410</v>
      </c>
      <c r="X1158" s="4" t="s">
        <v>411</v>
      </c>
      <c r="Y1158" s="21" t="s">
        <v>65</v>
      </c>
      <c r="Z1158" s="21"/>
      <c r="AA1158" s="4" t="s">
        <v>46</v>
      </c>
      <c r="AB1158" s="4" t="s">
        <v>47</v>
      </c>
      <c r="AC1158" s="4" t="s">
        <v>81</v>
      </c>
      <c r="AD1158" s="4" t="s">
        <v>41</v>
      </c>
      <c r="AE1158" s="4" t="s">
        <v>48</v>
      </c>
      <c r="AF1158" s="4" t="s">
        <v>41</v>
      </c>
      <c r="AG1158" s="4" t="s">
        <v>2562</v>
      </c>
    </row>
    <row r="1159" spans="1:33" ht="16.5" customHeight="1" x14ac:dyDescent="0.2">
      <c r="A1159" s="2" t="s">
        <v>31</v>
      </c>
      <c r="B1159" s="19" t="s">
        <v>50</v>
      </c>
      <c r="C1159" s="19"/>
      <c r="D1159" s="19"/>
      <c r="E1159" s="20" t="s">
        <v>33</v>
      </c>
      <c r="F1159" s="20"/>
      <c r="G1159" s="21" t="s">
        <v>2559</v>
      </c>
      <c r="H1159" s="21"/>
      <c r="I1159" s="21"/>
      <c r="J1159" s="3" t="s">
        <v>35</v>
      </c>
      <c r="K1159" s="4" t="s">
        <v>120</v>
      </c>
      <c r="L1159" s="4" t="s">
        <v>37</v>
      </c>
      <c r="N1159" s="21" t="s">
        <v>2577</v>
      </c>
      <c r="O1159" s="21"/>
      <c r="P1159" s="21" t="s">
        <v>2578</v>
      </c>
      <c r="Q1159" s="21"/>
      <c r="R1159" s="21"/>
      <c r="S1159" s="3" t="s">
        <v>40</v>
      </c>
      <c r="T1159" s="21" t="s">
        <v>41</v>
      </c>
      <c r="U1159" s="21"/>
      <c r="V1159" s="4" t="s">
        <v>42</v>
      </c>
      <c r="W1159" s="4" t="s">
        <v>54</v>
      </c>
      <c r="X1159" s="4" t="s">
        <v>55</v>
      </c>
      <c r="Y1159" s="21" t="s">
        <v>65</v>
      </c>
      <c r="Z1159" s="21"/>
      <c r="AA1159" s="4" t="s">
        <v>46</v>
      </c>
      <c r="AB1159" s="4" t="s">
        <v>47</v>
      </c>
      <c r="AC1159" s="4" t="s">
        <v>66</v>
      </c>
      <c r="AD1159" s="4" t="s">
        <v>73</v>
      </c>
      <c r="AE1159" s="4" t="s">
        <v>48</v>
      </c>
      <c r="AF1159" s="4" t="s">
        <v>41</v>
      </c>
      <c r="AG1159" s="4" t="s">
        <v>2562</v>
      </c>
    </row>
    <row r="1160" spans="1:33" ht="16.5" customHeight="1" x14ac:dyDescent="0.2">
      <c r="A1160" s="2" t="s">
        <v>31</v>
      </c>
      <c r="B1160" s="19" t="s">
        <v>50</v>
      </c>
      <c r="C1160" s="19"/>
      <c r="D1160" s="19"/>
      <c r="E1160" s="20" t="s">
        <v>33</v>
      </c>
      <c r="F1160" s="20"/>
      <c r="G1160" s="21" t="s">
        <v>2559</v>
      </c>
      <c r="H1160" s="21"/>
      <c r="I1160" s="21"/>
      <c r="J1160" s="3" t="s">
        <v>35</v>
      </c>
      <c r="K1160" s="4" t="s">
        <v>247</v>
      </c>
      <c r="L1160" s="4" t="s">
        <v>68</v>
      </c>
      <c r="N1160" s="21" t="s">
        <v>2579</v>
      </c>
      <c r="O1160" s="21"/>
      <c r="P1160" s="21" t="s">
        <v>2580</v>
      </c>
      <c r="Q1160" s="21"/>
      <c r="R1160" s="21"/>
      <c r="S1160" s="3" t="s">
        <v>40</v>
      </c>
      <c r="T1160" s="21" t="s">
        <v>41</v>
      </c>
      <c r="U1160" s="21"/>
      <c r="V1160" s="4" t="s">
        <v>42</v>
      </c>
      <c r="W1160" s="4" t="s">
        <v>196</v>
      </c>
      <c r="X1160" s="4" t="s">
        <v>197</v>
      </c>
      <c r="Y1160" s="21" t="s">
        <v>65</v>
      </c>
      <c r="Z1160" s="21"/>
      <c r="AA1160" s="4" t="s">
        <v>46</v>
      </c>
      <c r="AB1160" s="4" t="s">
        <v>47</v>
      </c>
      <c r="AC1160" s="4" t="s">
        <v>81</v>
      </c>
      <c r="AD1160" s="4" t="s">
        <v>41</v>
      </c>
      <c r="AE1160" s="4" t="s">
        <v>48</v>
      </c>
      <c r="AF1160" s="4" t="s">
        <v>41</v>
      </c>
      <c r="AG1160" s="4" t="s">
        <v>2562</v>
      </c>
    </row>
    <row r="1161" spans="1:33" ht="16.5" customHeight="1" x14ac:dyDescent="0.2">
      <c r="A1161" s="2" t="s">
        <v>31</v>
      </c>
      <c r="B1161" s="19" t="s">
        <v>50</v>
      </c>
      <c r="C1161" s="19"/>
      <c r="D1161" s="19"/>
      <c r="E1161" s="20" t="s">
        <v>33</v>
      </c>
      <c r="F1161" s="20"/>
      <c r="G1161" s="21" t="s">
        <v>2559</v>
      </c>
      <c r="H1161" s="21"/>
      <c r="I1161" s="21"/>
      <c r="J1161" s="3" t="s">
        <v>35</v>
      </c>
      <c r="K1161" s="4" t="s">
        <v>74</v>
      </c>
      <c r="L1161" s="4" t="s">
        <v>37</v>
      </c>
      <c r="N1161" s="21" t="s">
        <v>2581</v>
      </c>
      <c r="O1161" s="21"/>
      <c r="P1161" s="21" t="s">
        <v>2582</v>
      </c>
      <c r="Q1161" s="21"/>
      <c r="R1161" s="21"/>
      <c r="S1161" s="3" t="s">
        <v>40</v>
      </c>
      <c r="T1161" s="21" t="s">
        <v>41</v>
      </c>
      <c r="U1161" s="21"/>
      <c r="V1161" s="4" t="s">
        <v>42</v>
      </c>
      <c r="W1161" s="4" t="s">
        <v>54</v>
      </c>
      <c r="X1161" s="4" t="s">
        <v>55</v>
      </c>
      <c r="Y1161" s="21" t="s">
        <v>65</v>
      </c>
      <c r="Z1161" s="21"/>
      <c r="AA1161" s="4" t="s">
        <v>46</v>
      </c>
      <c r="AB1161" s="4" t="s">
        <v>47</v>
      </c>
      <c r="AC1161" s="4" t="s">
        <v>66</v>
      </c>
      <c r="AD1161" s="4" t="s">
        <v>73</v>
      </c>
      <c r="AE1161" s="4" t="s">
        <v>48</v>
      </c>
      <c r="AF1161" s="4" t="s">
        <v>41</v>
      </c>
      <c r="AG1161" s="4" t="s">
        <v>2562</v>
      </c>
    </row>
    <row r="1162" spans="1:33" ht="16.5" customHeight="1" x14ac:dyDescent="0.2">
      <c r="A1162" s="2" t="s">
        <v>31</v>
      </c>
      <c r="B1162" s="19" t="s">
        <v>50</v>
      </c>
      <c r="C1162" s="19"/>
      <c r="D1162" s="19"/>
      <c r="E1162" s="20" t="s">
        <v>33</v>
      </c>
      <c r="F1162" s="20"/>
      <c r="G1162" s="21" t="s">
        <v>2559</v>
      </c>
      <c r="H1162" s="21"/>
      <c r="I1162" s="21"/>
      <c r="J1162" s="3" t="s">
        <v>35</v>
      </c>
      <c r="K1162" s="4" t="s">
        <v>413</v>
      </c>
      <c r="L1162" s="4" t="s">
        <v>37</v>
      </c>
      <c r="N1162" s="21" t="s">
        <v>2583</v>
      </c>
      <c r="O1162" s="21"/>
      <c r="P1162" s="21" t="s">
        <v>2584</v>
      </c>
      <c r="Q1162" s="21"/>
      <c r="R1162" s="21"/>
      <c r="S1162" s="3" t="s">
        <v>40</v>
      </c>
      <c r="T1162" s="21" t="s">
        <v>41</v>
      </c>
      <c r="U1162" s="21"/>
      <c r="V1162" s="4" t="s">
        <v>42</v>
      </c>
      <c r="W1162" s="4" t="s">
        <v>54</v>
      </c>
      <c r="X1162" s="4" t="s">
        <v>55</v>
      </c>
      <c r="Y1162" s="21" t="s">
        <v>198</v>
      </c>
      <c r="Z1162" s="21"/>
      <c r="AA1162" s="4" t="s">
        <v>46</v>
      </c>
      <c r="AB1162" s="4" t="s">
        <v>47</v>
      </c>
      <c r="AC1162" s="4" t="s">
        <v>139</v>
      </c>
      <c r="AD1162" s="4" t="s">
        <v>140</v>
      </c>
      <c r="AE1162" s="4" t="s">
        <v>48</v>
      </c>
      <c r="AF1162" s="4" t="s">
        <v>41</v>
      </c>
      <c r="AG1162" s="4" t="s">
        <v>2562</v>
      </c>
    </row>
    <row r="1163" spans="1:33" ht="16.5" customHeight="1" x14ac:dyDescent="0.2">
      <c r="A1163" s="2" t="s">
        <v>31</v>
      </c>
      <c r="B1163" s="19" t="s">
        <v>50</v>
      </c>
      <c r="C1163" s="19"/>
      <c r="D1163" s="19"/>
      <c r="E1163" s="20" t="s">
        <v>33</v>
      </c>
      <c r="F1163" s="20"/>
      <c r="G1163" s="21" t="s">
        <v>2559</v>
      </c>
      <c r="H1163" s="21"/>
      <c r="I1163" s="21"/>
      <c r="J1163" s="3" t="s">
        <v>35</v>
      </c>
      <c r="K1163" s="4" t="s">
        <v>265</v>
      </c>
      <c r="L1163" s="4" t="s">
        <v>37</v>
      </c>
      <c r="N1163" s="21" t="s">
        <v>2585</v>
      </c>
      <c r="O1163" s="21"/>
      <c r="P1163" s="21" t="s">
        <v>2586</v>
      </c>
      <c r="Q1163" s="21"/>
      <c r="R1163" s="21"/>
      <c r="S1163" s="3" t="s">
        <v>40</v>
      </c>
      <c r="T1163" s="21" t="s">
        <v>41</v>
      </c>
      <c r="U1163" s="21"/>
      <c r="V1163" s="4" t="s">
        <v>42</v>
      </c>
      <c r="W1163" s="4" t="s">
        <v>381</v>
      </c>
      <c r="X1163" s="4" t="s">
        <v>382</v>
      </c>
      <c r="Y1163" s="21" t="s">
        <v>56</v>
      </c>
      <c r="Z1163" s="21"/>
      <c r="AA1163" s="4" t="s">
        <v>46</v>
      </c>
      <c r="AB1163" s="4" t="s">
        <v>47</v>
      </c>
      <c r="AC1163" s="4" t="s">
        <v>57</v>
      </c>
      <c r="AD1163" s="4" t="s">
        <v>58</v>
      </c>
      <c r="AE1163" s="4" t="s">
        <v>48</v>
      </c>
      <c r="AF1163" s="4" t="s">
        <v>41</v>
      </c>
      <c r="AG1163" s="4" t="s">
        <v>2562</v>
      </c>
    </row>
    <row r="1164" spans="1:33" ht="16.5" customHeight="1" x14ac:dyDescent="0.2">
      <c r="A1164" s="2" t="s">
        <v>31</v>
      </c>
      <c r="B1164" s="19" t="s">
        <v>50</v>
      </c>
      <c r="C1164" s="19"/>
      <c r="D1164" s="19"/>
      <c r="E1164" s="20" t="s">
        <v>33</v>
      </c>
      <c r="F1164" s="20"/>
      <c r="G1164" s="21" t="s">
        <v>2559</v>
      </c>
      <c r="H1164" s="21"/>
      <c r="I1164" s="21"/>
      <c r="J1164" s="3" t="s">
        <v>35</v>
      </c>
      <c r="K1164" s="4" t="s">
        <v>152</v>
      </c>
      <c r="L1164" s="4" t="s">
        <v>445</v>
      </c>
      <c r="N1164" s="21" t="s">
        <v>2587</v>
      </c>
      <c r="O1164" s="21"/>
      <c r="P1164" s="21" t="s">
        <v>2588</v>
      </c>
      <c r="Q1164" s="21"/>
      <c r="R1164" s="21"/>
      <c r="S1164" s="3" t="s">
        <v>40</v>
      </c>
      <c r="T1164" s="21" t="s">
        <v>41</v>
      </c>
      <c r="U1164" s="21"/>
      <c r="V1164" s="4" t="s">
        <v>42</v>
      </c>
      <c r="W1164" s="4" t="s">
        <v>157</v>
      </c>
      <c r="X1164" s="4" t="s">
        <v>158</v>
      </c>
      <c r="Y1164" s="21" t="s">
        <v>56</v>
      </c>
      <c r="Z1164" s="21"/>
      <c r="AA1164" s="4" t="s">
        <v>46</v>
      </c>
      <c r="AB1164" s="4" t="s">
        <v>47</v>
      </c>
      <c r="AC1164" s="4" t="s">
        <v>139</v>
      </c>
      <c r="AD1164" s="4" t="s">
        <v>466</v>
      </c>
      <c r="AE1164" s="4" t="s">
        <v>48</v>
      </c>
      <c r="AF1164" s="4" t="s">
        <v>41</v>
      </c>
      <c r="AG1164" s="4" t="s">
        <v>2562</v>
      </c>
    </row>
    <row r="1165" spans="1:33" ht="16.5" customHeight="1" x14ac:dyDescent="0.2">
      <c r="A1165" s="2" t="s">
        <v>31</v>
      </c>
      <c r="B1165" s="19" t="s">
        <v>50</v>
      </c>
      <c r="C1165" s="19"/>
      <c r="D1165" s="19"/>
      <c r="E1165" s="20" t="s">
        <v>33</v>
      </c>
      <c r="F1165" s="20"/>
      <c r="G1165" s="21" t="s">
        <v>2559</v>
      </c>
      <c r="H1165" s="21"/>
      <c r="I1165" s="21"/>
      <c r="J1165" s="3" t="s">
        <v>35</v>
      </c>
      <c r="K1165" s="4" t="s">
        <v>152</v>
      </c>
      <c r="L1165" s="4" t="s">
        <v>37</v>
      </c>
      <c r="N1165" s="21" t="s">
        <v>2589</v>
      </c>
      <c r="O1165" s="21"/>
      <c r="P1165" s="21" t="s">
        <v>2590</v>
      </c>
      <c r="Q1165" s="21"/>
      <c r="R1165" s="21"/>
      <c r="S1165" s="3" t="s">
        <v>40</v>
      </c>
      <c r="T1165" s="21" t="s">
        <v>41</v>
      </c>
      <c r="U1165" s="21"/>
      <c r="V1165" s="4" t="s">
        <v>42</v>
      </c>
      <c r="W1165" s="4" t="s">
        <v>157</v>
      </c>
      <c r="X1165" s="4" t="s">
        <v>158</v>
      </c>
      <c r="Y1165" s="21" t="s">
        <v>56</v>
      </c>
      <c r="Z1165" s="21"/>
      <c r="AA1165" s="4" t="s">
        <v>46</v>
      </c>
      <c r="AB1165" s="4" t="s">
        <v>47</v>
      </c>
      <c r="AC1165" s="4" t="s">
        <v>139</v>
      </c>
      <c r="AD1165" s="4" t="s">
        <v>140</v>
      </c>
      <c r="AE1165" s="4" t="s">
        <v>48</v>
      </c>
      <c r="AF1165" s="4" t="s">
        <v>41</v>
      </c>
      <c r="AG1165" s="4" t="s">
        <v>2562</v>
      </c>
    </row>
    <row r="1166" spans="1:33" ht="16.5" customHeight="1" x14ac:dyDescent="0.2">
      <c r="A1166" s="2" t="s">
        <v>31</v>
      </c>
      <c r="B1166" s="19" t="s">
        <v>50</v>
      </c>
      <c r="C1166" s="19"/>
      <c r="D1166" s="19"/>
      <c r="E1166" s="20" t="s">
        <v>33</v>
      </c>
      <c r="F1166" s="20"/>
      <c r="G1166" s="21" t="s">
        <v>2559</v>
      </c>
      <c r="H1166" s="21"/>
      <c r="I1166" s="21"/>
      <c r="J1166" s="3" t="s">
        <v>35</v>
      </c>
      <c r="K1166" s="4" t="s">
        <v>152</v>
      </c>
      <c r="L1166" s="4" t="s">
        <v>37</v>
      </c>
      <c r="N1166" s="21" t="s">
        <v>2589</v>
      </c>
      <c r="O1166" s="21"/>
      <c r="P1166" s="21" t="s">
        <v>2590</v>
      </c>
      <c r="Q1166" s="21"/>
      <c r="R1166" s="21"/>
      <c r="S1166" s="3" t="s">
        <v>40</v>
      </c>
      <c r="T1166" s="21" t="s">
        <v>41</v>
      </c>
      <c r="U1166" s="21"/>
      <c r="V1166" s="4" t="s">
        <v>59</v>
      </c>
      <c r="W1166" s="4" t="s">
        <v>157</v>
      </c>
      <c r="X1166" s="4" t="s">
        <v>172</v>
      </c>
      <c r="Y1166" s="21" t="s">
        <v>56</v>
      </c>
      <c r="Z1166" s="21"/>
      <c r="AA1166" s="4" t="s">
        <v>46</v>
      </c>
      <c r="AB1166" s="4" t="s">
        <v>47</v>
      </c>
      <c r="AC1166" s="4" t="s">
        <v>139</v>
      </c>
      <c r="AD1166" s="4" t="s">
        <v>140</v>
      </c>
      <c r="AE1166" s="4" t="s">
        <v>48</v>
      </c>
      <c r="AF1166" s="4" t="s">
        <v>41</v>
      </c>
      <c r="AG1166" s="4" t="s">
        <v>2562</v>
      </c>
    </row>
    <row r="1167" spans="1:33" ht="16.5" customHeight="1" x14ac:dyDescent="0.2">
      <c r="A1167" s="2" t="s">
        <v>31</v>
      </c>
      <c r="B1167" s="19" t="s">
        <v>50</v>
      </c>
      <c r="C1167" s="19"/>
      <c r="D1167" s="19"/>
      <c r="E1167" s="20" t="s">
        <v>33</v>
      </c>
      <c r="F1167" s="20"/>
      <c r="G1167" s="21" t="s">
        <v>2559</v>
      </c>
      <c r="H1167" s="21"/>
      <c r="I1167" s="21"/>
      <c r="J1167" s="3" t="s">
        <v>35</v>
      </c>
      <c r="K1167" s="4" t="s">
        <v>383</v>
      </c>
      <c r="L1167" s="4" t="s">
        <v>68</v>
      </c>
      <c r="N1167" s="21" t="s">
        <v>2591</v>
      </c>
      <c r="O1167" s="21"/>
      <c r="P1167" s="21" t="s">
        <v>2592</v>
      </c>
      <c r="Q1167" s="21"/>
      <c r="R1167" s="21"/>
      <c r="S1167" s="3" t="s">
        <v>40</v>
      </c>
      <c r="T1167" s="21" t="s">
        <v>41</v>
      </c>
      <c r="U1167" s="21"/>
      <c r="V1167" s="4" t="s">
        <v>42</v>
      </c>
      <c r="W1167" s="4" t="s">
        <v>209</v>
      </c>
      <c r="X1167" s="4" t="s">
        <v>210</v>
      </c>
      <c r="Y1167" s="21" t="s">
        <v>198</v>
      </c>
      <c r="Z1167" s="21"/>
      <c r="AA1167" s="4" t="s">
        <v>46</v>
      </c>
      <c r="AB1167" s="4" t="s">
        <v>47</v>
      </c>
      <c r="AC1167" s="4" t="s">
        <v>81</v>
      </c>
      <c r="AD1167" s="4" t="s">
        <v>41</v>
      </c>
      <c r="AE1167" s="4" t="s">
        <v>48</v>
      </c>
      <c r="AF1167" s="4" t="s">
        <v>41</v>
      </c>
      <c r="AG1167" s="4" t="s">
        <v>2562</v>
      </c>
    </row>
    <row r="1168" spans="1:33" ht="16.5" customHeight="1" x14ac:dyDescent="0.2">
      <c r="A1168" s="2" t="s">
        <v>31</v>
      </c>
      <c r="B1168" s="19" t="s">
        <v>110</v>
      </c>
      <c r="C1168" s="19"/>
      <c r="D1168" s="19"/>
      <c r="E1168" s="20" t="s">
        <v>33</v>
      </c>
      <c r="F1168" s="20"/>
      <c r="G1168" s="21" t="s">
        <v>2559</v>
      </c>
      <c r="H1168" s="21"/>
      <c r="I1168" s="21"/>
      <c r="J1168" s="3" t="s">
        <v>111</v>
      </c>
      <c r="K1168" s="4" t="s">
        <v>561</v>
      </c>
      <c r="N1168" s="21" t="s">
        <v>2591</v>
      </c>
      <c r="O1168" s="21"/>
      <c r="P1168" s="21" t="s">
        <v>2592</v>
      </c>
      <c r="Q1168" s="21"/>
      <c r="R1168" s="21"/>
      <c r="S1168" s="3" t="s">
        <v>40</v>
      </c>
      <c r="T1168" s="21" t="s">
        <v>2593</v>
      </c>
      <c r="U1168" s="21"/>
      <c r="V1168" s="4" t="s">
        <v>42</v>
      </c>
      <c r="W1168" s="4" t="s">
        <v>54</v>
      </c>
      <c r="X1168" s="4" t="s">
        <v>210</v>
      </c>
      <c r="Y1168" s="21" t="s">
        <v>116</v>
      </c>
      <c r="Z1168" s="21"/>
      <c r="AA1168" s="4" t="s">
        <v>46</v>
      </c>
      <c r="AB1168" s="4" t="s">
        <v>117</v>
      </c>
      <c r="AC1168" s="4" t="s">
        <v>48</v>
      </c>
      <c r="AD1168" s="4" t="s">
        <v>41</v>
      </c>
      <c r="AE1168" s="4" t="s">
        <v>48</v>
      </c>
      <c r="AF1168" s="4" t="s">
        <v>41</v>
      </c>
      <c r="AG1168" s="4" t="s">
        <v>2562</v>
      </c>
    </row>
    <row r="1169" spans="1:33" ht="16.5" customHeight="1" x14ac:dyDescent="0.2">
      <c r="A1169" s="2" t="s">
        <v>31</v>
      </c>
      <c r="B1169" s="19" t="s">
        <v>50</v>
      </c>
      <c r="C1169" s="19"/>
      <c r="D1169" s="19"/>
      <c r="E1169" s="20" t="s">
        <v>33</v>
      </c>
      <c r="F1169" s="20"/>
      <c r="G1169" s="21" t="s">
        <v>2559</v>
      </c>
      <c r="H1169" s="21"/>
      <c r="I1169" s="21"/>
      <c r="J1169" s="3" t="s">
        <v>35</v>
      </c>
      <c r="K1169" s="4" t="s">
        <v>120</v>
      </c>
      <c r="L1169" s="4" t="s">
        <v>37</v>
      </c>
      <c r="N1169" s="21" t="s">
        <v>2594</v>
      </c>
      <c r="O1169" s="21"/>
      <c r="P1169" s="21" t="s">
        <v>2595</v>
      </c>
      <c r="Q1169" s="21"/>
      <c r="R1169" s="21"/>
      <c r="S1169" s="3" t="s">
        <v>40</v>
      </c>
      <c r="T1169" s="21" t="s">
        <v>41</v>
      </c>
      <c r="U1169" s="21"/>
      <c r="V1169" s="4" t="s">
        <v>42</v>
      </c>
      <c r="W1169" s="4" t="s">
        <v>234</v>
      </c>
      <c r="X1169" s="4" t="s">
        <v>235</v>
      </c>
      <c r="Y1169" s="21" t="s">
        <v>65</v>
      </c>
      <c r="Z1169" s="21"/>
      <c r="AA1169" s="4" t="s">
        <v>46</v>
      </c>
      <c r="AB1169" s="4" t="s">
        <v>47</v>
      </c>
      <c r="AC1169" s="4" t="s">
        <v>57</v>
      </c>
      <c r="AD1169" s="4" t="s">
        <v>58</v>
      </c>
      <c r="AE1169" s="4" t="s">
        <v>48</v>
      </c>
      <c r="AF1169" s="4" t="s">
        <v>41</v>
      </c>
      <c r="AG1169" s="4" t="s">
        <v>2562</v>
      </c>
    </row>
    <row r="1170" spans="1:33" ht="16.5" customHeight="1" x14ac:dyDescent="0.2">
      <c r="A1170" s="2" t="s">
        <v>31</v>
      </c>
      <c r="B1170" s="19" t="s">
        <v>50</v>
      </c>
      <c r="C1170" s="19"/>
      <c r="D1170" s="19"/>
      <c r="E1170" s="20" t="s">
        <v>33</v>
      </c>
      <c r="F1170" s="20"/>
      <c r="G1170" s="21" t="s">
        <v>2559</v>
      </c>
      <c r="H1170" s="21"/>
      <c r="I1170" s="21"/>
      <c r="J1170" s="3" t="s">
        <v>35</v>
      </c>
      <c r="K1170" s="4" t="s">
        <v>74</v>
      </c>
      <c r="L1170" s="4" t="s">
        <v>37</v>
      </c>
      <c r="N1170" s="21" t="s">
        <v>2596</v>
      </c>
      <c r="O1170" s="21"/>
      <c r="P1170" s="21" t="s">
        <v>2597</v>
      </c>
      <c r="Q1170" s="21"/>
      <c r="R1170" s="21"/>
      <c r="S1170" s="3" t="s">
        <v>40</v>
      </c>
      <c r="T1170" s="21" t="s">
        <v>41</v>
      </c>
      <c r="U1170" s="21"/>
      <c r="V1170" s="4" t="s">
        <v>42</v>
      </c>
      <c r="W1170" s="4" t="s">
        <v>431</v>
      </c>
      <c r="X1170" s="4" t="s">
        <v>432</v>
      </c>
      <c r="Y1170" s="21" t="s">
        <v>65</v>
      </c>
      <c r="Z1170" s="21"/>
      <c r="AA1170" s="4" t="s">
        <v>46</v>
      </c>
      <c r="AB1170" s="4" t="s">
        <v>47</v>
      </c>
      <c r="AC1170" s="4" t="s">
        <v>57</v>
      </c>
      <c r="AD1170" s="4" t="s">
        <v>58</v>
      </c>
      <c r="AE1170" s="4" t="s">
        <v>48</v>
      </c>
      <c r="AF1170" s="4" t="s">
        <v>41</v>
      </c>
      <c r="AG1170" s="4" t="s">
        <v>2562</v>
      </c>
    </row>
    <row r="1171" spans="1:33" ht="16.5" customHeight="1" x14ac:dyDescent="0.2">
      <c r="A1171" s="2" t="s">
        <v>31</v>
      </c>
      <c r="B1171" s="19" t="s">
        <v>50</v>
      </c>
      <c r="C1171" s="19"/>
      <c r="D1171" s="19"/>
      <c r="E1171" s="20" t="s">
        <v>33</v>
      </c>
      <c r="F1171" s="20"/>
      <c r="G1171" s="21" t="s">
        <v>2559</v>
      </c>
      <c r="H1171" s="21"/>
      <c r="I1171" s="21"/>
      <c r="J1171" s="3" t="s">
        <v>35</v>
      </c>
      <c r="K1171" s="4" t="s">
        <v>146</v>
      </c>
      <c r="L1171" s="4" t="s">
        <v>37</v>
      </c>
      <c r="N1171" s="21" t="s">
        <v>2598</v>
      </c>
      <c r="O1171" s="21"/>
      <c r="P1171" s="21" t="s">
        <v>2599</v>
      </c>
      <c r="Q1171" s="21"/>
      <c r="R1171" s="21"/>
      <c r="S1171" s="3" t="s">
        <v>40</v>
      </c>
      <c r="T1171" s="21" t="s">
        <v>41</v>
      </c>
      <c r="U1171" s="21"/>
      <c r="V1171" s="4" t="s">
        <v>42</v>
      </c>
      <c r="W1171" s="4" t="s">
        <v>2600</v>
      </c>
      <c r="X1171" s="4" t="s">
        <v>637</v>
      </c>
      <c r="Y1171" s="21" t="s">
        <v>138</v>
      </c>
      <c r="Z1171" s="21"/>
      <c r="AA1171" s="4" t="s">
        <v>46</v>
      </c>
      <c r="AB1171" s="4" t="s">
        <v>47</v>
      </c>
      <c r="AC1171" s="4" t="s">
        <v>139</v>
      </c>
      <c r="AD1171" s="4" t="s">
        <v>140</v>
      </c>
      <c r="AE1171" s="4" t="s">
        <v>48</v>
      </c>
      <c r="AF1171" s="4" t="s">
        <v>41</v>
      </c>
      <c r="AG1171" s="4" t="s">
        <v>2562</v>
      </c>
    </row>
    <row r="1172" spans="1:33" ht="16.5" customHeight="1" x14ac:dyDescent="0.2">
      <c r="A1172" s="2" t="s">
        <v>31</v>
      </c>
      <c r="B1172" s="19" t="s">
        <v>50</v>
      </c>
      <c r="C1172" s="19"/>
      <c r="D1172" s="19"/>
      <c r="E1172" s="20" t="s">
        <v>33</v>
      </c>
      <c r="F1172" s="20"/>
      <c r="G1172" s="21" t="s">
        <v>2559</v>
      </c>
      <c r="H1172" s="21"/>
      <c r="I1172" s="21"/>
      <c r="J1172" s="3" t="s">
        <v>35</v>
      </c>
      <c r="K1172" s="4" t="s">
        <v>61</v>
      </c>
      <c r="L1172" s="4" t="s">
        <v>37</v>
      </c>
      <c r="N1172" s="21" t="s">
        <v>2601</v>
      </c>
      <c r="O1172" s="21"/>
      <c r="P1172" s="21" t="s">
        <v>2602</v>
      </c>
      <c r="Q1172" s="21"/>
      <c r="R1172" s="21"/>
      <c r="S1172" s="3" t="s">
        <v>40</v>
      </c>
      <c r="T1172" s="21" t="s">
        <v>41</v>
      </c>
      <c r="U1172" s="21"/>
      <c r="V1172" s="4" t="s">
        <v>42</v>
      </c>
      <c r="W1172" s="4" t="s">
        <v>43</v>
      </c>
      <c r="X1172" s="4" t="s">
        <v>44</v>
      </c>
      <c r="Y1172" s="21" t="s">
        <v>65</v>
      </c>
      <c r="Z1172" s="21"/>
      <c r="AA1172" s="4" t="s">
        <v>46</v>
      </c>
      <c r="AB1172" s="4" t="s">
        <v>47</v>
      </c>
      <c r="AC1172" s="4" t="s">
        <v>57</v>
      </c>
      <c r="AD1172" s="4" t="s">
        <v>58</v>
      </c>
      <c r="AE1172" s="4" t="s">
        <v>48</v>
      </c>
      <c r="AF1172" s="4" t="s">
        <v>41</v>
      </c>
      <c r="AG1172" s="4" t="s">
        <v>2562</v>
      </c>
    </row>
    <row r="1173" spans="1:33" ht="16.5" customHeight="1" x14ac:dyDescent="0.2">
      <c r="A1173" s="2" t="s">
        <v>31</v>
      </c>
      <c r="B1173" s="19" t="s">
        <v>50</v>
      </c>
      <c r="C1173" s="19"/>
      <c r="D1173" s="19"/>
      <c r="E1173" s="20" t="s">
        <v>33</v>
      </c>
      <c r="F1173" s="20"/>
      <c r="G1173" s="21" t="s">
        <v>2559</v>
      </c>
      <c r="H1173" s="21"/>
      <c r="I1173" s="21"/>
      <c r="J1173" s="3" t="s">
        <v>35</v>
      </c>
      <c r="K1173" s="4" t="s">
        <v>61</v>
      </c>
      <c r="L1173" s="4" t="s">
        <v>37</v>
      </c>
      <c r="N1173" s="21" t="s">
        <v>2603</v>
      </c>
      <c r="O1173" s="21"/>
      <c r="P1173" s="21" t="s">
        <v>2604</v>
      </c>
      <c r="Q1173" s="21"/>
      <c r="R1173" s="21"/>
      <c r="S1173" s="3" t="s">
        <v>40</v>
      </c>
      <c r="T1173" s="21" t="s">
        <v>41</v>
      </c>
      <c r="U1173" s="21"/>
      <c r="V1173" s="4" t="s">
        <v>42</v>
      </c>
      <c r="W1173" s="4" t="s">
        <v>43</v>
      </c>
      <c r="X1173" s="4" t="s">
        <v>44</v>
      </c>
      <c r="Y1173" s="21" t="s">
        <v>65</v>
      </c>
      <c r="Z1173" s="21"/>
      <c r="AA1173" s="4" t="s">
        <v>46</v>
      </c>
      <c r="AB1173" s="4" t="s">
        <v>47</v>
      </c>
      <c r="AC1173" s="4" t="s">
        <v>57</v>
      </c>
      <c r="AD1173" s="4" t="s">
        <v>58</v>
      </c>
      <c r="AE1173" s="4" t="s">
        <v>48</v>
      </c>
      <c r="AF1173" s="4" t="s">
        <v>41</v>
      </c>
      <c r="AG1173" s="4" t="s">
        <v>2562</v>
      </c>
    </row>
    <row r="1174" spans="1:33" ht="16.5" customHeight="1" x14ac:dyDescent="0.2">
      <c r="A1174" s="2" t="s">
        <v>31</v>
      </c>
      <c r="B1174" s="19" t="s">
        <v>50</v>
      </c>
      <c r="C1174" s="19"/>
      <c r="D1174" s="19"/>
      <c r="E1174" s="20" t="s">
        <v>33</v>
      </c>
      <c r="F1174" s="20"/>
      <c r="G1174" s="21" t="s">
        <v>2559</v>
      </c>
      <c r="H1174" s="21"/>
      <c r="I1174" s="21"/>
      <c r="J1174" s="3" t="s">
        <v>35</v>
      </c>
      <c r="K1174" s="4" t="s">
        <v>413</v>
      </c>
      <c r="L1174" s="4" t="s">
        <v>68</v>
      </c>
      <c r="N1174" s="21" t="s">
        <v>2605</v>
      </c>
      <c r="O1174" s="21"/>
      <c r="P1174" s="21" t="s">
        <v>2606</v>
      </c>
      <c r="Q1174" s="21"/>
      <c r="R1174" s="21"/>
      <c r="S1174" s="3" t="s">
        <v>40</v>
      </c>
      <c r="T1174" s="21" t="s">
        <v>41</v>
      </c>
      <c r="U1174" s="21"/>
      <c r="V1174" s="4" t="s">
        <v>42</v>
      </c>
      <c r="W1174" s="4" t="s">
        <v>43</v>
      </c>
      <c r="X1174" s="4" t="s">
        <v>44</v>
      </c>
      <c r="Y1174" s="21" t="s">
        <v>198</v>
      </c>
      <c r="Z1174" s="21"/>
      <c r="AA1174" s="4" t="s">
        <v>46</v>
      </c>
      <c r="AB1174" s="4" t="s">
        <v>47</v>
      </c>
      <c r="AC1174" s="4" t="s">
        <v>257</v>
      </c>
      <c r="AD1174" s="4" t="s">
        <v>73</v>
      </c>
      <c r="AE1174" s="4" t="s">
        <v>48</v>
      </c>
      <c r="AF1174" s="4" t="s">
        <v>41</v>
      </c>
      <c r="AG1174" s="4" t="s">
        <v>2562</v>
      </c>
    </row>
    <row r="1175" spans="1:33" ht="16.5" customHeight="1" x14ac:dyDescent="0.2">
      <c r="A1175" s="2" t="s">
        <v>31</v>
      </c>
      <c r="B1175" s="19" t="s">
        <v>110</v>
      </c>
      <c r="C1175" s="19"/>
      <c r="D1175" s="19"/>
      <c r="E1175" s="20" t="s">
        <v>33</v>
      </c>
      <c r="F1175" s="20"/>
      <c r="G1175" s="21" t="s">
        <v>2559</v>
      </c>
      <c r="H1175" s="21"/>
      <c r="I1175" s="21"/>
      <c r="J1175" s="3" t="s">
        <v>111</v>
      </c>
      <c r="K1175" s="4" t="s">
        <v>514</v>
      </c>
      <c r="N1175" s="21" t="s">
        <v>2607</v>
      </c>
      <c r="O1175" s="21"/>
      <c r="P1175" s="21" t="s">
        <v>2608</v>
      </c>
      <c r="Q1175" s="21"/>
      <c r="R1175" s="21"/>
      <c r="S1175" s="3" t="s">
        <v>40</v>
      </c>
      <c r="T1175" s="21" t="s">
        <v>555</v>
      </c>
      <c r="U1175" s="21"/>
      <c r="V1175" s="4" t="s">
        <v>42</v>
      </c>
      <c r="W1175" s="4" t="s">
        <v>54</v>
      </c>
      <c r="X1175" s="4" t="s">
        <v>55</v>
      </c>
      <c r="Y1175" s="21" t="s">
        <v>116</v>
      </c>
      <c r="Z1175" s="21"/>
      <c r="AA1175" s="4" t="s">
        <v>46</v>
      </c>
      <c r="AB1175" s="4" t="s">
        <v>117</v>
      </c>
      <c r="AC1175" s="4" t="s">
        <v>118</v>
      </c>
      <c r="AD1175" s="4" t="s">
        <v>2178</v>
      </c>
      <c r="AE1175" s="4" t="s">
        <v>48</v>
      </c>
      <c r="AF1175" s="4" t="s">
        <v>41</v>
      </c>
      <c r="AG1175" s="4" t="s">
        <v>2562</v>
      </c>
    </row>
    <row r="1176" spans="1:33" ht="16.5" customHeight="1" x14ac:dyDescent="0.2">
      <c r="A1176" s="2" t="s">
        <v>31</v>
      </c>
      <c r="B1176" s="19" t="s">
        <v>50</v>
      </c>
      <c r="C1176" s="19"/>
      <c r="D1176" s="19"/>
      <c r="E1176" s="20" t="s">
        <v>33</v>
      </c>
      <c r="F1176" s="20"/>
      <c r="G1176" s="21" t="s">
        <v>2559</v>
      </c>
      <c r="H1176" s="21"/>
      <c r="I1176" s="21"/>
      <c r="J1176" s="3" t="s">
        <v>35</v>
      </c>
      <c r="K1176" s="4" t="s">
        <v>99</v>
      </c>
      <c r="L1176" s="4" t="s">
        <v>231</v>
      </c>
      <c r="N1176" s="21" t="s">
        <v>2609</v>
      </c>
      <c r="O1176" s="21"/>
      <c r="P1176" s="21" t="s">
        <v>2610</v>
      </c>
      <c r="Q1176" s="21"/>
      <c r="R1176" s="21"/>
      <c r="S1176" s="3" t="s">
        <v>40</v>
      </c>
      <c r="T1176" s="21" t="s">
        <v>41</v>
      </c>
      <c r="U1176" s="21"/>
      <c r="V1176" s="4" t="s">
        <v>42</v>
      </c>
      <c r="W1176" s="4" t="s">
        <v>1008</v>
      </c>
      <c r="X1176" s="4" t="s">
        <v>1009</v>
      </c>
      <c r="Y1176" s="21" t="s">
        <v>56</v>
      </c>
      <c r="Z1176" s="21"/>
      <c r="AA1176" s="4" t="s">
        <v>46</v>
      </c>
      <c r="AB1176" s="4" t="s">
        <v>47</v>
      </c>
      <c r="AC1176" s="4" t="s">
        <v>139</v>
      </c>
      <c r="AD1176" s="4" t="s">
        <v>449</v>
      </c>
      <c r="AE1176" s="4" t="s">
        <v>48</v>
      </c>
      <c r="AF1176" s="4" t="s">
        <v>41</v>
      </c>
      <c r="AG1176" s="4" t="s">
        <v>2562</v>
      </c>
    </row>
    <row r="1177" spans="1:33" ht="16.5" customHeight="1" x14ac:dyDescent="0.2">
      <c r="A1177" s="2" t="s">
        <v>31</v>
      </c>
      <c r="B1177" s="19" t="s">
        <v>50</v>
      </c>
      <c r="C1177" s="19"/>
      <c r="D1177" s="19"/>
      <c r="E1177" s="20" t="s">
        <v>33</v>
      </c>
      <c r="F1177" s="20"/>
      <c r="G1177" s="21" t="s">
        <v>2559</v>
      </c>
      <c r="H1177" s="21"/>
      <c r="I1177" s="21"/>
      <c r="J1177" s="3" t="s">
        <v>35</v>
      </c>
      <c r="K1177" s="4" t="s">
        <v>314</v>
      </c>
      <c r="L1177" s="4" t="s">
        <v>37</v>
      </c>
      <c r="N1177" s="21" t="s">
        <v>2611</v>
      </c>
      <c r="O1177" s="21"/>
      <c r="P1177" s="21" t="s">
        <v>2612</v>
      </c>
      <c r="Q1177" s="21"/>
      <c r="R1177" s="21"/>
      <c r="S1177" s="3" t="s">
        <v>40</v>
      </c>
      <c r="T1177" s="21" t="s">
        <v>41</v>
      </c>
      <c r="U1177" s="21"/>
      <c r="V1177" s="4" t="s">
        <v>42</v>
      </c>
      <c r="W1177" s="4" t="s">
        <v>94</v>
      </c>
      <c r="X1177" s="4" t="s">
        <v>95</v>
      </c>
      <c r="Y1177" s="21" t="s">
        <v>65</v>
      </c>
      <c r="Z1177" s="21"/>
      <c r="AA1177" s="4" t="s">
        <v>46</v>
      </c>
      <c r="AB1177" s="4" t="s">
        <v>47</v>
      </c>
      <c r="AC1177" s="4" t="s">
        <v>81</v>
      </c>
      <c r="AD1177" s="4" t="s">
        <v>41</v>
      </c>
      <c r="AE1177" s="4" t="s">
        <v>48</v>
      </c>
      <c r="AF1177" s="4" t="s">
        <v>41</v>
      </c>
      <c r="AG1177" s="4" t="s">
        <v>2562</v>
      </c>
    </row>
    <row r="1178" spans="1:33" ht="16.5" customHeight="1" x14ac:dyDescent="0.2">
      <c r="A1178" s="2" t="s">
        <v>31</v>
      </c>
      <c r="B1178" s="19" t="s">
        <v>50</v>
      </c>
      <c r="C1178" s="19"/>
      <c r="D1178" s="19"/>
      <c r="E1178" s="20" t="s">
        <v>33</v>
      </c>
      <c r="F1178" s="20"/>
      <c r="G1178" s="21" t="s">
        <v>2559</v>
      </c>
      <c r="H1178" s="21"/>
      <c r="I1178" s="21"/>
      <c r="J1178" s="3" t="s">
        <v>35</v>
      </c>
      <c r="K1178" s="4" t="s">
        <v>169</v>
      </c>
      <c r="L1178" s="4" t="s">
        <v>37</v>
      </c>
      <c r="N1178" s="21" t="s">
        <v>2613</v>
      </c>
      <c r="O1178" s="21"/>
      <c r="P1178" s="21" t="s">
        <v>2614</v>
      </c>
      <c r="Q1178" s="21"/>
      <c r="R1178" s="21"/>
      <c r="S1178" s="3" t="s">
        <v>40</v>
      </c>
      <c r="T1178" s="21" t="s">
        <v>41</v>
      </c>
      <c r="U1178" s="21"/>
      <c r="V1178" s="4" t="s">
        <v>42</v>
      </c>
      <c r="W1178" s="4" t="s">
        <v>333</v>
      </c>
      <c r="X1178" s="4" t="s">
        <v>334</v>
      </c>
      <c r="Y1178" s="21" t="s">
        <v>56</v>
      </c>
      <c r="Z1178" s="21"/>
      <c r="AA1178" s="4" t="s">
        <v>46</v>
      </c>
      <c r="AB1178" s="4" t="s">
        <v>47</v>
      </c>
      <c r="AC1178" s="4" t="s">
        <v>139</v>
      </c>
      <c r="AD1178" s="4" t="s">
        <v>140</v>
      </c>
      <c r="AE1178" s="4" t="s">
        <v>48</v>
      </c>
      <c r="AF1178" s="4" t="s">
        <v>41</v>
      </c>
      <c r="AG1178" s="4" t="s">
        <v>2562</v>
      </c>
    </row>
    <row r="1179" spans="1:33" ht="16.5" customHeight="1" x14ac:dyDescent="0.2">
      <c r="A1179" s="2" t="s">
        <v>31</v>
      </c>
      <c r="B1179" s="19" t="s">
        <v>50</v>
      </c>
      <c r="C1179" s="19"/>
      <c r="D1179" s="19"/>
      <c r="E1179" s="20" t="s">
        <v>33</v>
      </c>
      <c r="F1179" s="20"/>
      <c r="G1179" s="21" t="s">
        <v>2559</v>
      </c>
      <c r="H1179" s="21"/>
      <c r="I1179" s="21"/>
      <c r="J1179" s="3" t="s">
        <v>35</v>
      </c>
      <c r="K1179" s="4" t="s">
        <v>120</v>
      </c>
      <c r="L1179" s="4" t="s">
        <v>68</v>
      </c>
      <c r="N1179" s="21" t="s">
        <v>2615</v>
      </c>
      <c r="O1179" s="21"/>
      <c r="P1179" s="21" t="s">
        <v>2616</v>
      </c>
      <c r="Q1179" s="21"/>
      <c r="R1179" s="21"/>
      <c r="S1179" s="3" t="s">
        <v>40</v>
      </c>
      <c r="T1179" s="21" t="s">
        <v>41</v>
      </c>
      <c r="U1179" s="21"/>
      <c r="V1179" s="4" t="s">
        <v>42</v>
      </c>
      <c r="W1179" s="4" t="s">
        <v>234</v>
      </c>
      <c r="X1179" s="4" t="s">
        <v>235</v>
      </c>
      <c r="Y1179" s="21" t="s">
        <v>65</v>
      </c>
      <c r="Z1179" s="21"/>
      <c r="AA1179" s="4" t="s">
        <v>46</v>
      </c>
      <c r="AB1179" s="4" t="s">
        <v>47</v>
      </c>
      <c r="AC1179" s="4" t="s">
        <v>57</v>
      </c>
      <c r="AD1179" s="4" t="s">
        <v>98</v>
      </c>
      <c r="AE1179" s="4" t="s">
        <v>48</v>
      </c>
      <c r="AF1179" s="4" t="s">
        <v>41</v>
      </c>
      <c r="AG1179" s="4" t="s">
        <v>2562</v>
      </c>
    </row>
    <row r="1180" spans="1:33" ht="16.5" customHeight="1" x14ac:dyDescent="0.2">
      <c r="A1180" s="2" t="s">
        <v>31</v>
      </c>
      <c r="B1180" s="19" t="s">
        <v>50</v>
      </c>
      <c r="C1180" s="19"/>
      <c r="D1180" s="19"/>
      <c r="E1180" s="20" t="s">
        <v>33</v>
      </c>
      <c r="F1180" s="20"/>
      <c r="G1180" s="21" t="s">
        <v>2559</v>
      </c>
      <c r="H1180" s="21"/>
      <c r="I1180" s="21"/>
      <c r="J1180" s="3" t="s">
        <v>35</v>
      </c>
      <c r="K1180" s="4" t="s">
        <v>74</v>
      </c>
      <c r="L1180" s="4" t="s">
        <v>37</v>
      </c>
      <c r="N1180" s="21" t="s">
        <v>2617</v>
      </c>
      <c r="O1180" s="21"/>
      <c r="P1180" s="21" t="s">
        <v>2618</v>
      </c>
      <c r="Q1180" s="21"/>
      <c r="R1180" s="21"/>
      <c r="S1180" s="3" t="s">
        <v>40</v>
      </c>
      <c r="T1180" s="21" t="s">
        <v>41</v>
      </c>
      <c r="U1180" s="21"/>
      <c r="V1180" s="4" t="s">
        <v>42</v>
      </c>
      <c r="W1180" s="4" t="s">
        <v>234</v>
      </c>
      <c r="X1180" s="4" t="s">
        <v>235</v>
      </c>
      <c r="Y1180" s="21" t="s">
        <v>65</v>
      </c>
      <c r="Z1180" s="21"/>
      <c r="AA1180" s="4" t="s">
        <v>46</v>
      </c>
      <c r="AB1180" s="4" t="s">
        <v>47</v>
      </c>
      <c r="AC1180" s="4" t="s">
        <v>57</v>
      </c>
      <c r="AD1180" s="4" t="s">
        <v>58</v>
      </c>
      <c r="AE1180" s="4" t="s">
        <v>48</v>
      </c>
      <c r="AF1180" s="4" t="s">
        <v>41</v>
      </c>
      <c r="AG1180" s="4" t="s">
        <v>2562</v>
      </c>
    </row>
    <row r="1181" spans="1:33" ht="16.5" customHeight="1" x14ac:dyDescent="0.2">
      <c r="A1181" s="2" t="s">
        <v>31</v>
      </c>
      <c r="B1181" s="19" t="s">
        <v>50</v>
      </c>
      <c r="C1181" s="19"/>
      <c r="D1181" s="19"/>
      <c r="E1181" s="20" t="s">
        <v>33</v>
      </c>
      <c r="F1181" s="20"/>
      <c r="G1181" s="21" t="s">
        <v>2559</v>
      </c>
      <c r="H1181" s="21"/>
      <c r="I1181" s="21"/>
      <c r="J1181" s="3" t="s">
        <v>35</v>
      </c>
      <c r="K1181" s="4" t="s">
        <v>152</v>
      </c>
      <c r="L1181" s="4" t="s">
        <v>37</v>
      </c>
      <c r="N1181" s="21" t="s">
        <v>2619</v>
      </c>
      <c r="O1181" s="21"/>
      <c r="P1181" s="21" t="s">
        <v>2620</v>
      </c>
      <c r="Q1181" s="21"/>
      <c r="R1181" s="21"/>
      <c r="S1181" s="3" t="s">
        <v>40</v>
      </c>
      <c r="T1181" s="21" t="s">
        <v>41</v>
      </c>
      <c r="U1181" s="21"/>
      <c r="V1181" s="4" t="s">
        <v>42</v>
      </c>
      <c r="W1181" s="4" t="s">
        <v>234</v>
      </c>
      <c r="X1181" s="4" t="s">
        <v>235</v>
      </c>
      <c r="Y1181" s="21" t="s">
        <v>56</v>
      </c>
      <c r="Z1181" s="21"/>
      <c r="AA1181" s="4" t="s">
        <v>46</v>
      </c>
      <c r="AB1181" s="4" t="s">
        <v>47</v>
      </c>
      <c r="AC1181" s="4" t="s">
        <v>139</v>
      </c>
      <c r="AD1181" s="4" t="s">
        <v>140</v>
      </c>
      <c r="AE1181" s="4" t="s">
        <v>48</v>
      </c>
      <c r="AF1181" s="4" t="s">
        <v>41</v>
      </c>
      <c r="AG1181" s="4" t="s">
        <v>2562</v>
      </c>
    </row>
    <row r="1182" spans="1:33" ht="16.5" customHeight="1" x14ac:dyDescent="0.2">
      <c r="A1182" s="2" t="s">
        <v>31</v>
      </c>
      <c r="B1182" s="19" t="s">
        <v>50</v>
      </c>
      <c r="C1182" s="19"/>
      <c r="D1182" s="19"/>
      <c r="E1182" s="20" t="s">
        <v>33</v>
      </c>
      <c r="F1182" s="20"/>
      <c r="G1182" s="21" t="s">
        <v>2559</v>
      </c>
      <c r="H1182" s="21"/>
      <c r="I1182" s="21"/>
      <c r="J1182" s="3" t="s">
        <v>35</v>
      </c>
      <c r="K1182" s="4" t="s">
        <v>74</v>
      </c>
      <c r="L1182" s="4" t="s">
        <v>37</v>
      </c>
      <c r="N1182" s="21" t="s">
        <v>2621</v>
      </c>
      <c r="O1182" s="21"/>
      <c r="P1182" s="21" t="s">
        <v>2622</v>
      </c>
      <c r="Q1182" s="21"/>
      <c r="R1182" s="21"/>
      <c r="S1182" s="3" t="s">
        <v>40</v>
      </c>
      <c r="T1182" s="21" t="s">
        <v>41</v>
      </c>
      <c r="U1182" s="21"/>
      <c r="V1182" s="4" t="s">
        <v>42</v>
      </c>
      <c r="W1182" s="4" t="s">
        <v>234</v>
      </c>
      <c r="X1182" s="4" t="s">
        <v>235</v>
      </c>
      <c r="Y1182" s="21" t="s">
        <v>65</v>
      </c>
      <c r="Z1182" s="21"/>
      <c r="AA1182" s="4" t="s">
        <v>46</v>
      </c>
      <c r="AB1182" s="4" t="s">
        <v>47</v>
      </c>
      <c r="AC1182" s="4" t="s">
        <v>57</v>
      </c>
      <c r="AD1182" s="4" t="s">
        <v>58</v>
      </c>
      <c r="AE1182" s="4" t="s">
        <v>48</v>
      </c>
      <c r="AF1182" s="4" t="s">
        <v>41</v>
      </c>
      <c r="AG1182" s="4" t="s">
        <v>2562</v>
      </c>
    </row>
    <row r="1183" spans="1:33" ht="16.5" customHeight="1" x14ac:dyDescent="0.2">
      <c r="A1183" s="2" t="s">
        <v>31</v>
      </c>
      <c r="B1183" s="19" t="s">
        <v>50</v>
      </c>
      <c r="C1183" s="19"/>
      <c r="D1183" s="19"/>
      <c r="E1183" s="20" t="s">
        <v>33</v>
      </c>
      <c r="F1183" s="20"/>
      <c r="G1183" s="21" t="s">
        <v>2559</v>
      </c>
      <c r="H1183" s="21"/>
      <c r="I1183" s="21"/>
      <c r="J1183" s="3" t="s">
        <v>35</v>
      </c>
      <c r="K1183" s="4" t="s">
        <v>413</v>
      </c>
      <c r="L1183" s="4" t="s">
        <v>37</v>
      </c>
      <c r="N1183" s="21" t="s">
        <v>2623</v>
      </c>
      <c r="O1183" s="21"/>
      <c r="P1183" s="21" t="s">
        <v>2624</v>
      </c>
      <c r="Q1183" s="21"/>
      <c r="R1183" s="21"/>
      <c r="S1183" s="3" t="s">
        <v>40</v>
      </c>
      <c r="T1183" s="21" t="s">
        <v>41</v>
      </c>
      <c r="U1183" s="21"/>
      <c r="V1183" s="4" t="s">
        <v>42</v>
      </c>
      <c r="W1183" s="4" t="s">
        <v>234</v>
      </c>
      <c r="X1183" s="4" t="s">
        <v>235</v>
      </c>
      <c r="Y1183" s="21" t="s">
        <v>198</v>
      </c>
      <c r="Z1183" s="21"/>
      <c r="AA1183" s="4" t="s">
        <v>46</v>
      </c>
      <c r="AB1183" s="4" t="s">
        <v>47</v>
      </c>
      <c r="AC1183" s="4" t="s">
        <v>257</v>
      </c>
      <c r="AD1183" s="4" t="s">
        <v>258</v>
      </c>
      <c r="AE1183" s="4" t="s">
        <v>48</v>
      </c>
      <c r="AF1183" s="4" t="s">
        <v>41</v>
      </c>
      <c r="AG1183" s="4" t="s">
        <v>2562</v>
      </c>
    </row>
    <row r="1184" spans="1:33" ht="16.5" customHeight="1" x14ac:dyDescent="0.2">
      <c r="A1184" s="2" t="s">
        <v>31</v>
      </c>
      <c r="B1184" s="19" t="s">
        <v>50</v>
      </c>
      <c r="C1184" s="19"/>
      <c r="D1184" s="19"/>
      <c r="E1184" s="20" t="s">
        <v>33</v>
      </c>
      <c r="F1184" s="20"/>
      <c r="G1184" s="21" t="s">
        <v>2559</v>
      </c>
      <c r="H1184" s="21"/>
      <c r="I1184" s="21"/>
      <c r="J1184" s="3" t="s">
        <v>35</v>
      </c>
      <c r="K1184" s="4" t="s">
        <v>74</v>
      </c>
      <c r="L1184" s="4" t="s">
        <v>37</v>
      </c>
      <c r="N1184" s="21" t="s">
        <v>2625</v>
      </c>
      <c r="O1184" s="21"/>
      <c r="P1184" s="21" t="s">
        <v>2626</v>
      </c>
      <c r="Q1184" s="21"/>
      <c r="R1184" s="21"/>
      <c r="S1184" s="3" t="s">
        <v>40</v>
      </c>
      <c r="T1184" s="21" t="s">
        <v>41</v>
      </c>
      <c r="U1184" s="21"/>
      <c r="V1184" s="4" t="s">
        <v>42</v>
      </c>
      <c r="W1184" s="4" t="s">
        <v>234</v>
      </c>
      <c r="X1184" s="4" t="s">
        <v>235</v>
      </c>
      <c r="Y1184" s="21" t="s">
        <v>65</v>
      </c>
      <c r="Z1184" s="21"/>
      <c r="AA1184" s="4" t="s">
        <v>46</v>
      </c>
      <c r="AB1184" s="4" t="s">
        <v>47</v>
      </c>
      <c r="AC1184" s="4" t="s">
        <v>57</v>
      </c>
      <c r="AD1184" s="4" t="s">
        <v>58</v>
      </c>
      <c r="AE1184" s="4" t="s">
        <v>48</v>
      </c>
      <c r="AF1184" s="4" t="s">
        <v>41</v>
      </c>
      <c r="AG1184" s="4" t="s">
        <v>2562</v>
      </c>
    </row>
    <row r="1185" spans="1:33" ht="16.5" customHeight="1" x14ac:dyDescent="0.2">
      <c r="A1185" s="2" t="s">
        <v>31</v>
      </c>
      <c r="B1185" s="19" t="s">
        <v>50</v>
      </c>
      <c r="C1185" s="19"/>
      <c r="D1185" s="19"/>
      <c r="E1185" s="20" t="s">
        <v>33</v>
      </c>
      <c r="F1185" s="20"/>
      <c r="G1185" s="21" t="s">
        <v>2559</v>
      </c>
      <c r="H1185" s="21"/>
      <c r="I1185" s="21"/>
      <c r="J1185" s="3" t="s">
        <v>35</v>
      </c>
      <c r="K1185" s="4" t="s">
        <v>146</v>
      </c>
      <c r="L1185" s="4" t="s">
        <v>37</v>
      </c>
      <c r="N1185" s="21" t="s">
        <v>2627</v>
      </c>
      <c r="O1185" s="21"/>
      <c r="P1185" s="21" t="s">
        <v>2628</v>
      </c>
      <c r="Q1185" s="21"/>
      <c r="R1185" s="21"/>
      <c r="S1185" s="3" t="s">
        <v>40</v>
      </c>
      <c r="T1185" s="21" t="s">
        <v>41</v>
      </c>
      <c r="U1185" s="21"/>
      <c r="V1185" s="4" t="s">
        <v>42</v>
      </c>
      <c r="W1185" s="4" t="s">
        <v>234</v>
      </c>
      <c r="X1185" s="4" t="s">
        <v>235</v>
      </c>
      <c r="Y1185" s="21" t="s">
        <v>138</v>
      </c>
      <c r="Z1185" s="21"/>
      <c r="AA1185" s="4" t="s">
        <v>46</v>
      </c>
      <c r="AB1185" s="4" t="s">
        <v>47</v>
      </c>
      <c r="AC1185" s="4" t="s">
        <v>139</v>
      </c>
      <c r="AD1185" s="4" t="s">
        <v>140</v>
      </c>
      <c r="AE1185" s="4" t="s">
        <v>48</v>
      </c>
      <c r="AF1185" s="4" t="s">
        <v>41</v>
      </c>
      <c r="AG1185" s="4" t="s">
        <v>2562</v>
      </c>
    </row>
    <row r="1186" spans="1:33" ht="16.5" customHeight="1" x14ac:dyDescent="0.2">
      <c r="A1186" s="2" t="s">
        <v>31</v>
      </c>
      <c r="B1186" s="19" t="s">
        <v>50</v>
      </c>
      <c r="C1186" s="19"/>
      <c r="D1186" s="19"/>
      <c r="E1186" s="20" t="s">
        <v>33</v>
      </c>
      <c r="F1186" s="20"/>
      <c r="G1186" s="21" t="s">
        <v>2559</v>
      </c>
      <c r="H1186" s="21"/>
      <c r="I1186" s="21"/>
      <c r="J1186" s="3" t="s">
        <v>35</v>
      </c>
      <c r="K1186" s="4" t="s">
        <v>74</v>
      </c>
      <c r="L1186" s="4" t="s">
        <v>37</v>
      </c>
      <c r="N1186" s="21" t="s">
        <v>2629</v>
      </c>
      <c r="O1186" s="21"/>
      <c r="P1186" s="21" t="s">
        <v>2630</v>
      </c>
      <c r="Q1186" s="21"/>
      <c r="R1186" s="21"/>
      <c r="S1186" s="3" t="s">
        <v>40</v>
      </c>
      <c r="T1186" s="21" t="s">
        <v>41</v>
      </c>
      <c r="U1186" s="21"/>
      <c r="V1186" s="4" t="s">
        <v>42</v>
      </c>
      <c r="W1186" s="4" t="s">
        <v>355</v>
      </c>
      <c r="X1186" s="4" t="s">
        <v>356</v>
      </c>
      <c r="Y1186" s="21" t="s">
        <v>65</v>
      </c>
      <c r="Z1186" s="21"/>
      <c r="AA1186" s="4" t="s">
        <v>46</v>
      </c>
      <c r="AB1186" s="4" t="s">
        <v>47</v>
      </c>
      <c r="AC1186" s="4" t="s">
        <v>57</v>
      </c>
      <c r="AD1186" s="4" t="s">
        <v>58</v>
      </c>
      <c r="AE1186" s="4" t="s">
        <v>48</v>
      </c>
      <c r="AF1186" s="4" t="s">
        <v>41</v>
      </c>
      <c r="AG1186" s="4" t="s">
        <v>2562</v>
      </c>
    </row>
    <row r="1187" spans="1:33" ht="16.5" customHeight="1" x14ac:dyDescent="0.2">
      <c r="A1187" s="2" t="s">
        <v>31</v>
      </c>
      <c r="B1187" s="19" t="s">
        <v>50</v>
      </c>
      <c r="C1187" s="19"/>
      <c r="D1187" s="19"/>
      <c r="E1187" s="20" t="s">
        <v>33</v>
      </c>
      <c r="F1187" s="20"/>
      <c r="G1187" s="21" t="s">
        <v>2559</v>
      </c>
      <c r="H1187" s="21"/>
      <c r="I1187" s="21"/>
      <c r="J1187" s="3" t="s">
        <v>35</v>
      </c>
      <c r="K1187" s="4" t="s">
        <v>74</v>
      </c>
      <c r="L1187" s="4" t="s">
        <v>37</v>
      </c>
      <c r="N1187" s="21" t="s">
        <v>2631</v>
      </c>
      <c r="O1187" s="21"/>
      <c r="P1187" s="21" t="s">
        <v>2632</v>
      </c>
      <c r="Q1187" s="21"/>
      <c r="R1187" s="21"/>
      <c r="S1187" s="3" t="s">
        <v>40</v>
      </c>
      <c r="T1187" s="21" t="s">
        <v>41</v>
      </c>
      <c r="U1187" s="21"/>
      <c r="V1187" s="4" t="s">
        <v>42</v>
      </c>
      <c r="W1187" s="4" t="s">
        <v>355</v>
      </c>
      <c r="X1187" s="4" t="s">
        <v>356</v>
      </c>
      <c r="Y1187" s="21" t="s">
        <v>65</v>
      </c>
      <c r="Z1187" s="21"/>
      <c r="AA1187" s="4" t="s">
        <v>46</v>
      </c>
      <c r="AB1187" s="4" t="s">
        <v>47</v>
      </c>
      <c r="AC1187" s="4" t="s">
        <v>57</v>
      </c>
      <c r="AD1187" s="4" t="s">
        <v>58</v>
      </c>
      <c r="AE1187" s="4" t="s">
        <v>48</v>
      </c>
      <c r="AF1187" s="4" t="s">
        <v>41</v>
      </c>
      <c r="AG1187" s="4" t="s">
        <v>2562</v>
      </c>
    </row>
    <row r="1188" spans="1:33" ht="16.5" customHeight="1" x14ac:dyDescent="0.2">
      <c r="A1188" s="2" t="s">
        <v>31</v>
      </c>
      <c r="B1188" s="19" t="s">
        <v>50</v>
      </c>
      <c r="C1188" s="19"/>
      <c r="D1188" s="19"/>
      <c r="E1188" s="20" t="s">
        <v>33</v>
      </c>
      <c r="F1188" s="20"/>
      <c r="G1188" s="21" t="s">
        <v>2559</v>
      </c>
      <c r="H1188" s="21"/>
      <c r="I1188" s="21"/>
      <c r="J1188" s="3" t="s">
        <v>35</v>
      </c>
      <c r="K1188" s="4" t="s">
        <v>74</v>
      </c>
      <c r="L1188" s="4" t="s">
        <v>37</v>
      </c>
      <c r="N1188" s="21" t="s">
        <v>2633</v>
      </c>
      <c r="O1188" s="21"/>
      <c r="P1188" s="21" t="s">
        <v>2634</v>
      </c>
      <c r="Q1188" s="21"/>
      <c r="R1188" s="21"/>
      <c r="S1188" s="3" t="s">
        <v>40</v>
      </c>
      <c r="T1188" s="21" t="s">
        <v>41</v>
      </c>
      <c r="U1188" s="21"/>
      <c r="V1188" s="4" t="s">
        <v>42</v>
      </c>
      <c r="W1188" s="4" t="s">
        <v>355</v>
      </c>
      <c r="X1188" s="4" t="s">
        <v>356</v>
      </c>
      <c r="Y1188" s="21" t="s">
        <v>65</v>
      </c>
      <c r="Z1188" s="21"/>
      <c r="AA1188" s="4" t="s">
        <v>46</v>
      </c>
      <c r="AB1188" s="4" t="s">
        <v>47</v>
      </c>
      <c r="AC1188" s="4" t="s">
        <v>57</v>
      </c>
      <c r="AD1188" s="4" t="s">
        <v>58</v>
      </c>
      <c r="AE1188" s="4" t="s">
        <v>48</v>
      </c>
      <c r="AF1188" s="4" t="s">
        <v>41</v>
      </c>
      <c r="AG1188" s="4" t="s">
        <v>2562</v>
      </c>
    </row>
    <row r="1189" spans="1:33" ht="16.5" customHeight="1" x14ac:dyDescent="0.2">
      <c r="A1189" s="2" t="s">
        <v>31</v>
      </c>
      <c r="B1189" s="19" t="s">
        <v>50</v>
      </c>
      <c r="C1189" s="19"/>
      <c r="D1189" s="19"/>
      <c r="E1189" s="20" t="s">
        <v>33</v>
      </c>
      <c r="F1189" s="20"/>
      <c r="G1189" s="21" t="s">
        <v>2559</v>
      </c>
      <c r="H1189" s="21"/>
      <c r="I1189" s="21"/>
      <c r="J1189" s="3" t="s">
        <v>35</v>
      </c>
      <c r="K1189" s="4" t="s">
        <v>120</v>
      </c>
      <c r="L1189" s="4" t="s">
        <v>68</v>
      </c>
      <c r="N1189" s="21" t="s">
        <v>2635</v>
      </c>
      <c r="O1189" s="21"/>
      <c r="P1189" s="21" t="s">
        <v>2636</v>
      </c>
      <c r="Q1189" s="21"/>
      <c r="R1189" s="21"/>
      <c r="S1189" s="3" t="s">
        <v>40</v>
      </c>
      <c r="T1189" s="21" t="s">
        <v>41</v>
      </c>
      <c r="U1189" s="21"/>
      <c r="V1189" s="4" t="s">
        <v>42</v>
      </c>
      <c r="W1189" s="4" t="s">
        <v>299</v>
      </c>
      <c r="X1189" s="4" t="s">
        <v>300</v>
      </c>
      <c r="Y1189" s="21" t="s">
        <v>65</v>
      </c>
      <c r="Z1189" s="21"/>
      <c r="AA1189" s="4" t="s">
        <v>46</v>
      </c>
      <c r="AB1189" s="4" t="s">
        <v>47</v>
      </c>
      <c r="AC1189" s="4" t="s">
        <v>66</v>
      </c>
      <c r="AD1189" s="4" t="s">
        <v>69</v>
      </c>
      <c r="AE1189" s="4" t="s">
        <v>48</v>
      </c>
      <c r="AF1189" s="4" t="s">
        <v>41</v>
      </c>
      <c r="AG1189" s="4" t="s">
        <v>2562</v>
      </c>
    </row>
    <row r="1190" spans="1:33" ht="16.5" customHeight="1" x14ac:dyDescent="0.2">
      <c r="A1190" s="2" t="s">
        <v>31</v>
      </c>
      <c r="B1190" s="19" t="s">
        <v>50</v>
      </c>
      <c r="C1190" s="19"/>
      <c r="D1190" s="19"/>
      <c r="E1190" s="20" t="s">
        <v>33</v>
      </c>
      <c r="F1190" s="20"/>
      <c r="G1190" s="21" t="s">
        <v>2559</v>
      </c>
      <c r="H1190" s="21"/>
      <c r="I1190" s="21"/>
      <c r="J1190" s="3" t="s">
        <v>35</v>
      </c>
      <c r="K1190" s="4" t="s">
        <v>133</v>
      </c>
      <c r="L1190" s="4" t="s">
        <v>231</v>
      </c>
      <c r="N1190" s="21" t="s">
        <v>2637</v>
      </c>
      <c r="O1190" s="21"/>
      <c r="P1190" s="21" t="s">
        <v>2638</v>
      </c>
      <c r="Q1190" s="21"/>
      <c r="R1190" s="21"/>
      <c r="S1190" s="3" t="s">
        <v>40</v>
      </c>
      <c r="T1190" s="21" t="s">
        <v>41</v>
      </c>
      <c r="U1190" s="21"/>
      <c r="V1190" s="4" t="s">
        <v>42</v>
      </c>
      <c r="W1190" s="4" t="s">
        <v>94</v>
      </c>
      <c r="X1190" s="4" t="s">
        <v>95</v>
      </c>
      <c r="Y1190" s="21" t="s">
        <v>138</v>
      </c>
      <c r="Z1190" s="21"/>
      <c r="AA1190" s="4" t="s">
        <v>46</v>
      </c>
      <c r="AB1190" s="4" t="s">
        <v>47</v>
      </c>
      <c r="AC1190" s="4" t="s">
        <v>57</v>
      </c>
      <c r="AD1190" s="4" t="s">
        <v>236</v>
      </c>
      <c r="AE1190" s="4" t="s">
        <v>48</v>
      </c>
      <c r="AF1190" s="4" t="s">
        <v>41</v>
      </c>
      <c r="AG1190" s="4" t="s">
        <v>2562</v>
      </c>
    </row>
    <row r="1191" spans="1:33" ht="16.5" customHeight="1" x14ac:dyDescent="0.2">
      <c r="A1191" s="2" t="s">
        <v>31</v>
      </c>
      <c r="B1191" s="19" t="s">
        <v>50</v>
      </c>
      <c r="C1191" s="19"/>
      <c r="D1191" s="19"/>
      <c r="E1191" s="20" t="s">
        <v>33</v>
      </c>
      <c r="F1191" s="20"/>
      <c r="G1191" s="21" t="s">
        <v>2559</v>
      </c>
      <c r="H1191" s="21"/>
      <c r="I1191" s="21"/>
      <c r="J1191" s="3" t="s">
        <v>35</v>
      </c>
      <c r="K1191" s="4" t="s">
        <v>74</v>
      </c>
      <c r="L1191" s="4" t="s">
        <v>37</v>
      </c>
      <c r="N1191" s="21" t="s">
        <v>2639</v>
      </c>
      <c r="O1191" s="21"/>
      <c r="P1191" s="21" t="s">
        <v>2640</v>
      </c>
      <c r="Q1191" s="21"/>
      <c r="R1191" s="21"/>
      <c r="S1191" s="3" t="s">
        <v>40</v>
      </c>
      <c r="T1191" s="21" t="s">
        <v>41</v>
      </c>
      <c r="U1191" s="21"/>
      <c r="V1191" s="4" t="s">
        <v>42</v>
      </c>
      <c r="W1191" s="4" t="s">
        <v>104</v>
      </c>
      <c r="X1191" s="4" t="s">
        <v>105</v>
      </c>
      <c r="Y1191" s="21" t="s">
        <v>65</v>
      </c>
      <c r="Z1191" s="21"/>
      <c r="AA1191" s="4" t="s">
        <v>46</v>
      </c>
      <c r="AB1191" s="4" t="s">
        <v>47</v>
      </c>
      <c r="AC1191" s="4" t="s">
        <v>66</v>
      </c>
      <c r="AD1191" s="4" t="s">
        <v>73</v>
      </c>
      <c r="AE1191" s="4" t="s">
        <v>48</v>
      </c>
      <c r="AF1191" s="4" t="s">
        <v>41</v>
      </c>
      <c r="AG1191" s="4" t="s">
        <v>2562</v>
      </c>
    </row>
    <row r="1192" spans="1:33" ht="16.5" customHeight="1" x14ac:dyDescent="0.2">
      <c r="A1192" s="2" t="s">
        <v>31</v>
      </c>
      <c r="B1192" s="19" t="s">
        <v>50</v>
      </c>
      <c r="C1192" s="19"/>
      <c r="D1192" s="19"/>
      <c r="E1192" s="20" t="s">
        <v>33</v>
      </c>
      <c r="F1192" s="20"/>
      <c r="G1192" s="21" t="s">
        <v>2559</v>
      </c>
      <c r="H1192" s="21"/>
      <c r="I1192" s="21"/>
      <c r="J1192" s="3" t="s">
        <v>35</v>
      </c>
      <c r="K1192" s="4" t="s">
        <v>120</v>
      </c>
      <c r="L1192" s="4" t="s">
        <v>37</v>
      </c>
      <c r="N1192" s="21" t="s">
        <v>2641</v>
      </c>
      <c r="O1192" s="21"/>
      <c r="P1192" s="21" t="s">
        <v>2642</v>
      </c>
      <c r="Q1192" s="21"/>
      <c r="R1192" s="21"/>
      <c r="S1192" s="3" t="s">
        <v>40</v>
      </c>
      <c r="T1192" s="21" t="s">
        <v>41</v>
      </c>
      <c r="U1192" s="21"/>
      <c r="V1192" s="4" t="s">
        <v>42</v>
      </c>
      <c r="W1192" s="4" t="s">
        <v>2643</v>
      </c>
      <c r="X1192" s="4" t="s">
        <v>86</v>
      </c>
      <c r="Y1192" s="21" t="s">
        <v>65</v>
      </c>
      <c r="Z1192" s="21"/>
      <c r="AA1192" s="4" t="s">
        <v>46</v>
      </c>
      <c r="AB1192" s="4" t="s">
        <v>47</v>
      </c>
      <c r="AC1192" s="4" t="s">
        <v>66</v>
      </c>
      <c r="AD1192" s="4" t="s">
        <v>73</v>
      </c>
      <c r="AE1192" s="4" t="s">
        <v>48</v>
      </c>
      <c r="AF1192" s="4" t="s">
        <v>41</v>
      </c>
      <c r="AG1192" s="4" t="s">
        <v>2562</v>
      </c>
    </row>
    <row r="1193" spans="1:33" ht="16.5" customHeight="1" x14ac:dyDescent="0.2">
      <c r="A1193" s="2" t="s">
        <v>31</v>
      </c>
      <c r="B1193" s="19" t="s">
        <v>50</v>
      </c>
      <c r="C1193" s="19"/>
      <c r="D1193" s="19"/>
      <c r="E1193" s="20" t="s">
        <v>33</v>
      </c>
      <c r="F1193" s="20"/>
      <c r="G1193" s="21" t="s">
        <v>2559</v>
      </c>
      <c r="H1193" s="21"/>
      <c r="I1193" s="21"/>
      <c r="J1193" s="3" t="s">
        <v>35</v>
      </c>
      <c r="K1193" s="4" t="s">
        <v>120</v>
      </c>
      <c r="L1193" s="4" t="s">
        <v>37</v>
      </c>
      <c r="N1193" s="21" t="s">
        <v>2644</v>
      </c>
      <c r="O1193" s="21"/>
      <c r="P1193" s="21" t="s">
        <v>2645</v>
      </c>
      <c r="Q1193" s="21"/>
      <c r="R1193" s="21"/>
      <c r="S1193" s="3" t="s">
        <v>40</v>
      </c>
      <c r="T1193" s="21" t="s">
        <v>41</v>
      </c>
      <c r="U1193" s="21"/>
      <c r="V1193" s="4" t="s">
        <v>42</v>
      </c>
      <c r="W1193" s="4" t="s">
        <v>54</v>
      </c>
      <c r="X1193" s="4" t="s">
        <v>55</v>
      </c>
      <c r="Y1193" s="21" t="s">
        <v>65</v>
      </c>
      <c r="Z1193" s="21"/>
      <c r="AA1193" s="4" t="s">
        <v>46</v>
      </c>
      <c r="AB1193" s="4" t="s">
        <v>47</v>
      </c>
      <c r="AC1193" s="4" t="s">
        <v>66</v>
      </c>
      <c r="AD1193" s="4" t="s">
        <v>73</v>
      </c>
      <c r="AE1193" s="4" t="s">
        <v>48</v>
      </c>
      <c r="AF1193" s="4" t="s">
        <v>41</v>
      </c>
      <c r="AG1193" s="4" t="s">
        <v>2562</v>
      </c>
    </row>
    <row r="1194" spans="1:33" ht="16.5" customHeight="1" x14ac:dyDescent="0.2">
      <c r="A1194" s="2" t="s">
        <v>31</v>
      </c>
      <c r="B1194" s="19" t="s">
        <v>50</v>
      </c>
      <c r="C1194" s="19"/>
      <c r="D1194" s="19"/>
      <c r="E1194" s="20" t="s">
        <v>33</v>
      </c>
      <c r="F1194" s="20"/>
      <c r="G1194" s="21" t="s">
        <v>2559</v>
      </c>
      <c r="H1194" s="21"/>
      <c r="I1194" s="21"/>
      <c r="J1194" s="3" t="s">
        <v>35</v>
      </c>
      <c r="K1194" s="4" t="s">
        <v>204</v>
      </c>
      <c r="L1194" s="4" t="s">
        <v>68</v>
      </c>
      <c r="N1194" s="21" t="s">
        <v>2646</v>
      </c>
      <c r="O1194" s="21"/>
      <c r="P1194" s="21" t="s">
        <v>2647</v>
      </c>
      <c r="Q1194" s="21"/>
      <c r="R1194" s="21"/>
      <c r="S1194" s="3" t="s">
        <v>40</v>
      </c>
      <c r="T1194" s="21" t="s">
        <v>41</v>
      </c>
      <c r="U1194" s="21"/>
      <c r="V1194" s="4" t="s">
        <v>42</v>
      </c>
      <c r="W1194" s="4" t="s">
        <v>54</v>
      </c>
      <c r="X1194" s="4" t="s">
        <v>55</v>
      </c>
      <c r="Y1194" s="21" t="s">
        <v>198</v>
      </c>
      <c r="Z1194" s="21"/>
      <c r="AA1194" s="4" t="s">
        <v>46</v>
      </c>
      <c r="AB1194" s="4" t="s">
        <v>47</v>
      </c>
      <c r="AC1194" s="4" t="s">
        <v>139</v>
      </c>
      <c r="AD1194" s="4" t="s">
        <v>151</v>
      </c>
      <c r="AE1194" s="4" t="s">
        <v>48</v>
      </c>
      <c r="AF1194" s="4" t="s">
        <v>41</v>
      </c>
      <c r="AG1194" s="4" t="s">
        <v>2562</v>
      </c>
    </row>
    <row r="1195" spans="1:33" ht="16.5" customHeight="1" x14ac:dyDescent="0.2">
      <c r="A1195" s="2" t="s">
        <v>31</v>
      </c>
      <c r="B1195" s="19" t="s">
        <v>50</v>
      </c>
      <c r="C1195" s="19"/>
      <c r="D1195" s="19"/>
      <c r="E1195" s="20" t="s">
        <v>33</v>
      </c>
      <c r="F1195" s="20"/>
      <c r="G1195" s="21" t="s">
        <v>2559</v>
      </c>
      <c r="H1195" s="21"/>
      <c r="I1195" s="21"/>
      <c r="J1195" s="3" t="s">
        <v>35</v>
      </c>
      <c r="K1195" s="4" t="s">
        <v>74</v>
      </c>
      <c r="L1195" s="4" t="s">
        <v>37</v>
      </c>
      <c r="N1195" s="21" t="s">
        <v>2648</v>
      </c>
      <c r="O1195" s="21"/>
      <c r="P1195" s="21" t="s">
        <v>2649</v>
      </c>
      <c r="Q1195" s="21"/>
      <c r="R1195" s="21"/>
      <c r="S1195" s="3" t="s">
        <v>40</v>
      </c>
      <c r="T1195" s="21" t="s">
        <v>41</v>
      </c>
      <c r="U1195" s="21"/>
      <c r="V1195" s="4" t="s">
        <v>42</v>
      </c>
      <c r="W1195" s="4" t="s">
        <v>54</v>
      </c>
      <c r="X1195" s="4" t="s">
        <v>55</v>
      </c>
      <c r="Y1195" s="21" t="s">
        <v>65</v>
      </c>
      <c r="Z1195" s="21"/>
      <c r="AA1195" s="4" t="s">
        <v>46</v>
      </c>
      <c r="AB1195" s="4" t="s">
        <v>47</v>
      </c>
      <c r="AC1195" s="4" t="s">
        <v>66</v>
      </c>
      <c r="AD1195" s="4" t="s">
        <v>73</v>
      </c>
      <c r="AE1195" s="4" t="s">
        <v>48</v>
      </c>
      <c r="AF1195" s="4" t="s">
        <v>41</v>
      </c>
      <c r="AG1195" s="4" t="s">
        <v>2562</v>
      </c>
    </row>
    <row r="1196" spans="1:33" ht="16.5" customHeight="1" x14ac:dyDescent="0.2">
      <c r="A1196" s="2" t="s">
        <v>31</v>
      </c>
      <c r="B1196" s="19" t="s">
        <v>50</v>
      </c>
      <c r="C1196" s="19"/>
      <c r="D1196" s="19"/>
      <c r="E1196" s="20" t="s">
        <v>33</v>
      </c>
      <c r="F1196" s="20"/>
      <c r="G1196" s="21" t="s">
        <v>2559</v>
      </c>
      <c r="H1196" s="21"/>
      <c r="I1196" s="21"/>
      <c r="J1196" s="3" t="s">
        <v>35</v>
      </c>
      <c r="K1196" s="4" t="s">
        <v>1032</v>
      </c>
      <c r="L1196" s="4" t="s">
        <v>37</v>
      </c>
      <c r="N1196" s="21" t="s">
        <v>2650</v>
      </c>
      <c r="O1196" s="21"/>
      <c r="P1196" s="21" t="s">
        <v>2651</v>
      </c>
      <c r="Q1196" s="21"/>
      <c r="R1196" s="21"/>
      <c r="S1196" s="3" t="s">
        <v>40</v>
      </c>
      <c r="T1196" s="21" t="s">
        <v>41</v>
      </c>
      <c r="U1196" s="21"/>
      <c r="V1196" s="4" t="s">
        <v>42</v>
      </c>
      <c r="W1196" s="4" t="s">
        <v>54</v>
      </c>
      <c r="X1196" s="4" t="s">
        <v>55</v>
      </c>
      <c r="Y1196" s="21" t="s">
        <v>56</v>
      </c>
      <c r="Z1196" s="21"/>
      <c r="AA1196" s="4" t="s">
        <v>46</v>
      </c>
      <c r="AB1196" s="4" t="s">
        <v>47</v>
      </c>
      <c r="AC1196" s="4" t="s">
        <v>57</v>
      </c>
      <c r="AD1196" s="4" t="s">
        <v>58</v>
      </c>
      <c r="AE1196" s="4" t="s">
        <v>48</v>
      </c>
      <c r="AF1196" s="4" t="s">
        <v>41</v>
      </c>
      <c r="AG1196" s="4" t="s">
        <v>2562</v>
      </c>
    </row>
    <row r="1197" spans="1:33" ht="16.5" customHeight="1" x14ac:dyDescent="0.2">
      <c r="A1197" s="2" t="s">
        <v>31</v>
      </c>
      <c r="B1197" s="19" t="s">
        <v>50</v>
      </c>
      <c r="C1197" s="19"/>
      <c r="D1197" s="19"/>
      <c r="E1197" s="20" t="s">
        <v>33</v>
      </c>
      <c r="F1197" s="20"/>
      <c r="G1197" s="21" t="s">
        <v>2559</v>
      </c>
      <c r="H1197" s="21"/>
      <c r="I1197" s="21"/>
      <c r="J1197" s="3" t="s">
        <v>35</v>
      </c>
      <c r="K1197" s="4" t="s">
        <v>87</v>
      </c>
      <c r="L1197" s="4" t="s">
        <v>37</v>
      </c>
      <c r="N1197" s="21" t="s">
        <v>2652</v>
      </c>
      <c r="O1197" s="21"/>
      <c r="P1197" s="21" t="s">
        <v>2653</v>
      </c>
      <c r="Q1197" s="21"/>
      <c r="R1197" s="21"/>
      <c r="S1197" s="3" t="s">
        <v>40</v>
      </c>
      <c r="T1197" s="21" t="s">
        <v>41</v>
      </c>
      <c r="U1197" s="21"/>
      <c r="V1197" s="4" t="s">
        <v>42</v>
      </c>
      <c r="W1197" s="4" t="s">
        <v>54</v>
      </c>
      <c r="X1197" s="4" t="s">
        <v>55</v>
      </c>
      <c r="Y1197" s="21" t="s">
        <v>56</v>
      </c>
      <c r="Z1197" s="21"/>
      <c r="AA1197" s="4" t="s">
        <v>46</v>
      </c>
      <c r="AB1197" s="4" t="s">
        <v>47</v>
      </c>
      <c r="AC1197" s="4" t="s">
        <v>57</v>
      </c>
      <c r="AD1197" s="4" t="s">
        <v>58</v>
      </c>
      <c r="AE1197" s="4" t="s">
        <v>48</v>
      </c>
      <c r="AF1197" s="4" t="s">
        <v>41</v>
      </c>
      <c r="AG1197" s="4" t="s">
        <v>2562</v>
      </c>
    </row>
    <row r="1198" spans="1:33" ht="16.5" customHeight="1" x14ac:dyDescent="0.2">
      <c r="A1198" s="2" t="s">
        <v>31</v>
      </c>
      <c r="B1198" s="19" t="s">
        <v>50</v>
      </c>
      <c r="C1198" s="19"/>
      <c r="D1198" s="19"/>
      <c r="E1198" s="20" t="s">
        <v>33</v>
      </c>
      <c r="F1198" s="20"/>
      <c r="G1198" s="21" t="s">
        <v>2559</v>
      </c>
      <c r="H1198" s="21"/>
      <c r="I1198" s="21"/>
      <c r="J1198" s="3" t="s">
        <v>35</v>
      </c>
      <c r="K1198" s="4" t="s">
        <v>204</v>
      </c>
      <c r="L1198" s="4" t="s">
        <v>37</v>
      </c>
      <c r="N1198" s="21" t="s">
        <v>2654</v>
      </c>
      <c r="O1198" s="21"/>
      <c r="P1198" s="21" t="s">
        <v>2655</v>
      </c>
      <c r="Q1198" s="21"/>
      <c r="R1198" s="21"/>
      <c r="S1198" s="3" t="s">
        <v>40</v>
      </c>
      <c r="T1198" s="21" t="s">
        <v>41</v>
      </c>
      <c r="U1198" s="21"/>
      <c r="V1198" s="4" t="s">
        <v>42</v>
      </c>
      <c r="W1198" s="4" t="s">
        <v>130</v>
      </c>
      <c r="X1198" s="4" t="s">
        <v>60</v>
      </c>
      <c r="Y1198" s="21" t="s">
        <v>198</v>
      </c>
      <c r="Z1198" s="21"/>
      <c r="AA1198" s="4" t="s">
        <v>46</v>
      </c>
      <c r="AB1198" s="4" t="s">
        <v>47</v>
      </c>
      <c r="AC1198" s="4" t="s">
        <v>139</v>
      </c>
      <c r="AD1198" s="4" t="s">
        <v>140</v>
      </c>
      <c r="AE1198" s="4" t="s">
        <v>48</v>
      </c>
      <c r="AF1198" s="4" t="s">
        <v>41</v>
      </c>
      <c r="AG1198" s="4" t="s">
        <v>2562</v>
      </c>
    </row>
    <row r="1199" spans="1:33" ht="16.5" customHeight="1" x14ac:dyDescent="0.2">
      <c r="A1199" s="2" t="s">
        <v>31</v>
      </c>
      <c r="B1199" s="19" t="s">
        <v>50</v>
      </c>
      <c r="C1199" s="19"/>
      <c r="D1199" s="19"/>
      <c r="E1199" s="20" t="s">
        <v>33</v>
      </c>
      <c r="F1199" s="20"/>
      <c r="G1199" s="21" t="s">
        <v>2559</v>
      </c>
      <c r="H1199" s="21"/>
      <c r="I1199" s="21"/>
      <c r="J1199" s="3" t="s">
        <v>35</v>
      </c>
      <c r="K1199" s="4" t="s">
        <v>265</v>
      </c>
      <c r="L1199" s="4" t="s">
        <v>37</v>
      </c>
      <c r="N1199" s="21" t="s">
        <v>2656</v>
      </c>
      <c r="O1199" s="21"/>
      <c r="P1199" s="21" t="s">
        <v>2657</v>
      </c>
      <c r="Q1199" s="21"/>
      <c r="R1199" s="21"/>
      <c r="S1199" s="3" t="s">
        <v>40</v>
      </c>
      <c r="T1199" s="21" t="s">
        <v>41</v>
      </c>
      <c r="U1199" s="21"/>
      <c r="V1199" s="4" t="s">
        <v>42</v>
      </c>
      <c r="W1199" s="4" t="s">
        <v>130</v>
      </c>
      <c r="X1199" s="4" t="s">
        <v>60</v>
      </c>
      <c r="Y1199" s="21" t="s">
        <v>56</v>
      </c>
      <c r="Z1199" s="21"/>
      <c r="AA1199" s="4" t="s">
        <v>46</v>
      </c>
      <c r="AB1199" s="4" t="s">
        <v>47</v>
      </c>
      <c r="AC1199" s="4" t="s">
        <v>57</v>
      </c>
      <c r="AD1199" s="4" t="s">
        <v>58</v>
      </c>
      <c r="AE1199" s="4" t="s">
        <v>48</v>
      </c>
      <c r="AF1199" s="4" t="s">
        <v>41</v>
      </c>
      <c r="AG1199" s="4" t="s">
        <v>2562</v>
      </c>
    </row>
    <row r="1200" spans="1:33" ht="16.5" customHeight="1" x14ac:dyDescent="0.2">
      <c r="A1200" s="2" t="s">
        <v>31</v>
      </c>
      <c r="B1200" s="19" t="s">
        <v>50</v>
      </c>
      <c r="C1200" s="19"/>
      <c r="D1200" s="19"/>
      <c r="E1200" s="20" t="s">
        <v>33</v>
      </c>
      <c r="F1200" s="20"/>
      <c r="G1200" s="21" t="s">
        <v>2559</v>
      </c>
      <c r="H1200" s="21"/>
      <c r="I1200" s="21"/>
      <c r="J1200" s="3" t="s">
        <v>35</v>
      </c>
      <c r="K1200" s="4" t="s">
        <v>51</v>
      </c>
      <c r="L1200" s="4" t="s">
        <v>231</v>
      </c>
      <c r="N1200" s="21" t="s">
        <v>2658</v>
      </c>
      <c r="O1200" s="21"/>
      <c r="P1200" s="21" t="s">
        <v>2659</v>
      </c>
      <c r="Q1200" s="21"/>
      <c r="R1200" s="21"/>
      <c r="S1200" s="3" t="s">
        <v>40</v>
      </c>
      <c r="T1200" s="21" t="s">
        <v>41</v>
      </c>
      <c r="U1200" s="21"/>
      <c r="V1200" s="4" t="s">
        <v>42</v>
      </c>
      <c r="W1200" s="4" t="s">
        <v>54</v>
      </c>
      <c r="X1200" s="4" t="s">
        <v>55</v>
      </c>
      <c r="Y1200" s="21" t="s">
        <v>56</v>
      </c>
      <c r="Z1200" s="21"/>
      <c r="AA1200" s="4" t="s">
        <v>46</v>
      </c>
      <c r="AB1200" s="4" t="s">
        <v>47</v>
      </c>
      <c r="AC1200" s="4" t="s">
        <v>57</v>
      </c>
      <c r="AD1200" s="4" t="s">
        <v>236</v>
      </c>
      <c r="AE1200" s="4" t="s">
        <v>48</v>
      </c>
      <c r="AF1200" s="4" t="s">
        <v>41</v>
      </c>
      <c r="AG1200" s="4" t="s">
        <v>2562</v>
      </c>
    </row>
    <row r="1201" spans="1:33" ht="16.5" customHeight="1" x14ac:dyDescent="0.2">
      <c r="A1201" s="2" t="s">
        <v>31</v>
      </c>
      <c r="B1201" s="19" t="s">
        <v>50</v>
      </c>
      <c r="C1201" s="19"/>
      <c r="D1201" s="19"/>
      <c r="E1201" s="20" t="s">
        <v>33</v>
      </c>
      <c r="F1201" s="20"/>
      <c r="G1201" s="21" t="s">
        <v>2559</v>
      </c>
      <c r="H1201" s="21"/>
      <c r="I1201" s="21"/>
      <c r="J1201" s="3" t="s">
        <v>35</v>
      </c>
      <c r="K1201" s="4" t="s">
        <v>413</v>
      </c>
      <c r="L1201" s="4" t="s">
        <v>37</v>
      </c>
      <c r="N1201" s="21" t="s">
        <v>2660</v>
      </c>
      <c r="O1201" s="21"/>
      <c r="P1201" s="21" t="s">
        <v>2661</v>
      </c>
      <c r="Q1201" s="21"/>
      <c r="R1201" s="21"/>
      <c r="S1201" s="3" t="s">
        <v>40</v>
      </c>
      <c r="T1201" s="21" t="s">
        <v>41</v>
      </c>
      <c r="U1201" s="21"/>
      <c r="V1201" s="4" t="s">
        <v>42</v>
      </c>
      <c r="W1201" s="4" t="s">
        <v>130</v>
      </c>
      <c r="X1201" s="4" t="s">
        <v>60</v>
      </c>
      <c r="Y1201" s="21" t="s">
        <v>198</v>
      </c>
      <c r="Z1201" s="21"/>
      <c r="AA1201" s="4" t="s">
        <v>46</v>
      </c>
      <c r="AB1201" s="4" t="s">
        <v>47</v>
      </c>
      <c r="AC1201" s="4" t="s">
        <v>139</v>
      </c>
      <c r="AD1201" s="4" t="s">
        <v>140</v>
      </c>
      <c r="AE1201" s="4" t="s">
        <v>48</v>
      </c>
      <c r="AF1201" s="4" t="s">
        <v>41</v>
      </c>
      <c r="AG1201" s="4" t="s">
        <v>2562</v>
      </c>
    </row>
    <row r="1202" spans="1:33" ht="16.5" customHeight="1" x14ac:dyDescent="0.2">
      <c r="A1202" s="2" t="s">
        <v>31</v>
      </c>
      <c r="B1202" s="19" t="s">
        <v>50</v>
      </c>
      <c r="C1202" s="19"/>
      <c r="D1202" s="19"/>
      <c r="E1202" s="20" t="s">
        <v>33</v>
      </c>
      <c r="F1202" s="20"/>
      <c r="G1202" s="21" t="s">
        <v>2559</v>
      </c>
      <c r="H1202" s="21"/>
      <c r="I1202" s="21"/>
      <c r="J1202" s="3" t="s">
        <v>35</v>
      </c>
      <c r="K1202" s="4" t="s">
        <v>193</v>
      </c>
      <c r="L1202" s="4" t="s">
        <v>37</v>
      </c>
      <c r="N1202" s="21" t="s">
        <v>2662</v>
      </c>
      <c r="O1202" s="21"/>
      <c r="P1202" s="21" t="s">
        <v>2663</v>
      </c>
      <c r="Q1202" s="21"/>
      <c r="R1202" s="21"/>
      <c r="S1202" s="3" t="s">
        <v>40</v>
      </c>
      <c r="T1202" s="21" t="s">
        <v>41</v>
      </c>
      <c r="U1202" s="21"/>
      <c r="V1202" s="4" t="s">
        <v>42</v>
      </c>
      <c r="W1202" s="4" t="s">
        <v>130</v>
      </c>
      <c r="X1202" s="4" t="s">
        <v>60</v>
      </c>
      <c r="Y1202" s="21" t="s">
        <v>198</v>
      </c>
      <c r="Z1202" s="21"/>
      <c r="AA1202" s="4" t="s">
        <v>46</v>
      </c>
      <c r="AB1202" s="4" t="s">
        <v>47</v>
      </c>
      <c r="AC1202" s="4" t="s">
        <v>139</v>
      </c>
      <c r="AD1202" s="4" t="s">
        <v>140</v>
      </c>
      <c r="AE1202" s="4" t="s">
        <v>48</v>
      </c>
      <c r="AF1202" s="4" t="s">
        <v>41</v>
      </c>
      <c r="AG1202" s="4" t="s">
        <v>2562</v>
      </c>
    </row>
    <row r="1203" spans="1:33" ht="16.5" customHeight="1" x14ac:dyDescent="0.2">
      <c r="A1203" s="2" t="s">
        <v>31</v>
      </c>
      <c r="B1203" s="19" t="s">
        <v>50</v>
      </c>
      <c r="C1203" s="19"/>
      <c r="D1203" s="19"/>
      <c r="E1203" s="20" t="s">
        <v>33</v>
      </c>
      <c r="F1203" s="20"/>
      <c r="G1203" s="21" t="s">
        <v>2559</v>
      </c>
      <c r="H1203" s="21"/>
      <c r="I1203" s="21"/>
      <c r="J1203" s="3" t="s">
        <v>35</v>
      </c>
      <c r="K1203" s="4" t="s">
        <v>99</v>
      </c>
      <c r="L1203" s="4" t="s">
        <v>37</v>
      </c>
      <c r="N1203" s="21" t="s">
        <v>2664</v>
      </c>
      <c r="O1203" s="21"/>
      <c r="P1203" s="21" t="s">
        <v>2665</v>
      </c>
      <c r="Q1203" s="21"/>
      <c r="R1203" s="21"/>
      <c r="S1203" s="3" t="s">
        <v>40</v>
      </c>
      <c r="T1203" s="21" t="s">
        <v>41</v>
      </c>
      <c r="U1203" s="21"/>
      <c r="V1203" s="4" t="s">
        <v>42</v>
      </c>
      <c r="W1203" s="4" t="s">
        <v>130</v>
      </c>
      <c r="X1203" s="4" t="s">
        <v>60</v>
      </c>
      <c r="Y1203" s="21" t="s">
        <v>56</v>
      </c>
      <c r="Z1203" s="21"/>
      <c r="AA1203" s="4" t="s">
        <v>46</v>
      </c>
      <c r="AB1203" s="4" t="s">
        <v>47</v>
      </c>
      <c r="AC1203" s="4" t="s">
        <v>57</v>
      </c>
      <c r="AD1203" s="4" t="s">
        <v>58</v>
      </c>
      <c r="AE1203" s="4" t="s">
        <v>48</v>
      </c>
      <c r="AF1203" s="4" t="s">
        <v>41</v>
      </c>
      <c r="AG1203" s="4" t="s">
        <v>2562</v>
      </c>
    </row>
    <row r="1204" spans="1:33" ht="16.5" customHeight="1" x14ac:dyDescent="0.2">
      <c r="A1204" s="2" t="s">
        <v>31</v>
      </c>
      <c r="B1204" s="19" t="s">
        <v>50</v>
      </c>
      <c r="C1204" s="19"/>
      <c r="D1204" s="19"/>
      <c r="E1204" s="20" t="s">
        <v>33</v>
      </c>
      <c r="F1204" s="20"/>
      <c r="G1204" s="21" t="s">
        <v>2559</v>
      </c>
      <c r="H1204" s="21"/>
      <c r="I1204" s="21"/>
      <c r="J1204" s="3" t="s">
        <v>35</v>
      </c>
      <c r="K1204" s="4" t="s">
        <v>247</v>
      </c>
      <c r="L1204" s="4" t="s">
        <v>37</v>
      </c>
      <c r="N1204" s="21" t="s">
        <v>2666</v>
      </c>
      <c r="O1204" s="21"/>
      <c r="P1204" s="21" t="s">
        <v>2667</v>
      </c>
      <c r="Q1204" s="21"/>
      <c r="R1204" s="21"/>
      <c r="S1204" s="3" t="s">
        <v>40</v>
      </c>
      <c r="T1204" s="21" t="s">
        <v>41</v>
      </c>
      <c r="U1204" s="21"/>
      <c r="V1204" s="4" t="s">
        <v>42</v>
      </c>
      <c r="W1204" s="4" t="s">
        <v>130</v>
      </c>
      <c r="X1204" s="4" t="s">
        <v>60</v>
      </c>
      <c r="Y1204" s="21" t="s">
        <v>65</v>
      </c>
      <c r="Z1204" s="21"/>
      <c r="AA1204" s="4" t="s">
        <v>46</v>
      </c>
      <c r="AB1204" s="4" t="s">
        <v>47</v>
      </c>
      <c r="AC1204" s="4" t="s">
        <v>66</v>
      </c>
      <c r="AD1204" s="4" t="s">
        <v>73</v>
      </c>
      <c r="AE1204" s="4" t="s">
        <v>48</v>
      </c>
      <c r="AF1204" s="4" t="s">
        <v>41</v>
      </c>
      <c r="AG1204" s="4" t="s">
        <v>2562</v>
      </c>
    </row>
    <row r="1205" spans="1:33" ht="16.5" customHeight="1" x14ac:dyDescent="0.2">
      <c r="A1205" s="2" t="s">
        <v>31</v>
      </c>
      <c r="B1205" s="19" t="s">
        <v>50</v>
      </c>
      <c r="C1205" s="19"/>
      <c r="D1205" s="19"/>
      <c r="E1205" s="20" t="s">
        <v>33</v>
      </c>
      <c r="F1205" s="20"/>
      <c r="G1205" s="21" t="s">
        <v>2559</v>
      </c>
      <c r="H1205" s="21"/>
      <c r="I1205" s="21"/>
      <c r="J1205" s="3" t="s">
        <v>35</v>
      </c>
      <c r="K1205" s="4" t="s">
        <v>169</v>
      </c>
      <c r="L1205" s="4" t="s">
        <v>231</v>
      </c>
      <c r="N1205" s="21" t="s">
        <v>2668</v>
      </c>
      <c r="O1205" s="21"/>
      <c r="P1205" s="21" t="s">
        <v>2669</v>
      </c>
      <c r="Q1205" s="21"/>
      <c r="R1205" s="21"/>
      <c r="S1205" s="3" t="s">
        <v>40</v>
      </c>
      <c r="T1205" s="21" t="s">
        <v>41</v>
      </c>
      <c r="U1205" s="21"/>
      <c r="V1205" s="4" t="s">
        <v>42</v>
      </c>
      <c r="W1205" s="4" t="s">
        <v>130</v>
      </c>
      <c r="X1205" s="4" t="s">
        <v>60</v>
      </c>
      <c r="Y1205" s="21" t="s">
        <v>56</v>
      </c>
      <c r="Z1205" s="21"/>
      <c r="AA1205" s="4" t="s">
        <v>46</v>
      </c>
      <c r="AB1205" s="4" t="s">
        <v>47</v>
      </c>
      <c r="AC1205" s="4" t="s">
        <v>57</v>
      </c>
      <c r="AD1205" s="4" t="s">
        <v>236</v>
      </c>
      <c r="AE1205" s="4" t="s">
        <v>48</v>
      </c>
      <c r="AF1205" s="4" t="s">
        <v>41</v>
      </c>
      <c r="AG1205" s="4" t="s">
        <v>2562</v>
      </c>
    </row>
    <row r="1206" spans="1:33" ht="16.5" customHeight="1" x14ac:dyDescent="0.2">
      <c r="A1206" s="2" t="s">
        <v>31</v>
      </c>
      <c r="B1206" s="19" t="s">
        <v>50</v>
      </c>
      <c r="C1206" s="19"/>
      <c r="D1206" s="19"/>
      <c r="E1206" s="20" t="s">
        <v>33</v>
      </c>
      <c r="F1206" s="20"/>
      <c r="G1206" s="21" t="s">
        <v>2559</v>
      </c>
      <c r="H1206" s="21"/>
      <c r="I1206" s="21"/>
      <c r="J1206" s="3" t="s">
        <v>35</v>
      </c>
      <c r="K1206" s="4" t="s">
        <v>169</v>
      </c>
      <c r="L1206" s="4" t="s">
        <v>231</v>
      </c>
      <c r="N1206" s="21" t="s">
        <v>2668</v>
      </c>
      <c r="O1206" s="21"/>
      <c r="P1206" s="21" t="s">
        <v>2669</v>
      </c>
      <c r="Q1206" s="21"/>
      <c r="R1206" s="21"/>
      <c r="S1206" s="3" t="s">
        <v>40</v>
      </c>
      <c r="T1206" s="21" t="s">
        <v>41</v>
      </c>
      <c r="U1206" s="21"/>
      <c r="V1206" s="4" t="s">
        <v>59</v>
      </c>
      <c r="W1206" s="4" t="s">
        <v>130</v>
      </c>
      <c r="X1206" s="4" t="s">
        <v>131</v>
      </c>
      <c r="Y1206" s="21" t="s">
        <v>56</v>
      </c>
      <c r="Z1206" s="21"/>
      <c r="AA1206" s="4" t="s">
        <v>46</v>
      </c>
      <c r="AB1206" s="4" t="s">
        <v>47</v>
      </c>
      <c r="AC1206" s="4" t="s">
        <v>57</v>
      </c>
      <c r="AD1206" s="4" t="s">
        <v>236</v>
      </c>
      <c r="AE1206" s="4" t="s">
        <v>48</v>
      </c>
      <c r="AF1206" s="4" t="s">
        <v>41</v>
      </c>
      <c r="AG1206" s="4" t="s">
        <v>2562</v>
      </c>
    </row>
    <row r="1207" spans="1:33" ht="16.5" customHeight="1" x14ac:dyDescent="0.2">
      <c r="A1207" s="2" t="s">
        <v>31</v>
      </c>
      <c r="B1207" s="19" t="s">
        <v>50</v>
      </c>
      <c r="C1207" s="19"/>
      <c r="D1207" s="19"/>
      <c r="E1207" s="20" t="s">
        <v>33</v>
      </c>
      <c r="F1207" s="20"/>
      <c r="G1207" s="21" t="s">
        <v>2559</v>
      </c>
      <c r="H1207" s="21"/>
      <c r="I1207" s="21"/>
      <c r="J1207" s="3" t="s">
        <v>35</v>
      </c>
      <c r="K1207" s="4" t="s">
        <v>99</v>
      </c>
      <c r="L1207" s="4" t="s">
        <v>37</v>
      </c>
      <c r="N1207" s="21" t="s">
        <v>2670</v>
      </c>
      <c r="O1207" s="21"/>
      <c r="P1207" s="21" t="s">
        <v>2671</v>
      </c>
      <c r="Q1207" s="21"/>
      <c r="R1207" s="21"/>
      <c r="S1207" s="3" t="s">
        <v>40</v>
      </c>
      <c r="T1207" s="21" t="s">
        <v>41</v>
      </c>
      <c r="U1207" s="21"/>
      <c r="V1207" s="4" t="s">
        <v>42</v>
      </c>
      <c r="W1207" s="4" t="s">
        <v>59</v>
      </c>
      <c r="X1207" s="4" t="s">
        <v>131</v>
      </c>
      <c r="Y1207" s="21" t="s">
        <v>56</v>
      </c>
      <c r="Z1207" s="21"/>
      <c r="AA1207" s="4" t="s">
        <v>46</v>
      </c>
      <c r="AB1207" s="4" t="s">
        <v>47</v>
      </c>
      <c r="AC1207" s="4" t="s">
        <v>57</v>
      </c>
      <c r="AD1207" s="4" t="s">
        <v>58</v>
      </c>
      <c r="AE1207" s="4" t="s">
        <v>48</v>
      </c>
      <c r="AF1207" s="4" t="s">
        <v>41</v>
      </c>
      <c r="AG1207" s="4" t="s">
        <v>2562</v>
      </c>
    </row>
    <row r="1208" spans="1:33" ht="16.5" customHeight="1" x14ac:dyDescent="0.2">
      <c r="A1208" s="2" t="s">
        <v>31</v>
      </c>
      <c r="B1208" s="19" t="s">
        <v>110</v>
      </c>
      <c r="C1208" s="19"/>
      <c r="D1208" s="19"/>
      <c r="E1208" s="20" t="s">
        <v>33</v>
      </c>
      <c r="F1208" s="20"/>
      <c r="G1208" s="21" t="s">
        <v>2559</v>
      </c>
      <c r="H1208" s="21"/>
      <c r="I1208" s="21"/>
      <c r="J1208" s="3" t="s">
        <v>35</v>
      </c>
      <c r="K1208" s="4" t="s">
        <v>394</v>
      </c>
      <c r="N1208" s="21" t="s">
        <v>2672</v>
      </c>
      <c r="O1208" s="21"/>
      <c r="P1208" s="21" t="s">
        <v>2564</v>
      </c>
      <c r="Q1208" s="21"/>
      <c r="R1208" s="21"/>
      <c r="S1208" s="3" t="s">
        <v>40</v>
      </c>
      <c r="T1208" s="21" t="s">
        <v>397</v>
      </c>
      <c r="U1208" s="21"/>
      <c r="V1208" s="4" t="s">
        <v>59</v>
      </c>
      <c r="W1208" s="4" t="s">
        <v>77</v>
      </c>
      <c r="X1208" s="4" t="s">
        <v>311</v>
      </c>
      <c r="Y1208" s="21" t="s">
        <v>398</v>
      </c>
      <c r="Z1208" s="21"/>
      <c r="AA1208" s="4" t="s">
        <v>46</v>
      </c>
      <c r="AB1208" s="4" t="s">
        <v>117</v>
      </c>
      <c r="AC1208" s="4" t="s">
        <v>399</v>
      </c>
      <c r="AD1208" s="4" t="s">
        <v>400</v>
      </c>
      <c r="AE1208" s="4" t="s">
        <v>48</v>
      </c>
      <c r="AF1208" s="4" t="s">
        <v>41</v>
      </c>
      <c r="AG1208" s="4" t="s">
        <v>2562</v>
      </c>
    </row>
    <row r="1209" spans="1:33" ht="16.5" customHeight="1" x14ac:dyDescent="0.2">
      <c r="A1209" s="2" t="s">
        <v>31</v>
      </c>
      <c r="B1209" s="19" t="s">
        <v>110</v>
      </c>
      <c r="C1209" s="19"/>
      <c r="D1209" s="19"/>
      <c r="E1209" s="20" t="s">
        <v>33</v>
      </c>
      <c r="F1209" s="20"/>
      <c r="G1209" s="21" t="s">
        <v>2559</v>
      </c>
      <c r="H1209" s="21"/>
      <c r="I1209" s="21"/>
      <c r="J1209" s="3" t="s">
        <v>35</v>
      </c>
      <c r="K1209" s="4" t="s">
        <v>394</v>
      </c>
      <c r="N1209" s="21" t="s">
        <v>2673</v>
      </c>
      <c r="O1209" s="21"/>
      <c r="P1209" s="21" t="s">
        <v>2674</v>
      </c>
      <c r="Q1209" s="21"/>
      <c r="R1209" s="21"/>
      <c r="S1209" s="3" t="s">
        <v>40</v>
      </c>
      <c r="T1209" s="21" t="s">
        <v>1825</v>
      </c>
      <c r="U1209" s="21"/>
      <c r="V1209" s="4" t="s">
        <v>59</v>
      </c>
      <c r="W1209" s="4" t="s">
        <v>77</v>
      </c>
      <c r="X1209" s="4" t="s">
        <v>311</v>
      </c>
      <c r="Y1209" s="21" t="s">
        <v>398</v>
      </c>
      <c r="Z1209" s="21"/>
      <c r="AA1209" s="4" t="s">
        <v>46</v>
      </c>
      <c r="AB1209" s="4" t="s">
        <v>117</v>
      </c>
      <c r="AC1209" s="4" t="s">
        <v>399</v>
      </c>
      <c r="AD1209" s="4" t="s">
        <v>1826</v>
      </c>
      <c r="AE1209" s="4" t="s">
        <v>48</v>
      </c>
      <c r="AF1209" s="4" t="s">
        <v>41</v>
      </c>
      <c r="AG1209" s="4" t="s">
        <v>2562</v>
      </c>
    </row>
    <row r="1210" spans="1:33" ht="16.5" customHeight="1" x14ac:dyDescent="0.2">
      <c r="A1210" s="2" t="s">
        <v>31</v>
      </c>
      <c r="B1210" s="19" t="s">
        <v>110</v>
      </c>
      <c r="C1210" s="19"/>
      <c r="D1210" s="19"/>
      <c r="E1210" s="20" t="s">
        <v>33</v>
      </c>
      <c r="F1210" s="20"/>
      <c r="G1210" s="21" t="s">
        <v>2559</v>
      </c>
      <c r="H1210" s="21"/>
      <c r="I1210" s="21"/>
      <c r="J1210" s="3" t="s">
        <v>35</v>
      </c>
      <c r="K1210" s="4" t="s">
        <v>1301</v>
      </c>
      <c r="N1210" s="21" t="s">
        <v>2675</v>
      </c>
      <c r="O1210" s="21"/>
      <c r="P1210" s="21" t="s">
        <v>2561</v>
      </c>
      <c r="Q1210" s="21"/>
      <c r="R1210" s="21"/>
      <c r="S1210" s="3" t="s">
        <v>40</v>
      </c>
      <c r="T1210" s="21" t="s">
        <v>2676</v>
      </c>
      <c r="U1210" s="21"/>
      <c r="V1210" s="4" t="s">
        <v>59</v>
      </c>
      <c r="W1210" s="4" t="s">
        <v>54</v>
      </c>
      <c r="X1210" s="4" t="s">
        <v>60</v>
      </c>
      <c r="Y1210" s="21" t="s">
        <v>959</v>
      </c>
      <c r="Z1210" s="21"/>
      <c r="AA1210" s="4" t="s">
        <v>46</v>
      </c>
      <c r="AB1210" s="4" t="s">
        <v>117</v>
      </c>
      <c r="AC1210" s="4" t="s">
        <v>960</v>
      </c>
      <c r="AD1210" s="4" t="s">
        <v>2677</v>
      </c>
      <c r="AE1210" s="4" t="s">
        <v>48</v>
      </c>
      <c r="AF1210" s="4" t="s">
        <v>41</v>
      </c>
      <c r="AG1210" s="4" t="s">
        <v>2562</v>
      </c>
    </row>
    <row r="1211" spans="1:33" ht="16.5" customHeight="1" x14ac:dyDescent="0.2">
      <c r="A1211" s="2" t="s">
        <v>31</v>
      </c>
      <c r="B1211" s="19" t="s">
        <v>110</v>
      </c>
      <c r="C1211" s="19"/>
      <c r="D1211" s="19"/>
      <c r="E1211" s="20" t="s">
        <v>33</v>
      </c>
      <c r="F1211" s="20"/>
      <c r="G1211" s="21" t="s">
        <v>2559</v>
      </c>
      <c r="H1211" s="21"/>
      <c r="I1211" s="21"/>
      <c r="J1211" s="3" t="s">
        <v>35</v>
      </c>
      <c r="K1211" s="4" t="s">
        <v>394</v>
      </c>
      <c r="N1211" s="21" t="s">
        <v>2678</v>
      </c>
      <c r="O1211" s="21"/>
      <c r="P1211" s="21" t="s">
        <v>2679</v>
      </c>
      <c r="Q1211" s="21"/>
      <c r="R1211" s="21"/>
      <c r="S1211" s="3" t="s">
        <v>40</v>
      </c>
      <c r="T1211" s="21" t="s">
        <v>2680</v>
      </c>
      <c r="U1211" s="21"/>
      <c r="V1211" s="4" t="s">
        <v>59</v>
      </c>
      <c r="W1211" s="4" t="s">
        <v>54</v>
      </c>
      <c r="X1211" s="4" t="s">
        <v>60</v>
      </c>
      <c r="Y1211" s="21" t="s">
        <v>398</v>
      </c>
      <c r="Z1211" s="21"/>
      <c r="AA1211" s="4" t="s">
        <v>46</v>
      </c>
      <c r="AB1211" s="4" t="s">
        <v>117</v>
      </c>
      <c r="AC1211" s="4" t="s">
        <v>399</v>
      </c>
      <c r="AD1211" s="4" t="s">
        <v>2681</v>
      </c>
      <c r="AE1211" s="4" t="s">
        <v>48</v>
      </c>
      <c r="AF1211" s="4" t="s">
        <v>41</v>
      </c>
      <c r="AG1211" s="4" t="s">
        <v>2562</v>
      </c>
    </row>
    <row r="1212" spans="1:33" ht="16.5" customHeight="1" x14ac:dyDescent="0.2">
      <c r="A1212" s="2" t="s">
        <v>31</v>
      </c>
      <c r="B1212" s="19" t="s">
        <v>50</v>
      </c>
      <c r="C1212" s="19"/>
      <c r="D1212" s="19"/>
      <c r="E1212" s="20" t="s">
        <v>33</v>
      </c>
      <c r="F1212" s="20"/>
      <c r="G1212" s="21" t="s">
        <v>2682</v>
      </c>
      <c r="H1212" s="21"/>
      <c r="I1212" s="21"/>
      <c r="J1212" s="3" t="s">
        <v>35</v>
      </c>
      <c r="K1212" s="4" t="s">
        <v>82</v>
      </c>
      <c r="L1212" s="4" t="s">
        <v>37</v>
      </c>
      <c r="N1212" s="21" t="s">
        <v>2683</v>
      </c>
      <c r="O1212" s="21"/>
      <c r="P1212" s="21" t="s">
        <v>2684</v>
      </c>
      <c r="Q1212" s="21"/>
      <c r="R1212" s="21"/>
      <c r="S1212" s="3" t="s">
        <v>40</v>
      </c>
      <c r="T1212" s="21" t="s">
        <v>41</v>
      </c>
      <c r="U1212" s="21"/>
      <c r="V1212" s="4" t="s">
        <v>42</v>
      </c>
      <c r="W1212" s="4" t="s">
        <v>410</v>
      </c>
      <c r="X1212" s="4" t="s">
        <v>411</v>
      </c>
      <c r="Y1212" s="21" t="s">
        <v>56</v>
      </c>
      <c r="Z1212" s="21"/>
      <c r="AA1212" s="4" t="s">
        <v>46</v>
      </c>
      <c r="AB1212" s="4" t="s">
        <v>47</v>
      </c>
      <c r="AC1212" s="4" t="s">
        <v>139</v>
      </c>
      <c r="AD1212" s="4" t="s">
        <v>140</v>
      </c>
      <c r="AE1212" s="4" t="s">
        <v>48</v>
      </c>
      <c r="AF1212" s="4" t="s">
        <v>41</v>
      </c>
      <c r="AG1212" s="4" t="s">
        <v>2685</v>
      </c>
    </row>
    <row r="1213" spans="1:33" ht="16.5" customHeight="1" x14ac:dyDescent="0.2">
      <c r="A1213" s="2" t="s">
        <v>31</v>
      </c>
      <c r="B1213" s="19" t="s">
        <v>50</v>
      </c>
      <c r="C1213" s="19"/>
      <c r="D1213" s="19"/>
      <c r="E1213" s="20" t="s">
        <v>33</v>
      </c>
      <c r="F1213" s="20"/>
      <c r="G1213" s="21" t="s">
        <v>2682</v>
      </c>
      <c r="H1213" s="21"/>
      <c r="I1213" s="21"/>
      <c r="J1213" s="3" t="s">
        <v>35</v>
      </c>
      <c r="K1213" s="4" t="s">
        <v>82</v>
      </c>
      <c r="L1213" s="4" t="s">
        <v>37</v>
      </c>
      <c r="N1213" s="21" t="s">
        <v>2683</v>
      </c>
      <c r="O1213" s="21"/>
      <c r="P1213" s="21" t="s">
        <v>2684</v>
      </c>
      <c r="Q1213" s="21"/>
      <c r="R1213" s="21"/>
      <c r="S1213" s="3" t="s">
        <v>40</v>
      </c>
      <c r="T1213" s="21" t="s">
        <v>41</v>
      </c>
      <c r="U1213" s="21"/>
      <c r="V1213" s="4" t="s">
        <v>59</v>
      </c>
      <c r="W1213" s="4" t="s">
        <v>410</v>
      </c>
      <c r="X1213" s="4" t="s">
        <v>560</v>
      </c>
      <c r="Y1213" s="21" t="s">
        <v>56</v>
      </c>
      <c r="Z1213" s="21"/>
      <c r="AA1213" s="4" t="s">
        <v>46</v>
      </c>
      <c r="AB1213" s="4" t="s">
        <v>47</v>
      </c>
      <c r="AC1213" s="4" t="s">
        <v>139</v>
      </c>
      <c r="AD1213" s="4" t="s">
        <v>140</v>
      </c>
      <c r="AE1213" s="4" t="s">
        <v>48</v>
      </c>
      <c r="AF1213" s="4" t="s">
        <v>41</v>
      </c>
      <c r="AG1213" s="4" t="s">
        <v>2685</v>
      </c>
    </row>
    <row r="1214" spans="1:33" ht="16.5" customHeight="1" x14ac:dyDescent="0.2">
      <c r="A1214" s="2" t="s">
        <v>31</v>
      </c>
      <c r="B1214" s="19" t="s">
        <v>110</v>
      </c>
      <c r="C1214" s="19"/>
      <c r="D1214" s="19"/>
      <c r="E1214" s="20" t="s">
        <v>33</v>
      </c>
      <c r="F1214" s="20"/>
      <c r="G1214" s="21" t="s">
        <v>2682</v>
      </c>
      <c r="H1214" s="21"/>
      <c r="I1214" s="21"/>
      <c r="J1214" s="3" t="s">
        <v>111</v>
      </c>
      <c r="K1214" s="4" t="s">
        <v>426</v>
      </c>
      <c r="N1214" s="21" t="s">
        <v>2683</v>
      </c>
      <c r="O1214" s="21"/>
      <c r="P1214" s="21" t="s">
        <v>2684</v>
      </c>
      <c r="Q1214" s="21"/>
      <c r="R1214" s="21"/>
      <c r="S1214" s="3" t="s">
        <v>40</v>
      </c>
      <c r="T1214" s="21" t="s">
        <v>427</v>
      </c>
      <c r="U1214" s="21"/>
      <c r="V1214" s="4" t="s">
        <v>42</v>
      </c>
      <c r="W1214" s="4" t="s">
        <v>54</v>
      </c>
      <c r="X1214" s="4" t="s">
        <v>421</v>
      </c>
      <c r="Y1214" s="21" t="s">
        <v>116</v>
      </c>
      <c r="Z1214" s="21"/>
      <c r="AA1214" s="4" t="s">
        <v>46</v>
      </c>
      <c r="AB1214" s="4" t="s">
        <v>117</v>
      </c>
      <c r="AC1214" s="4" t="s">
        <v>243</v>
      </c>
      <c r="AD1214" s="4" t="s">
        <v>428</v>
      </c>
      <c r="AE1214" s="4" t="s">
        <v>48</v>
      </c>
      <c r="AF1214" s="4" t="s">
        <v>41</v>
      </c>
      <c r="AG1214" s="4" t="s">
        <v>2685</v>
      </c>
    </row>
    <row r="1215" spans="1:33" ht="16.5" customHeight="1" x14ac:dyDescent="0.2">
      <c r="A1215" s="2" t="s">
        <v>31</v>
      </c>
      <c r="B1215" s="19" t="s">
        <v>50</v>
      </c>
      <c r="C1215" s="19"/>
      <c r="D1215" s="19"/>
      <c r="E1215" s="20" t="s">
        <v>33</v>
      </c>
      <c r="F1215" s="20"/>
      <c r="G1215" s="21" t="s">
        <v>2682</v>
      </c>
      <c r="H1215" s="21"/>
      <c r="I1215" s="21"/>
      <c r="J1215" s="3" t="s">
        <v>35</v>
      </c>
      <c r="K1215" s="4" t="s">
        <v>82</v>
      </c>
      <c r="L1215" s="4" t="s">
        <v>37</v>
      </c>
      <c r="N1215" s="21" t="s">
        <v>2686</v>
      </c>
      <c r="O1215" s="21"/>
      <c r="P1215" s="21" t="s">
        <v>2687</v>
      </c>
      <c r="Q1215" s="21"/>
      <c r="R1215" s="21"/>
      <c r="S1215" s="3" t="s">
        <v>40</v>
      </c>
      <c r="T1215" s="21" t="s">
        <v>41</v>
      </c>
      <c r="U1215" s="21"/>
      <c r="V1215" s="4" t="s">
        <v>42</v>
      </c>
      <c r="W1215" s="4" t="s">
        <v>420</v>
      </c>
      <c r="X1215" s="4" t="s">
        <v>421</v>
      </c>
      <c r="Y1215" s="21" t="s">
        <v>56</v>
      </c>
      <c r="Z1215" s="21"/>
      <c r="AA1215" s="4" t="s">
        <v>46</v>
      </c>
      <c r="AB1215" s="4" t="s">
        <v>47</v>
      </c>
      <c r="AC1215" s="4" t="s">
        <v>139</v>
      </c>
      <c r="AD1215" s="4" t="s">
        <v>140</v>
      </c>
      <c r="AE1215" s="4" t="s">
        <v>48</v>
      </c>
      <c r="AF1215" s="4" t="s">
        <v>41</v>
      </c>
      <c r="AG1215" s="4" t="s">
        <v>2685</v>
      </c>
    </row>
    <row r="1216" spans="1:33" ht="16.5" customHeight="1" x14ac:dyDescent="0.2">
      <c r="A1216" s="2" t="s">
        <v>31</v>
      </c>
      <c r="B1216" s="19" t="s">
        <v>50</v>
      </c>
      <c r="C1216" s="19"/>
      <c r="D1216" s="19"/>
      <c r="E1216" s="20" t="s">
        <v>33</v>
      </c>
      <c r="F1216" s="20"/>
      <c r="G1216" s="21" t="s">
        <v>2682</v>
      </c>
      <c r="H1216" s="21"/>
      <c r="I1216" s="21"/>
      <c r="J1216" s="3" t="s">
        <v>35</v>
      </c>
      <c r="K1216" s="4" t="s">
        <v>133</v>
      </c>
      <c r="L1216" s="4" t="s">
        <v>37</v>
      </c>
      <c r="N1216" s="21" t="s">
        <v>2688</v>
      </c>
      <c r="O1216" s="21"/>
      <c r="P1216" s="21" t="s">
        <v>2689</v>
      </c>
      <c r="Q1216" s="21"/>
      <c r="R1216" s="21"/>
      <c r="S1216" s="3" t="s">
        <v>40</v>
      </c>
      <c r="T1216" s="21" t="s">
        <v>41</v>
      </c>
      <c r="U1216" s="21"/>
      <c r="V1216" s="4" t="s">
        <v>42</v>
      </c>
      <c r="W1216" s="4" t="s">
        <v>424</v>
      </c>
      <c r="X1216" s="4" t="s">
        <v>425</v>
      </c>
      <c r="Y1216" s="21" t="s">
        <v>138</v>
      </c>
      <c r="Z1216" s="21"/>
      <c r="AA1216" s="4" t="s">
        <v>46</v>
      </c>
      <c r="AB1216" s="4" t="s">
        <v>47</v>
      </c>
      <c r="AC1216" s="4" t="s">
        <v>139</v>
      </c>
      <c r="AD1216" s="4" t="s">
        <v>140</v>
      </c>
      <c r="AE1216" s="4" t="s">
        <v>48</v>
      </c>
      <c r="AF1216" s="4" t="s">
        <v>41</v>
      </c>
      <c r="AG1216" s="4" t="s">
        <v>2685</v>
      </c>
    </row>
    <row r="1217" spans="1:33" ht="16.5" customHeight="1" x14ac:dyDescent="0.2">
      <c r="A1217" s="2" t="s">
        <v>31</v>
      </c>
      <c r="B1217" s="19" t="s">
        <v>50</v>
      </c>
      <c r="C1217" s="19"/>
      <c r="D1217" s="19"/>
      <c r="E1217" s="20" t="s">
        <v>33</v>
      </c>
      <c r="F1217" s="20"/>
      <c r="G1217" s="21" t="s">
        <v>2682</v>
      </c>
      <c r="H1217" s="21"/>
      <c r="I1217" s="21"/>
      <c r="J1217" s="3" t="s">
        <v>35</v>
      </c>
      <c r="K1217" s="4" t="s">
        <v>133</v>
      </c>
      <c r="L1217" s="4" t="s">
        <v>37</v>
      </c>
      <c r="N1217" s="21" t="s">
        <v>2688</v>
      </c>
      <c r="O1217" s="21"/>
      <c r="P1217" s="21" t="s">
        <v>2689</v>
      </c>
      <c r="Q1217" s="21"/>
      <c r="R1217" s="21"/>
      <c r="S1217" s="3" t="s">
        <v>40</v>
      </c>
      <c r="T1217" s="21" t="s">
        <v>41</v>
      </c>
      <c r="U1217" s="21"/>
      <c r="V1217" s="4" t="s">
        <v>59</v>
      </c>
      <c r="W1217" s="4" t="s">
        <v>424</v>
      </c>
      <c r="X1217" s="4" t="s">
        <v>1363</v>
      </c>
      <c r="Y1217" s="21" t="s">
        <v>138</v>
      </c>
      <c r="Z1217" s="21"/>
      <c r="AA1217" s="4" t="s">
        <v>46</v>
      </c>
      <c r="AB1217" s="4" t="s">
        <v>47</v>
      </c>
      <c r="AC1217" s="4" t="s">
        <v>139</v>
      </c>
      <c r="AD1217" s="4" t="s">
        <v>140</v>
      </c>
      <c r="AE1217" s="4" t="s">
        <v>48</v>
      </c>
      <c r="AF1217" s="4" t="s">
        <v>41</v>
      </c>
      <c r="AG1217" s="4" t="s">
        <v>2685</v>
      </c>
    </row>
    <row r="1218" spans="1:33" ht="16.5" customHeight="1" x14ac:dyDescent="0.2">
      <c r="A1218" s="2" t="s">
        <v>31</v>
      </c>
      <c r="B1218" s="19" t="s">
        <v>50</v>
      </c>
      <c r="C1218" s="19"/>
      <c r="D1218" s="19"/>
      <c r="E1218" s="20" t="s">
        <v>33</v>
      </c>
      <c r="F1218" s="20"/>
      <c r="G1218" s="21" t="s">
        <v>2682</v>
      </c>
      <c r="H1218" s="21"/>
      <c r="I1218" s="21"/>
      <c r="J1218" s="3" t="s">
        <v>35</v>
      </c>
      <c r="K1218" s="4" t="s">
        <v>133</v>
      </c>
      <c r="L1218" s="4" t="s">
        <v>37</v>
      </c>
      <c r="N1218" s="21" t="s">
        <v>2688</v>
      </c>
      <c r="O1218" s="21"/>
      <c r="P1218" s="21" t="s">
        <v>2689</v>
      </c>
      <c r="Q1218" s="21"/>
      <c r="R1218" s="21"/>
      <c r="S1218" s="3" t="s">
        <v>40</v>
      </c>
      <c r="T1218" s="21" t="s">
        <v>41</v>
      </c>
      <c r="U1218" s="21"/>
      <c r="V1218" s="4" t="s">
        <v>130</v>
      </c>
      <c r="W1218" s="4" t="s">
        <v>424</v>
      </c>
      <c r="X1218" s="4" t="s">
        <v>137</v>
      </c>
      <c r="Y1218" s="21" t="s">
        <v>138</v>
      </c>
      <c r="Z1218" s="21"/>
      <c r="AA1218" s="4" t="s">
        <v>46</v>
      </c>
      <c r="AB1218" s="4" t="s">
        <v>47</v>
      </c>
      <c r="AC1218" s="4" t="s">
        <v>139</v>
      </c>
      <c r="AD1218" s="4" t="s">
        <v>140</v>
      </c>
      <c r="AE1218" s="4" t="s">
        <v>48</v>
      </c>
      <c r="AF1218" s="4" t="s">
        <v>41</v>
      </c>
      <c r="AG1218" s="4" t="s">
        <v>2685</v>
      </c>
    </row>
    <row r="1219" spans="1:33" ht="16.5" customHeight="1" x14ac:dyDescent="0.2">
      <c r="A1219" s="2" t="s">
        <v>31</v>
      </c>
      <c r="B1219" s="19" t="s">
        <v>50</v>
      </c>
      <c r="C1219" s="19"/>
      <c r="D1219" s="19"/>
      <c r="E1219" s="20" t="s">
        <v>33</v>
      </c>
      <c r="F1219" s="20"/>
      <c r="G1219" s="21" t="s">
        <v>2682</v>
      </c>
      <c r="H1219" s="21"/>
      <c r="I1219" s="21"/>
      <c r="J1219" s="3" t="s">
        <v>35</v>
      </c>
      <c r="K1219" s="4" t="s">
        <v>146</v>
      </c>
      <c r="L1219" s="4" t="s">
        <v>37</v>
      </c>
      <c r="N1219" s="21" t="s">
        <v>2690</v>
      </c>
      <c r="O1219" s="21"/>
      <c r="P1219" s="21" t="s">
        <v>2691</v>
      </c>
      <c r="Q1219" s="21"/>
      <c r="R1219" s="21"/>
      <c r="S1219" s="3" t="s">
        <v>40</v>
      </c>
      <c r="T1219" s="21" t="s">
        <v>41</v>
      </c>
      <c r="U1219" s="21"/>
      <c r="V1219" s="4" t="s">
        <v>42</v>
      </c>
      <c r="W1219" s="4" t="s">
        <v>213</v>
      </c>
      <c r="X1219" s="4" t="s">
        <v>531</v>
      </c>
      <c r="Y1219" s="21" t="s">
        <v>138</v>
      </c>
      <c r="Z1219" s="21"/>
      <c r="AA1219" s="4" t="s">
        <v>46</v>
      </c>
      <c r="AB1219" s="4" t="s">
        <v>47</v>
      </c>
      <c r="AC1219" s="4" t="s">
        <v>139</v>
      </c>
      <c r="AD1219" s="4" t="s">
        <v>140</v>
      </c>
      <c r="AE1219" s="4" t="s">
        <v>48</v>
      </c>
      <c r="AF1219" s="4" t="s">
        <v>41</v>
      </c>
      <c r="AG1219" s="4" t="s">
        <v>2685</v>
      </c>
    </row>
    <row r="1220" spans="1:33" ht="0.75" customHeight="1" x14ac:dyDescent="0.2"/>
    <row r="1221" spans="1:33" ht="12" customHeight="1" x14ac:dyDescent="0.2"/>
    <row r="1222" spans="1:33" ht="16.5" customHeight="1" x14ac:dyDescent="0.2">
      <c r="A1222" s="2" t="s">
        <v>31</v>
      </c>
      <c r="B1222" s="19" t="s">
        <v>50</v>
      </c>
      <c r="C1222" s="19"/>
      <c r="D1222" s="19"/>
      <c r="E1222" s="20" t="s">
        <v>33</v>
      </c>
      <c r="F1222" s="20"/>
      <c r="G1222" s="21" t="s">
        <v>2682</v>
      </c>
      <c r="H1222" s="21"/>
      <c r="I1222" s="21"/>
      <c r="J1222" s="3" t="s">
        <v>35</v>
      </c>
      <c r="K1222" s="4" t="s">
        <v>247</v>
      </c>
      <c r="L1222" s="4" t="s">
        <v>445</v>
      </c>
      <c r="N1222" s="21" t="s">
        <v>2692</v>
      </c>
      <c r="O1222" s="21"/>
      <c r="P1222" s="21" t="s">
        <v>2693</v>
      </c>
      <c r="Q1222" s="21"/>
      <c r="R1222" s="21"/>
      <c r="S1222" s="3" t="s">
        <v>40</v>
      </c>
      <c r="T1222" s="21" t="s">
        <v>41</v>
      </c>
      <c r="U1222" s="21"/>
      <c r="V1222" s="4" t="s">
        <v>42</v>
      </c>
      <c r="W1222" s="4" t="s">
        <v>229</v>
      </c>
      <c r="X1222" s="4" t="s">
        <v>448</v>
      </c>
      <c r="Y1222" s="21" t="s">
        <v>65</v>
      </c>
      <c r="Z1222" s="21"/>
      <c r="AA1222" s="4" t="s">
        <v>46</v>
      </c>
      <c r="AB1222" s="4" t="s">
        <v>47</v>
      </c>
      <c r="AC1222" s="4" t="s">
        <v>81</v>
      </c>
      <c r="AD1222" s="4" t="s">
        <v>41</v>
      </c>
      <c r="AE1222" s="4" t="s">
        <v>48</v>
      </c>
      <c r="AF1222" s="4" t="s">
        <v>41</v>
      </c>
      <c r="AG1222" s="4" t="s">
        <v>2685</v>
      </c>
    </row>
    <row r="1223" spans="1:33" ht="16.5" customHeight="1" x14ac:dyDescent="0.2">
      <c r="A1223" s="2" t="s">
        <v>31</v>
      </c>
      <c r="B1223" s="19" t="s">
        <v>50</v>
      </c>
      <c r="C1223" s="19"/>
      <c r="D1223" s="19"/>
      <c r="E1223" s="20" t="s">
        <v>33</v>
      </c>
      <c r="F1223" s="20"/>
      <c r="G1223" s="21" t="s">
        <v>2682</v>
      </c>
      <c r="H1223" s="21"/>
      <c r="I1223" s="21"/>
      <c r="J1223" s="3" t="s">
        <v>35</v>
      </c>
      <c r="K1223" s="4" t="s">
        <v>247</v>
      </c>
      <c r="L1223" s="4" t="s">
        <v>445</v>
      </c>
      <c r="N1223" s="21" t="s">
        <v>2692</v>
      </c>
      <c r="O1223" s="21"/>
      <c r="P1223" s="21" t="s">
        <v>2693</v>
      </c>
      <c r="Q1223" s="21"/>
      <c r="R1223" s="21"/>
      <c r="S1223" s="3" t="s">
        <v>40</v>
      </c>
      <c r="T1223" s="21" t="s">
        <v>41</v>
      </c>
      <c r="U1223" s="21"/>
      <c r="V1223" s="4" t="s">
        <v>59</v>
      </c>
      <c r="W1223" s="4" t="s">
        <v>229</v>
      </c>
      <c r="X1223" s="4" t="s">
        <v>230</v>
      </c>
      <c r="Y1223" s="21" t="s">
        <v>65</v>
      </c>
      <c r="Z1223" s="21"/>
      <c r="AA1223" s="4" t="s">
        <v>46</v>
      </c>
      <c r="AB1223" s="4" t="s">
        <v>47</v>
      </c>
      <c r="AC1223" s="4" t="s">
        <v>81</v>
      </c>
      <c r="AD1223" s="4" t="s">
        <v>41</v>
      </c>
      <c r="AE1223" s="4" t="s">
        <v>48</v>
      </c>
      <c r="AF1223" s="4" t="s">
        <v>41</v>
      </c>
      <c r="AG1223" s="4" t="s">
        <v>2685</v>
      </c>
    </row>
    <row r="1224" spans="1:33" ht="16.5" customHeight="1" x14ac:dyDescent="0.2">
      <c r="A1224" s="2" t="s">
        <v>31</v>
      </c>
      <c r="B1224" s="19" t="s">
        <v>50</v>
      </c>
      <c r="C1224" s="19"/>
      <c r="D1224" s="19"/>
      <c r="E1224" s="20" t="s">
        <v>33</v>
      </c>
      <c r="F1224" s="20"/>
      <c r="G1224" s="21" t="s">
        <v>2682</v>
      </c>
      <c r="H1224" s="21"/>
      <c r="I1224" s="21"/>
      <c r="J1224" s="3" t="s">
        <v>35</v>
      </c>
      <c r="K1224" s="4" t="s">
        <v>661</v>
      </c>
      <c r="L1224" s="4" t="s">
        <v>68</v>
      </c>
      <c r="N1224" s="21" t="s">
        <v>2694</v>
      </c>
      <c r="O1224" s="21"/>
      <c r="P1224" s="21" t="s">
        <v>2695</v>
      </c>
      <c r="Q1224" s="21"/>
      <c r="R1224" s="21"/>
      <c r="S1224" s="3" t="s">
        <v>40</v>
      </c>
      <c r="T1224" s="21" t="s">
        <v>41</v>
      </c>
      <c r="U1224" s="21"/>
      <c r="V1224" s="4" t="s">
        <v>59</v>
      </c>
      <c r="W1224" s="4" t="s">
        <v>130</v>
      </c>
      <c r="X1224" s="4" t="s">
        <v>131</v>
      </c>
      <c r="Y1224" s="21" t="s">
        <v>198</v>
      </c>
      <c r="Z1224" s="21"/>
      <c r="AA1224" s="4" t="s">
        <v>46</v>
      </c>
      <c r="AB1224" s="4" t="s">
        <v>47</v>
      </c>
      <c r="AC1224" s="4" t="s">
        <v>139</v>
      </c>
      <c r="AD1224" s="4" t="s">
        <v>151</v>
      </c>
      <c r="AE1224" s="4" t="s">
        <v>48</v>
      </c>
      <c r="AF1224" s="4" t="s">
        <v>41</v>
      </c>
      <c r="AG1224" s="4" t="s">
        <v>2685</v>
      </c>
    </row>
    <row r="1225" spans="1:33" ht="16.5" customHeight="1" x14ac:dyDescent="0.2">
      <c r="A1225" s="2" t="s">
        <v>31</v>
      </c>
      <c r="B1225" s="19" t="s">
        <v>50</v>
      </c>
      <c r="C1225" s="19"/>
      <c r="D1225" s="19"/>
      <c r="E1225" s="20" t="s">
        <v>33</v>
      </c>
      <c r="F1225" s="20"/>
      <c r="G1225" s="21" t="s">
        <v>2682</v>
      </c>
      <c r="H1225" s="21"/>
      <c r="I1225" s="21"/>
      <c r="J1225" s="3" t="s">
        <v>35</v>
      </c>
      <c r="K1225" s="4" t="s">
        <v>99</v>
      </c>
      <c r="L1225" s="4" t="s">
        <v>37</v>
      </c>
      <c r="N1225" s="21" t="s">
        <v>2696</v>
      </c>
      <c r="O1225" s="21"/>
      <c r="P1225" s="21" t="s">
        <v>2697</v>
      </c>
      <c r="Q1225" s="21"/>
      <c r="R1225" s="21"/>
      <c r="S1225" s="3" t="s">
        <v>40</v>
      </c>
      <c r="T1225" s="21" t="s">
        <v>41</v>
      </c>
      <c r="U1225" s="21"/>
      <c r="V1225" s="4" t="s">
        <v>42</v>
      </c>
      <c r="W1225" s="4" t="s">
        <v>823</v>
      </c>
      <c r="X1225" s="4" t="s">
        <v>791</v>
      </c>
      <c r="Y1225" s="21" t="s">
        <v>56</v>
      </c>
      <c r="Z1225" s="21"/>
      <c r="AA1225" s="4" t="s">
        <v>46</v>
      </c>
      <c r="AB1225" s="4" t="s">
        <v>47</v>
      </c>
      <c r="AC1225" s="4" t="s">
        <v>139</v>
      </c>
      <c r="AD1225" s="4" t="s">
        <v>140</v>
      </c>
      <c r="AE1225" s="4" t="s">
        <v>48</v>
      </c>
      <c r="AF1225" s="4" t="s">
        <v>41</v>
      </c>
      <c r="AG1225" s="4" t="s">
        <v>2685</v>
      </c>
    </row>
    <row r="1226" spans="1:33" ht="16.5" customHeight="1" x14ac:dyDescent="0.2">
      <c r="A1226" s="2" t="s">
        <v>31</v>
      </c>
      <c r="B1226" s="19" t="s">
        <v>50</v>
      </c>
      <c r="C1226" s="19"/>
      <c r="D1226" s="19"/>
      <c r="E1226" s="20" t="s">
        <v>33</v>
      </c>
      <c r="F1226" s="20"/>
      <c r="G1226" s="21" t="s">
        <v>2682</v>
      </c>
      <c r="H1226" s="21"/>
      <c r="I1226" s="21"/>
      <c r="J1226" s="3" t="s">
        <v>35</v>
      </c>
      <c r="K1226" s="4" t="s">
        <v>99</v>
      </c>
      <c r="L1226" s="4" t="s">
        <v>37</v>
      </c>
      <c r="N1226" s="21" t="s">
        <v>2696</v>
      </c>
      <c r="O1226" s="21"/>
      <c r="P1226" s="21" t="s">
        <v>2697</v>
      </c>
      <c r="Q1226" s="21"/>
      <c r="R1226" s="21"/>
      <c r="S1226" s="3" t="s">
        <v>40</v>
      </c>
      <c r="T1226" s="21" t="s">
        <v>41</v>
      </c>
      <c r="U1226" s="21"/>
      <c r="V1226" s="4" t="s">
        <v>59</v>
      </c>
      <c r="W1226" s="4" t="s">
        <v>823</v>
      </c>
      <c r="X1226" s="4" t="s">
        <v>637</v>
      </c>
      <c r="Y1226" s="21" t="s">
        <v>56</v>
      </c>
      <c r="Z1226" s="21"/>
      <c r="AA1226" s="4" t="s">
        <v>46</v>
      </c>
      <c r="AB1226" s="4" t="s">
        <v>47</v>
      </c>
      <c r="AC1226" s="4" t="s">
        <v>139</v>
      </c>
      <c r="AD1226" s="4" t="s">
        <v>140</v>
      </c>
      <c r="AE1226" s="4" t="s">
        <v>48</v>
      </c>
      <c r="AF1226" s="4" t="s">
        <v>41</v>
      </c>
      <c r="AG1226" s="4" t="s">
        <v>2685</v>
      </c>
    </row>
    <row r="1227" spans="1:33" ht="16.5" customHeight="1" x14ac:dyDescent="0.2">
      <c r="A1227" s="2" t="s">
        <v>31</v>
      </c>
      <c r="B1227" s="19" t="s">
        <v>50</v>
      </c>
      <c r="C1227" s="19"/>
      <c r="D1227" s="19"/>
      <c r="E1227" s="20" t="s">
        <v>33</v>
      </c>
      <c r="F1227" s="20"/>
      <c r="G1227" s="21" t="s">
        <v>2682</v>
      </c>
      <c r="H1227" s="21"/>
      <c r="I1227" s="21"/>
      <c r="J1227" s="3" t="s">
        <v>35</v>
      </c>
      <c r="K1227" s="4" t="s">
        <v>99</v>
      </c>
      <c r="L1227" s="4" t="s">
        <v>37</v>
      </c>
      <c r="N1227" s="21" t="s">
        <v>2696</v>
      </c>
      <c r="O1227" s="21"/>
      <c r="P1227" s="21" t="s">
        <v>2697</v>
      </c>
      <c r="Q1227" s="21"/>
      <c r="R1227" s="21"/>
      <c r="S1227" s="3" t="s">
        <v>40</v>
      </c>
      <c r="T1227" s="21" t="s">
        <v>41</v>
      </c>
      <c r="U1227" s="21"/>
      <c r="V1227" s="4" t="s">
        <v>130</v>
      </c>
      <c r="W1227" s="4" t="s">
        <v>823</v>
      </c>
      <c r="X1227" s="4" t="s">
        <v>432</v>
      </c>
      <c r="Y1227" s="21" t="s">
        <v>56</v>
      </c>
      <c r="Z1227" s="21"/>
      <c r="AA1227" s="4" t="s">
        <v>46</v>
      </c>
      <c r="AB1227" s="4" t="s">
        <v>47</v>
      </c>
      <c r="AC1227" s="4" t="s">
        <v>139</v>
      </c>
      <c r="AD1227" s="4" t="s">
        <v>140</v>
      </c>
      <c r="AE1227" s="4" t="s">
        <v>48</v>
      </c>
      <c r="AF1227" s="4" t="s">
        <v>41</v>
      </c>
      <c r="AG1227" s="4" t="s">
        <v>2685</v>
      </c>
    </row>
    <row r="1228" spans="1:33" ht="16.5" customHeight="1" x14ac:dyDescent="0.2">
      <c r="A1228" s="2" t="s">
        <v>31</v>
      </c>
      <c r="B1228" s="19" t="s">
        <v>50</v>
      </c>
      <c r="C1228" s="19"/>
      <c r="D1228" s="19"/>
      <c r="E1228" s="20" t="s">
        <v>33</v>
      </c>
      <c r="F1228" s="20"/>
      <c r="G1228" s="21" t="s">
        <v>2682</v>
      </c>
      <c r="H1228" s="21"/>
      <c r="I1228" s="21"/>
      <c r="J1228" s="3" t="s">
        <v>35</v>
      </c>
      <c r="K1228" s="4" t="s">
        <v>99</v>
      </c>
      <c r="L1228" s="4" t="s">
        <v>68</v>
      </c>
      <c r="N1228" s="21" t="s">
        <v>2698</v>
      </c>
      <c r="O1228" s="21"/>
      <c r="P1228" s="21" t="s">
        <v>2699</v>
      </c>
      <c r="Q1228" s="21"/>
      <c r="R1228" s="21"/>
      <c r="S1228" s="3" t="s">
        <v>40</v>
      </c>
      <c r="T1228" s="21" t="s">
        <v>41</v>
      </c>
      <c r="U1228" s="21"/>
      <c r="V1228" s="4" t="s">
        <v>130</v>
      </c>
      <c r="W1228" s="4" t="s">
        <v>43</v>
      </c>
      <c r="X1228" s="4" t="s">
        <v>320</v>
      </c>
      <c r="Y1228" s="21" t="s">
        <v>56</v>
      </c>
      <c r="Z1228" s="21"/>
      <c r="AA1228" s="4" t="s">
        <v>46</v>
      </c>
      <c r="AB1228" s="4" t="s">
        <v>47</v>
      </c>
      <c r="AC1228" s="4" t="s">
        <v>139</v>
      </c>
      <c r="AD1228" s="4" t="s">
        <v>151</v>
      </c>
      <c r="AE1228" s="4" t="s">
        <v>48</v>
      </c>
      <c r="AF1228" s="4" t="s">
        <v>41</v>
      </c>
      <c r="AG1228" s="4" t="s">
        <v>2685</v>
      </c>
    </row>
    <row r="1229" spans="1:33" ht="16.5" customHeight="1" x14ac:dyDescent="0.2">
      <c r="A1229" s="2" t="s">
        <v>31</v>
      </c>
      <c r="B1229" s="19" t="s">
        <v>50</v>
      </c>
      <c r="C1229" s="19"/>
      <c r="D1229" s="19"/>
      <c r="E1229" s="20" t="s">
        <v>33</v>
      </c>
      <c r="F1229" s="20"/>
      <c r="G1229" s="21" t="s">
        <v>2682</v>
      </c>
      <c r="H1229" s="21"/>
      <c r="I1229" s="21"/>
      <c r="J1229" s="3" t="s">
        <v>35</v>
      </c>
      <c r="K1229" s="4" t="s">
        <v>152</v>
      </c>
      <c r="L1229" s="4" t="s">
        <v>37</v>
      </c>
      <c r="N1229" s="21" t="s">
        <v>2700</v>
      </c>
      <c r="O1229" s="21"/>
      <c r="P1229" s="21" t="s">
        <v>2701</v>
      </c>
      <c r="Q1229" s="21"/>
      <c r="R1229" s="21"/>
      <c r="S1229" s="3" t="s">
        <v>40</v>
      </c>
      <c r="T1229" s="21" t="s">
        <v>41</v>
      </c>
      <c r="U1229" s="21"/>
      <c r="V1229" s="4" t="s">
        <v>42</v>
      </c>
      <c r="W1229" s="4" t="s">
        <v>484</v>
      </c>
      <c r="X1229" s="4" t="s">
        <v>485</v>
      </c>
      <c r="Y1229" s="21" t="s">
        <v>56</v>
      </c>
      <c r="Z1229" s="21"/>
      <c r="AA1229" s="4" t="s">
        <v>46</v>
      </c>
      <c r="AB1229" s="4" t="s">
        <v>47</v>
      </c>
      <c r="AC1229" s="4" t="s">
        <v>139</v>
      </c>
      <c r="AD1229" s="4" t="s">
        <v>140</v>
      </c>
      <c r="AE1229" s="4" t="s">
        <v>48</v>
      </c>
      <c r="AF1229" s="4" t="s">
        <v>41</v>
      </c>
      <c r="AG1229" s="4" t="s">
        <v>2685</v>
      </c>
    </row>
    <row r="1230" spans="1:33" ht="16.5" customHeight="1" x14ac:dyDescent="0.2">
      <c r="A1230" s="2" t="s">
        <v>31</v>
      </c>
      <c r="B1230" s="19" t="s">
        <v>50</v>
      </c>
      <c r="C1230" s="19"/>
      <c r="D1230" s="19"/>
      <c r="E1230" s="20" t="s">
        <v>33</v>
      </c>
      <c r="F1230" s="20"/>
      <c r="G1230" s="21" t="s">
        <v>2682</v>
      </c>
      <c r="H1230" s="21"/>
      <c r="I1230" s="21"/>
      <c r="J1230" s="3" t="s">
        <v>35</v>
      </c>
      <c r="K1230" s="4" t="s">
        <v>661</v>
      </c>
      <c r="L1230" s="4" t="s">
        <v>68</v>
      </c>
      <c r="N1230" s="21" t="s">
        <v>2702</v>
      </c>
      <c r="O1230" s="21"/>
      <c r="P1230" s="21" t="s">
        <v>2703</v>
      </c>
      <c r="Q1230" s="21"/>
      <c r="R1230" s="21"/>
      <c r="S1230" s="3" t="s">
        <v>40</v>
      </c>
      <c r="T1230" s="21" t="s">
        <v>41</v>
      </c>
      <c r="U1230" s="21"/>
      <c r="V1230" s="4" t="s">
        <v>42</v>
      </c>
      <c r="W1230" s="4" t="s">
        <v>234</v>
      </c>
      <c r="X1230" s="4" t="s">
        <v>235</v>
      </c>
      <c r="Y1230" s="21" t="s">
        <v>198</v>
      </c>
      <c r="Z1230" s="21"/>
      <c r="AA1230" s="4" t="s">
        <v>46</v>
      </c>
      <c r="AB1230" s="4" t="s">
        <v>47</v>
      </c>
      <c r="AC1230" s="4" t="s">
        <v>81</v>
      </c>
      <c r="AD1230" s="4" t="s">
        <v>41</v>
      </c>
      <c r="AE1230" s="4" t="s">
        <v>48</v>
      </c>
      <c r="AF1230" s="4" t="s">
        <v>41</v>
      </c>
      <c r="AG1230" s="4" t="s">
        <v>2685</v>
      </c>
    </row>
    <row r="1231" spans="1:33" ht="16.5" customHeight="1" x14ac:dyDescent="0.2">
      <c r="A1231" s="2" t="s">
        <v>31</v>
      </c>
      <c r="B1231" s="19" t="s">
        <v>50</v>
      </c>
      <c r="C1231" s="19"/>
      <c r="D1231" s="19"/>
      <c r="E1231" s="20" t="s">
        <v>33</v>
      </c>
      <c r="F1231" s="20"/>
      <c r="G1231" s="21" t="s">
        <v>2682</v>
      </c>
      <c r="H1231" s="21"/>
      <c r="I1231" s="21"/>
      <c r="J1231" s="3" t="s">
        <v>35</v>
      </c>
      <c r="K1231" s="4" t="s">
        <v>146</v>
      </c>
      <c r="L1231" s="4" t="s">
        <v>37</v>
      </c>
      <c r="N1231" s="21" t="s">
        <v>2704</v>
      </c>
      <c r="O1231" s="21"/>
      <c r="P1231" s="21" t="s">
        <v>2705</v>
      </c>
      <c r="Q1231" s="21"/>
      <c r="R1231" s="21"/>
      <c r="S1231" s="3" t="s">
        <v>40</v>
      </c>
      <c r="T1231" s="21" t="s">
        <v>41</v>
      </c>
      <c r="U1231" s="21"/>
      <c r="V1231" s="4" t="s">
        <v>42</v>
      </c>
      <c r="W1231" s="4" t="s">
        <v>234</v>
      </c>
      <c r="X1231" s="4" t="s">
        <v>235</v>
      </c>
      <c r="Y1231" s="21" t="s">
        <v>138</v>
      </c>
      <c r="Z1231" s="21"/>
      <c r="AA1231" s="4" t="s">
        <v>46</v>
      </c>
      <c r="AB1231" s="4" t="s">
        <v>47</v>
      </c>
      <c r="AC1231" s="4" t="s">
        <v>139</v>
      </c>
      <c r="AD1231" s="4" t="s">
        <v>140</v>
      </c>
      <c r="AE1231" s="4" t="s">
        <v>48</v>
      </c>
      <c r="AF1231" s="4" t="s">
        <v>41</v>
      </c>
      <c r="AG1231" s="4" t="s">
        <v>2685</v>
      </c>
    </row>
    <row r="1232" spans="1:33" ht="16.5" customHeight="1" x14ac:dyDescent="0.2">
      <c r="A1232" s="2" t="s">
        <v>31</v>
      </c>
      <c r="B1232" s="19" t="s">
        <v>50</v>
      </c>
      <c r="C1232" s="19"/>
      <c r="D1232" s="19"/>
      <c r="E1232" s="20" t="s">
        <v>33</v>
      </c>
      <c r="F1232" s="20"/>
      <c r="G1232" s="21" t="s">
        <v>2682</v>
      </c>
      <c r="H1232" s="21"/>
      <c r="I1232" s="21"/>
      <c r="J1232" s="3" t="s">
        <v>35</v>
      </c>
      <c r="K1232" s="4" t="s">
        <v>247</v>
      </c>
      <c r="L1232" s="4" t="s">
        <v>37</v>
      </c>
      <c r="N1232" s="21" t="s">
        <v>2706</v>
      </c>
      <c r="O1232" s="21"/>
      <c r="P1232" s="21" t="s">
        <v>2707</v>
      </c>
      <c r="Q1232" s="21"/>
      <c r="R1232" s="21"/>
      <c r="S1232" s="3" t="s">
        <v>40</v>
      </c>
      <c r="T1232" s="21" t="s">
        <v>41</v>
      </c>
      <c r="U1232" s="21"/>
      <c r="V1232" s="4" t="s">
        <v>42</v>
      </c>
      <c r="W1232" s="4" t="s">
        <v>299</v>
      </c>
      <c r="X1232" s="4" t="s">
        <v>300</v>
      </c>
      <c r="Y1232" s="21" t="s">
        <v>65</v>
      </c>
      <c r="Z1232" s="21"/>
      <c r="AA1232" s="4" t="s">
        <v>46</v>
      </c>
      <c r="AB1232" s="4" t="s">
        <v>47</v>
      </c>
      <c r="AC1232" s="4" t="s">
        <v>66</v>
      </c>
      <c r="AD1232" s="4" t="s">
        <v>73</v>
      </c>
      <c r="AE1232" s="4" t="s">
        <v>48</v>
      </c>
      <c r="AF1232" s="4" t="s">
        <v>41</v>
      </c>
      <c r="AG1232" s="4" t="s">
        <v>2685</v>
      </c>
    </row>
    <row r="1233" spans="1:33" ht="16.5" customHeight="1" x14ac:dyDescent="0.2">
      <c r="A1233" s="2" t="s">
        <v>31</v>
      </c>
      <c r="B1233" s="19" t="s">
        <v>50</v>
      </c>
      <c r="C1233" s="19"/>
      <c r="D1233" s="19"/>
      <c r="E1233" s="20" t="s">
        <v>33</v>
      </c>
      <c r="F1233" s="20"/>
      <c r="G1233" s="21" t="s">
        <v>2682</v>
      </c>
      <c r="H1233" s="21"/>
      <c r="I1233" s="21"/>
      <c r="J1233" s="3" t="s">
        <v>35</v>
      </c>
      <c r="K1233" s="4" t="s">
        <v>661</v>
      </c>
      <c r="L1233" s="4" t="s">
        <v>68</v>
      </c>
      <c r="N1233" s="21" t="s">
        <v>2708</v>
      </c>
      <c r="O1233" s="21"/>
      <c r="P1233" s="21" t="s">
        <v>2709</v>
      </c>
      <c r="Q1233" s="21"/>
      <c r="R1233" s="21"/>
      <c r="S1233" s="3" t="s">
        <v>40</v>
      </c>
      <c r="T1233" s="21" t="s">
        <v>41</v>
      </c>
      <c r="U1233" s="21"/>
      <c r="V1233" s="4" t="s">
        <v>42</v>
      </c>
      <c r="W1233" s="4" t="s">
        <v>54</v>
      </c>
      <c r="X1233" s="4" t="s">
        <v>55</v>
      </c>
      <c r="Y1233" s="21" t="s">
        <v>198</v>
      </c>
      <c r="Z1233" s="21"/>
      <c r="AA1233" s="4" t="s">
        <v>46</v>
      </c>
      <c r="AB1233" s="4" t="s">
        <v>47</v>
      </c>
      <c r="AC1233" s="4" t="s">
        <v>139</v>
      </c>
      <c r="AD1233" s="4" t="s">
        <v>151</v>
      </c>
      <c r="AE1233" s="4" t="s">
        <v>48</v>
      </c>
      <c r="AF1233" s="4" t="s">
        <v>41</v>
      </c>
      <c r="AG1233" s="4" t="s">
        <v>2685</v>
      </c>
    </row>
    <row r="1234" spans="1:33" ht="16.5" customHeight="1" x14ac:dyDescent="0.2">
      <c r="A1234" s="2" t="s">
        <v>31</v>
      </c>
      <c r="B1234" s="19" t="s">
        <v>50</v>
      </c>
      <c r="C1234" s="19"/>
      <c r="D1234" s="19"/>
      <c r="E1234" s="20" t="s">
        <v>33</v>
      </c>
      <c r="F1234" s="20"/>
      <c r="G1234" s="21" t="s">
        <v>2682</v>
      </c>
      <c r="H1234" s="21"/>
      <c r="I1234" s="21"/>
      <c r="J1234" s="3" t="s">
        <v>35</v>
      </c>
      <c r="K1234" s="4" t="s">
        <v>51</v>
      </c>
      <c r="L1234" s="4" t="s">
        <v>37</v>
      </c>
      <c r="N1234" s="21" t="s">
        <v>2710</v>
      </c>
      <c r="O1234" s="21"/>
      <c r="P1234" s="21" t="s">
        <v>2711</v>
      </c>
      <c r="Q1234" s="21"/>
      <c r="R1234" s="21"/>
      <c r="S1234" s="3" t="s">
        <v>40</v>
      </c>
      <c r="T1234" s="21" t="s">
        <v>41</v>
      </c>
      <c r="U1234" s="21"/>
      <c r="V1234" s="4" t="s">
        <v>42</v>
      </c>
      <c r="W1234" s="4" t="s">
        <v>54</v>
      </c>
      <c r="X1234" s="4" t="s">
        <v>55</v>
      </c>
      <c r="Y1234" s="21" t="s">
        <v>56</v>
      </c>
      <c r="Z1234" s="21"/>
      <c r="AA1234" s="4" t="s">
        <v>46</v>
      </c>
      <c r="AB1234" s="4" t="s">
        <v>47</v>
      </c>
      <c r="AC1234" s="4" t="s">
        <v>57</v>
      </c>
      <c r="AD1234" s="4" t="s">
        <v>58</v>
      </c>
      <c r="AE1234" s="4" t="s">
        <v>48</v>
      </c>
      <c r="AF1234" s="4" t="s">
        <v>41</v>
      </c>
      <c r="AG1234" s="4" t="s">
        <v>2685</v>
      </c>
    </row>
    <row r="1235" spans="1:33" ht="16.5" customHeight="1" x14ac:dyDescent="0.2">
      <c r="A1235" s="2" t="s">
        <v>31</v>
      </c>
      <c r="B1235" s="19" t="s">
        <v>50</v>
      </c>
      <c r="C1235" s="19"/>
      <c r="D1235" s="19"/>
      <c r="E1235" s="20" t="s">
        <v>33</v>
      </c>
      <c r="F1235" s="20"/>
      <c r="G1235" s="21" t="s">
        <v>2682</v>
      </c>
      <c r="H1235" s="21"/>
      <c r="I1235" s="21"/>
      <c r="J1235" s="3" t="s">
        <v>35</v>
      </c>
      <c r="K1235" s="4" t="s">
        <v>204</v>
      </c>
      <c r="L1235" s="4" t="s">
        <v>37</v>
      </c>
      <c r="N1235" s="21" t="s">
        <v>2712</v>
      </c>
      <c r="O1235" s="21"/>
      <c r="P1235" s="21" t="s">
        <v>2713</v>
      </c>
      <c r="Q1235" s="21"/>
      <c r="R1235" s="21"/>
      <c r="S1235" s="3" t="s">
        <v>40</v>
      </c>
      <c r="T1235" s="21" t="s">
        <v>41</v>
      </c>
      <c r="U1235" s="21"/>
      <c r="V1235" s="4" t="s">
        <v>42</v>
      </c>
      <c r="W1235" s="4" t="s">
        <v>130</v>
      </c>
      <c r="X1235" s="4" t="s">
        <v>60</v>
      </c>
      <c r="Y1235" s="21" t="s">
        <v>198</v>
      </c>
      <c r="Z1235" s="21"/>
      <c r="AA1235" s="4" t="s">
        <v>46</v>
      </c>
      <c r="AB1235" s="4" t="s">
        <v>47</v>
      </c>
      <c r="AC1235" s="4" t="s">
        <v>139</v>
      </c>
      <c r="AD1235" s="4" t="s">
        <v>140</v>
      </c>
      <c r="AE1235" s="4" t="s">
        <v>48</v>
      </c>
      <c r="AF1235" s="4" t="s">
        <v>41</v>
      </c>
      <c r="AG1235" s="4" t="s">
        <v>2685</v>
      </c>
    </row>
    <row r="1236" spans="1:33" ht="16.5" customHeight="1" x14ac:dyDescent="0.2">
      <c r="A1236" s="2" t="s">
        <v>31</v>
      </c>
      <c r="B1236" s="19" t="s">
        <v>50</v>
      </c>
      <c r="C1236" s="19"/>
      <c r="D1236" s="19"/>
      <c r="E1236" s="20" t="s">
        <v>33</v>
      </c>
      <c r="F1236" s="20"/>
      <c r="G1236" s="21" t="s">
        <v>2682</v>
      </c>
      <c r="H1236" s="21"/>
      <c r="I1236" s="21"/>
      <c r="J1236" s="3" t="s">
        <v>35</v>
      </c>
      <c r="K1236" s="4" t="s">
        <v>247</v>
      </c>
      <c r="L1236" s="4" t="s">
        <v>37</v>
      </c>
      <c r="N1236" s="21" t="s">
        <v>2714</v>
      </c>
      <c r="O1236" s="21"/>
      <c r="P1236" s="21" t="s">
        <v>2715</v>
      </c>
      <c r="Q1236" s="21"/>
      <c r="R1236" s="21"/>
      <c r="S1236" s="3" t="s">
        <v>40</v>
      </c>
      <c r="T1236" s="21" t="s">
        <v>41</v>
      </c>
      <c r="U1236" s="21"/>
      <c r="V1236" s="4" t="s">
        <v>42</v>
      </c>
      <c r="W1236" s="4" t="s">
        <v>59</v>
      </c>
      <c r="X1236" s="4" t="s">
        <v>131</v>
      </c>
      <c r="Y1236" s="21" t="s">
        <v>65</v>
      </c>
      <c r="Z1236" s="21"/>
      <c r="AA1236" s="4" t="s">
        <v>46</v>
      </c>
      <c r="AB1236" s="4" t="s">
        <v>47</v>
      </c>
      <c r="AC1236" s="4" t="s">
        <v>66</v>
      </c>
      <c r="AD1236" s="4" t="s">
        <v>73</v>
      </c>
      <c r="AE1236" s="4" t="s">
        <v>48</v>
      </c>
      <c r="AF1236" s="4" t="s">
        <v>41</v>
      </c>
      <c r="AG1236" s="4" t="s">
        <v>2685</v>
      </c>
    </row>
    <row r="1237" spans="1:33" ht="16.5" customHeight="1" x14ac:dyDescent="0.2">
      <c r="A1237" s="2" t="s">
        <v>31</v>
      </c>
      <c r="B1237" s="19" t="s">
        <v>50</v>
      </c>
      <c r="C1237" s="19"/>
      <c r="D1237" s="19"/>
      <c r="E1237" s="20" t="s">
        <v>33</v>
      </c>
      <c r="F1237" s="20"/>
      <c r="G1237" s="21" t="s">
        <v>2716</v>
      </c>
      <c r="H1237" s="21"/>
      <c r="I1237" s="21"/>
      <c r="J1237" s="3" t="s">
        <v>35</v>
      </c>
      <c r="K1237" s="4" t="s">
        <v>193</v>
      </c>
      <c r="L1237" s="4" t="s">
        <v>37</v>
      </c>
      <c r="N1237" s="21" t="s">
        <v>2717</v>
      </c>
      <c r="O1237" s="21"/>
      <c r="P1237" s="21" t="s">
        <v>2718</v>
      </c>
      <c r="Q1237" s="21"/>
      <c r="R1237" s="21"/>
      <c r="S1237" s="3" t="s">
        <v>40</v>
      </c>
      <c r="T1237" s="21" t="s">
        <v>41</v>
      </c>
      <c r="U1237" s="21"/>
      <c r="V1237" s="4" t="s">
        <v>42</v>
      </c>
      <c r="W1237" s="4" t="s">
        <v>54</v>
      </c>
      <c r="X1237" s="4" t="s">
        <v>55</v>
      </c>
      <c r="Y1237" s="21" t="s">
        <v>198</v>
      </c>
      <c r="Z1237" s="21"/>
      <c r="AA1237" s="4" t="s">
        <v>46</v>
      </c>
      <c r="AB1237" s="4" t="s">
        <v>47</v>
      </c>
      <c r="AC1237" s="4" t="s">
        <v>139</v>
      </c>
      <c r="AD1237" s="4" t="s">
        <v>140</v>
      </c>
      <c r="AE1237" s="4" t="s">
        <v>48</v>
      </c>
      <c r="AF1237" s="4" t="s">
        <v>41</v>
      </c>
      <c r="AG1237" s="4" t="s">
        <v>2719</v>
      </c>
    </row>
    <row r="1238" spans="1:33" ht="16.5" customHeight="1" x14ac:dyDescent="0.2">
      <c r="A1238" s="2" t="s">
        <v>31</v>
      </c>
      <c r="B1238" s="19" t="s">
        <v>50</v>
      </c>
      <c r="C1238" s="19"/>
      <c r="D1238" s="19"/>
      <c r="E1238" s="20" t="s">
        <v>33</v>
      </c>
      <c r="F1238" s="20"/>
      <c r="G1238" s="21" t="s">
        <v>2716</v>
      </c>
      <c r="H1238" s="21"/>
      <c r="I1238" s="21"/>
      <c r="J1238" s="3" t="s">
        <v>35</v>
      </c>
      <c r="K1238" s="4" t="s">
        <v>204</v>
      </c>
      <c r="L1238" s="4" t="s">
        <v>37</v>
      </c>
      <c r="N1238" s="21" t="s">
        <v>2720</v>
      </c>
      <c r="O1238" s="21"/>
      <c r="P1238" s="21" t="s">
        <v>2721</v>
      </c>
      <c r="Q1238" s="21"/>
      <c r="R1238" s="21"/>
      <c r="S1238" s="3" t="s">
        <v>40</v>
      </c>
      <c r="T1238" s="21" t="s">
        <v>41</v>
      </c>
      <c r="U1238" s="21"/>
      <c r="V1238" s="4" t="s">
        <v>42</v>
      </c>
      <c r="W1238" s="4" t="s">
        <v>54</v>
      </c>
      <c r="X1238" s="4" t="s">
        <v>55</v>
      </c>
      <c r="Y1238" s="21" t="s">
        <v>198</v>
      </c>
      <c r="Z1238" s="21"/>
      <c r="AA1238" s="4" t="s">
        <v>46</v>
      </c>
      <c r="AB1238" s="4" t="s">
        <v>47</v>
      </c>
      <c r="AC1238" s="4" t="s">
        <v>139</v>
      </c>
      <c r="AD1238" s="4" t="s">
        <v>140</v>
      </c>
      <c r="AE1238" s="4" t="s">
        <v>48</v>
      </c>
      <c r="AF1238" s="4" t="s">
        <v>41</v>
      </c>
      <c r="AG1238" s="4" t="s">
        <v>2719</v>
      </c>
    </row>
    <row r="1239" spans="1:33" ht="16.5" customHeight="1" x14ac:dyDescent="0.2">
      <c r="A1239" s="2" t="s">
        <v>31</v>
      </c>
      <c r="B1239" s="19" t="s">
        <v>50</v>
      </c>
      <c r="C1239" s="19"/>
      <c r="D1239" s="19"/>
      <c r="E1239" s="20" t="s">
        <v>33</v>
      </c>
      <c r="F1239" s="20"/>
      <c r="G1239" s="21" t="s">
        <v>2716</v>
      </c>
      <c r="H1239" s="21"/>
      <c r="I1239" s="21"/>
      <c r="J1239" s="3" t="s">
        <v>35</v>
      </c>
      <c r="K1239" s="4" t="s">
        <v>193</v>
      </c>
      <c r="L1239" s="4" t="s">
        <v>37</v>
      </c>
      <c r="N1239" s="21" t="s">
        <v>2722</v>
      </c>
      <c r="O1239" s="21"/>
      <c r="P1239" s="21" t="s">
        <v>2723</v>
      </c>
      <c r="Q1239" s="21"/>
      <c r="R1239" s="21"/>
      <c r="S1239" s="3" t="s">
        <v>40</v>
      </c>
      <c r="T1239" s="21" t="s">
        <v>41</v>
      </c>
      <c r="U1239" s="21"/>
      <c r="V1239" s="4" t="s">
        <v>42</v>
      </c>
      <c r="W1239" s="4" t="s">
        <v>54</v>
      </c>
      <c r="X1239" s="4" t="s">
        <v>55</v>
      </c>
      <c r="Y1239" s="21" t="s">
        <v>198</v>
      </c>
      <c r="Z1239" s="21"/>
      <c r="AA1239" s="4" t="s">
        <v>46</v>
      </c>
      <c r="AB1239" s="4" t="s">
        <v>47</v>
      </c>
      <c r="AC1239" s="4" t="s">
        <v>139</v>
      </c>
      <c r="AD1239" s="4" t="s">
        <v>140</v>
      </c>
      <c r="AE1239" s="4" t="s">
        <v>48</v>
      </c>
      <c r="AF1239" s="4" t="s">
        <v>41</v>
      </c>
      <c r="AG1239" s="4" t="s">
        <v>2719</v>
      </c>
    </row>
    <row r="1240" spans="1:33" ht="16.5" customHeight="1" x14ac:dyDescent="0.2">
      <c r="A1240" s="2" t="s">
        <v>31</v>
      </c>
      <c r="B1240" s="19" t="s">
        <v>50</v>
      </c>
      <c r="C1240" s="19"/>
      <c r="D1240" s="19"/>
      <c r="E1240" s="20" t="s">
        <v>33</v>
      </c>
      <c r="F1240" s="20"/>
      <c r="G1240" s="21" t="s">
        <v>2716</v>
      </c>
      <c r="H1240" s="21"/>
      <c r="I1240" s="21"/>
      <c r="J1240" s="3" t="s">
        <v>35</v>
      </c>
      <c r="K1240" s="4" t="s">
        <v>193</v>
      </c>
      <c r="L1240" s="4" t="s">
        <v>37</v>
      </c>
      <c r="N1240" s="21" t="s">
        <v>2724</v>
      </c>
      <c r="O1240" s="21"/>
      <c r="P1240" s="21" t="s">
        <v>2725</v>
      </c>
      <c r="Q1240" s="21"/>
      <c r="R1240" s="21"/>
      <c r="S1240" s="3" t="s">
        <v>40</v>
      </c>
      <c r="T1240" s="21" t="s">
        <v>41</v>
      </c>
      <c r="U1240" s="21"/>
      <c r="V1240" s="4" t="s">
        <v>42</v>
      </c>
      <c r="W1240" s="4" t="s">
        <v>54</v>
      </c>
      <c r="X1240" s="4" t="s">
        <v>55</v>
      </c>
      <c r="Y1240" s="21" t="s">
        <v>198</v>
      </c>
      <c r="Z1240" s="21"/>
      <c r="AA1240" s="4" t="s">
        <v>46</v>
      </c>
      <c r="AB1240" s="4" t="s">
        <v>47</v>
      </c>
      <c r="AC1240" s="4" t="s">
        <v>139</v>
      </c>
      <c r="AD1240" s="4" t="s">
        <v>140</v>
      </c>
      <c r="AE1240" s="4" t="s">
        <v>48</v>
      </c>
      <c r="AF1240" s="4" t="s">
        <v>41</v>
      </c>
      <c r="AG1240" s="4" t="s">
        <v>2719</v>
      </c>
    </row>
    <row r="1241" spans="1:33" ht="16.5" customHeight="1" x14ac:dyDescent="0.2">
      <c r="A1241" s="2" t="s">
        <v>31</v>
      </c>
      <c r="B1241" s="19" t="s">
        <v>50</v>
      </c>
      <c r="C1241" s="19"/>
      <c r="D1241" s="19"/>
      <c r="E1241" s="20" t="s">
        <v>33</v>
      </c>
      <c r="F1241" s="20"/>
      <c r="G1241" s="21" t="s">
        <v>2716</v>
      </c>
      <c r="H1241" s="21"/>
      <c r="I1241" s="21"/>
      <c r="J1241" s="3" t="s">
        <v>35</v>
      </c>
      <c r="K1241" s="4" t="s">
        <v>193</v>
      </c>
      <c r="L1241" s="4" t="s">
        <v>37</v>
      </c>
      <c r="N1241" s="21" t="s">
        <v>2726</v>
      </c>
      <c r="O1241" s="21"/>
      <c r="P1241" s="21" t="s">
        <v>2727</v>
      </c>
      <c r="Q1241" s="21"/>
      <c r="R1241" s="21"/>
      <c r="S1241" s="3" t="s">
        <v>40</v>
      </c>
      <c r="T1241" s="21" t="s">
        <v>41</v>
      </c>
      <c r="U1241" s="21"/>
      <c r="V1241" s="4" t="s">
        <v>42</v>
      </c>
      <c r="W1241" s="4" t="s">
        <v>54</v>
      </c>
      <c r="X1241" s="4" t="s">
        <v>55</v>
      </c>
      <c r="Y1241" s="21" t="s">
        <v>198</v>
      </c>
      <c r="Z1241" s="21"/>
      <c r="AA1241" s="4" t="s">
        <v>46</v>
      </c>
      <c r="AB1241" s="4" t="s">
        <v>47</v>
      </c>
      <c r="AC1241" s="4" t="s">
        <v>139</v>
      </c>
      <c r="AD1241" s="4" t="s">
        <v>140</v>
      </c>
      <c r="AE1241" s="4" t="s">
        <v>48</v>
      </c>
      <c r="AF1241" s="4" t="s">
        <v>41</v>
      </c>
      <c r="AG1241" s="4" t="s">
        <v>2719</v>
      </c>
    </row>
    <row r="1242" spans="1:33" ht="16.5" customHeight="1" x14ac:dyDescent="0.2">
      <c r="A1242" s="2" t="s">
        <v>31</v>
      </c>
      <c r="B1242" s="19" t="s">
        <v>50</v>
      </c>
      <c r="C1242" s="19"/>
      <c r="D1242" s="19"/>
      <c r="E1242" s="20" t="s">
        <v>33</v>
      </c>
      <c r="F1242" s="20"/>
      <c r="G1242" s="21" t="s">
        <v>2716</v>
      </c>
      <c r="H1242" s="21"/>
      <c r="I1242" s="21"/>
      <c r="J1242" s="3" t="s">
        <v>35</v>
      </c>
      <c r="K1242" s="4" t="s">
        <v>74</v>
      </c>
      <c r="L1242" s="4" t="s">
        <v>37</v>
      </c>
      <c r="N1242" s="21" t="s">
        <v>2728</v>
      </c>
      <c r="O1242" s="21"/>
      <c r="P1242" s="21" t="s">
        <v>2729</v>
      </c>
      <c r="Q1242" s="21"/>
      <c r="R1242" s="21"/>
      <c r="S1242" s="3" t="s">
        <v>40</v>
      </c>
      <c r="T1242" s="21" t="s">
        <v>41</v>
      </c>
      <c r="U1242" s="21"/>
      <c r="V1242" s="4" t="s">
        <v>42</v>
      </c>
      <c r="W1242" s="4" t="s">
        <v>573</v>
      </c>
      <c r="X1242" s="4" t="s">
        <v>574</v>
      </c>
      <c r="Y1242" s="21" t="s">
        <v>65</v>
      </c>
      <c r="Z1242" s="21"/>
      <c r="AA1242" s="4" t="s">
        <v>46</v>
      </c>
      <c r="AB1242" s="4" t="s">
        <v>47</v>
      </c>
      <c r="AC1242" s="4" t="s">
        <v>57</v>
      </c>
      <c r="AD1242" s="4" t="s">
        <v>58</v>
      </c>
      <c r="AE1242" s="4" t="s">
        <v>48</v>
      </c>
      <c r="AF1242" s="4" t="s">
        <v>41</v>
      </c>
      <c r="AG1242" s="4" t="s">
        <v>2719</v>
      </c>
    </row>
    <row r="1243" spans="1:33" ht="16.5" customHeight="1" x14ac:dyDescent="0.2">
      <c r="A1243" s="2" t="s">
        <v>31</v>
      </c>
      <c r="B1243" s="19" t="s">
        <v>50</v>
      </c>
      <c r="C1243" s="19"/>
      <c r="D1243" s="19"/>
      <c r="E1243" s="20" t="s">
        <v>33</v>
      </c>
      <c r="F1243" s="20"/>
      <c r="G1243" s="21" t="s">
        <v>2716</v>
      </c>
      <c r="H1243" s="21"/>
      <c r="I1243" s="21"/>
      <c r="J1243" s="3" t="s">
        <v>35</v>
      </c>
      <c r="K1243" s="4" t="s">
        <v>193</v>
      </c>
      <c r="L1243" s="4" t="s">
        <v>37</v>
      </c>
      <c r="N1243" s="21" t="s">
        <v>2730</v>
      </c>
      <c r="O1243" s="21"/>
      <c r="P1243" s="21" t="s">
        <v>2731</v>
      </c>
      <c r="Q1243" s="21"/>
      <c r="R1243" s="21"/>
      <c r="S1243" s="3" t="s">
        <v>40</v>
      </c>
      <c r="T1243" s="21" t="s">
        <v>41</v>
      </c>
      <c r="U1243" s="21"/>
      <c r="V1243" s="4" t="s">
        <v>42</v>
      </c>
      <c r="W1243" s="4" t="s">
        <v>130</v>
      </c>
      <c r="X1243" s="4" t="s">
        <v>60</v>
      </c>
      <c r="Y1243" s="21" t="s">
        <v>198</v>
      </c>
      <c r="Z1243" s="21"/>
      <c r="AA1243" s="4" t="s">
        <v>46</v>
      </c>
      <c r="AB1243" s="4" t="s">
        <v>47</v>
      </c>
      <c r="AC1243" s="4" t="s">
        <v>139</v>
      </c>
      <c r="AD1243" s="4" t="s">
        <v>140</v>
      </c>
      <c r="AE1243" s="4" t="s">
        <v>48</v>
      </c>
      <c r="AF1243" s="4" t="s">
        <v>41</v>
      </c>
      <c r="AG1243" s="4" t="s">
        <v>2719</v>
      </c>
    </row>
    <row r="1244" spans="1:33" ht="16.5" customHeight="1" x14ac:dyDescent="0.2">
      <c r="A1244" s="2" t="s">
        <v>31</v>
      </c>
      <c r="B1244" s="19" t="s">
        <v>50</v>
      </c>
      <c r="C1244" s="19"/>
      <c r="D1244" s="19"/>
      <c r="E1244" s="20" t="s">
        <v>33</v>
      </c>
      <c r="F1244" s="20"/>
      <c r="G1244" s="21" t="s">
        <v>2716</v>
      </c>
      <c r="H1244" s="21"/>
      <c r="I1244" s="21"/>
      <c r="J1244" s="3" t="s">
        <v>35</v>
      </c>
      <c r="K1244" s="4" t="s">
        <v>193</v>
      </c>
      <c r="L1244" s="4" t="s">
        <v>37</v>
      </c>
      <c r="N1244" s="21" t="s">
        <v>2732</v>
      </c>
      <c r="O1244" s="21"/>
      <c r="P1244" s="21" t="s">
        <v>2733</v>
      </c>
      <c r="Q1244" s="21"/>
      <c r="R1244" s="21"/>
      <c r="S1244" s="3" t="s">
        <v>40</v>
      </c>
      <c r="T1244" s="21" t="s">
        <v>41</v>
      </c>
      <c r="U1244" s="21"/>
      <c r="V1244" s="4" t="s">
        <v>42</v>
      </c>
      <c r="W1244" s="4" t="s">
        <v>234</v>
      </c>
      <c r="X1244" s="4" t="s">
        <v>235</v>
      </c>
      <c r="Y1244" s="21" t="s">
        <v>198</v>
      </c>
      <c r="Z1244" s="21"/>
      <c r="AA1244" s="4" t="s">
        <v>46</v>
      </c>
      <c r="AB1244" s="4" t="s">
        <v>47</v>
      </c>
      <c r="AC1244" s="4" t="s">
        <v>257</v>
      </c>
      <c r="AD1244" s="4" t="s">
        <v>258</v>
      </c>
      <c r="AE1244" s="4" t="s">
        <v>48</v>
      </c>
      <c r="AF1244" s="4" t="s">
        <v>41</v>
      </c>
      <c r="AG1244" s="4" t="s">
        <v>2719</v>
      </c>
    </row>
    <row r="1245" spans="1:33" ht="16.5" customHeight="1" x14ac:dyDescent="0.2">
      <c r="A1245" s="2" t="s">
        <v>31</v>
      </c>
      <c r="B1245" s="19" t="s">
        <v>50</v>
      </c>
      <c r="C1245" s="19"/>
      <c r="D1245" s="19"/>
      <c r="E1245" s="20" t="s">
        <v>33</v>
      </c>
      <c r="F1245" s="20"/>
      <c r="G1245" s="21" t="s">
        <v>2716</v>
      </c>
      <c r="H1245" s="21"/>
      <c r="I1245" s="21"/>
      <c r="J1245" s="3" t="s">
        <v>35</v>
      </c>
      <c r="K1245" s="4" t="s">
        <v>193</v>
      </c>
      <c r="L1245" s="4" t="s">
        <v>37</v>
      </c>
      <c r="N1245" s="21" t="s">
        <v>2734</v>
      </c>
      <c r="O1245" s="21"/>
      <c r="P1245" s="21" t="s">
        <v>2735</v>
      </c>
      <c r="Q1245" s="21"/>
      <c r="R1245" s="21"/>
      <c r="S1245" s="3" t="s">
        <v>40</v>
      </c>
      <c r="T1245" s="21" t="s">
        <v>41</v>
      </c>
      <c r="U1245" s="21"/>
      <c r="V1245" s="4" t="s">
        <v>42</v>
      </c>
      <c r="W1245" s="4" t="s">
        <v>234</v>
      </c>
      <c r="X1245" s="4" t="s">
        <v>235</v>
      </c>
      <c r="Y1245" s="21" t="s">
        <v>198</v>
      </c>
      <c r="Z1245" s="21"/>
      <c r="AA1245" s="4" t="s">
        <v>46</v>
      </c>
      <c r="AB1245" s="4" t="s">
        <v>47</v>
      </c>
      <c r="AC1245" s="4" t="s">
        <v>81</v>
      </c>
      <c r="AD1245" s="4" t="s">
        <v>41</v>
      </c>
      <c r="AE1245" s="4" t="s">
        <v>48</v>
      </c>
      <c r="AF1245" s="4" t="s">
        <v>41</v>
      </c>
      <c r="AG1245" s="4" t="s">
        <v>2719</v>
      </c>
    </row>
    <row r="1246" spans="1:33" ht="16.5" customHeight="1" x14ac:dyDescent="0.2">
      <c r="A1246" s="2" t="s">
        <v>31</v>
      </c>
      <c r="B1246" s="19" t="s">
        <v>50</v>
      </c>
      <c r="C1246" s="19"/>
      <c r="D1246" s="19"/>
      <c r="E1246" s="20" t="s">
        <v>33</v>
      </c>
      <c r="F1246" s="20"/>
      <c r="G1246" s="21" t="s">
        <v>2716</v>
      </c>
      <c r="H1246" s="21"/>
      <c r="I1246" s="21"/>
      <c r="J1246" s="3" t="s">
        <v>35</v>
      </c>
      <c r="K1246" s="4" t="s">
        <v>383</v>
      </c>
      <c r="L1246" s="4" t="s">
        <v>68</v>
      </c>
      <c r="N1246" s="21" t="s">
        <v>2736</v>
      </c>
      <c r="O1246" s="21"/>
      <c r="P1246" s="21" t="s">
        <v>2737</v>
      </c>
      <c r="Q1246" s="21"/>
      <c r="R1246" s="21"/>
      <c r="S1246" s="3" t="s">
        <v>40</v>
      </c>
      <c r="T1246" s="21" t="s">
        <v>41</v>
      </c>
      <c r="U1246" s="21"/>
      <c r="V1246" s="4" t="s">
        <v>42</v>
      </c>
      <c r="W1246" s="4" t="s">
        <v>234</v>
      </c>
      <c r="X1246" s="4" t="s">
        <v>235</v>
      </c>
      <c r="Y1246" s="21" t="s">
        <v>198</v>
      </c>
      <c r="Z1246" s="21"/>
      <c r="AA1246" s="4" t="s">
        <v>46</v>
      </c>
      <c r="AB1246" s="4" t="s">
        <v>47</v>
      </c>
      <c r="AC1246" s="4" t="s">
        <v>257</v>
      </c>
      <c r="AD1246" s="4" t="s">
        <v>73</v>
      </c>
      <c r="AE1246" s="4" t="s">
        <v>48</v>
      </c>
      <c r="AF1246" s="4" t="s">
        <v>41</v>
      </c>
      <c r="AG1246" s="4" t="s">
        <v>2719</v>
      </c>
    </row>
    <row r="1247" spans="1:33" ht="16.5" customHeight="1" x14ac:dyDescent="0.2">
      <c r="A1247" s="2" t="s">
        <v>31</v>
      </c>
      <c r="B1247" s="19" t="s">
        <v>50</v>
      </c>
      <c r="C1247" s="19"/>
      <c r="D1247" s="19"/>
      <c r="E1247" s="20" t="s">
        <v>33</v>
      </c>
      <c r="F1247" s="20"/>
      <c r="G1247" s="21" t="s">
        <v>2716</v>
      </c>
      <c r="H1247" s="21"/>
      <c r="I1247" s="21"/>
      <c r="J1247" s="3" t="s">
        <v>35</v>
      </c>
      <c r="K1247" s="4" t="s">
        <v>193</v>
      </c>
      <c r="L1247" s="4" t="s">
        <v>37</v>
      </c>
      <c r="N1247" s="21" t="s">
        <v>2738</v>
      </c>
      <c r="O1247" s="21"/>
      <c r="P1247" s="21" t="s">
        <v>2739</v>
      </c>
      <c r="Q1247" s="21"/>
      <c r="R1247" s="21"/>
      <c r="S1247" s="3" t="s">
        <v>40</v>
      </c>
      <c r="T1247" s="21" t="s">
        <v>41</v>
      </c>
      <c r="U1247" s="21"/>
      <c r="V1247" s="4" t="s">
        <v>42</v>
      </c>
      <c r="W1247" s="4" t="s">
        <v>350</v>
      </c>
      <c r="X1247" s="4" t="s">
        <v>339</v>
      </c>
      <c r="Y1247" s="21" t="s">
        <v>198</v>
      </c>
      <c r="Z1247" s="21"/>
      <c r="AA1247" s="4" t="s">
        <v>46</v>
      </c>
      <c r="AB1247" s="4" t="s">
        <v>47</v>
      </c>
      <c r="AC1247" s="4" t="s">
        <v>257</v>
      </c>
      <c r="AD1247" s="4" t="s">
        <v>258</v>
      </c>
      <c r="AE1247" s="4" t="s">
        <v>48</v>
      </c>
      <c r="AF1247" s="4" t="s">
        <v>41</v>
      </c>
      <c r="AG1247" s="4" t="s">
        <v>2719</v>
      </c>
    </row>
    <row r="1248" spans="1:33" ht="16.5" customHeight="1" x14ac:dyDescent="0.2">
      <c r="A1248" s="2" t="s">
        <v>31</v>
      </c>
      <c r="B1248" s="19" t="s">
        <v>50</v>
      </c>
      <c r="C1248" s="19"/>
      <c r="D1248" s="19"/>
      <c r="E1248" s="20" t="s">
        <v>33</v>
      </c>
      <c r="F1248" s="20"/>
      <c r="G1248" s="21" t="s">
        <v>2716</v>
      </c>
      <c r="H1248" s="21"/>
      <c r="I1248" s="21"/>
      <c r="J1248" s="3" t="s">
        <v>35</v>
      </c>
      <c r="K1248" s="4" t="s">
        <v>204</v>
      </c>
      <c r="L1248" s="4" t="s">
        <v>68</v>
      </c>
      <c r="N1248" s="21" t="s">
        <v>2740</v>
      </c>
      <c r="O1248" s="21"/>
      <c r="P1248" s="21" t="s">
        <v>2741</v>
      </c>
      <c r="Q1248" s="21"/>
      <c r="R1248" s="21"/>
      <c r="S1248" s="3" t="s">
        <v>40</v>
      </c>
      <c r="T1248" s="21" t="s">
        <v>41</v>
      </c>
      <c r="U1248" s="21"/>
      <c r="V1248" s="4" t="s">
        <v>42</v>
      </c>
      <c r="W1248" s="4" t="s">
        <v>350</v>
      </c>
      <c r="X1248" s="4" t="s">
        <v>339</v>
      </c>
      <c r="Y1248" s="21" t="s">
        <v>198</v>
      </c>
      <c r="Z1248" s="21"/>
      <c r="AA1248" s="4" t="s">
        <v>46</v>
      </c>
      <c r="AB1248" s="4" t="s">
        <v>47</v>
      </c>
      <c r="AC1248" s="4" t="s">
        <v>257</v>
      </c>
      <c r="AD1248" s="4" t="s">
        <v>73</v>
      </c>
      <c r="AE1248" s="4" t="s">
        <v>48</v>
      </c>
      <c r="AF1248" s="4" t="s">
        <v>41</v>
      </c>
      <c r="AG1248" s="4" t="s">
        <v>2719</v>
      </c>
    </row>
    <row r="1249" spans="1:33" ht="16.5" customHeight="1" x14ac:dyDescent="0.2">
      <c r="A1249" s="2" t="s">
        <v>31</v>
      </c>
      <c r="B1249" s="19" t="s">
        <v>50</v>
      </c>
      <c r="C1249" s="19"/>
      <c r="D1249" s="19"/>
      <c r="E1249" s="20" t="s">
        <v>33</v>
      </c>
      <c r="F1249" s="20"/>
      <c r="G1249" s="21" t="s">
        <v>2716</v>
      </c>
      <c r="H1249" s="21"/>
      <c r="I1249" s="21"/>
      <c r="J1249" s="3" t="s">
        <v>35</v>
      </c>
      <c r="K1249" s="4" t="s">
        <v>74</v>
      </c>
      <c r="L1249" s="4" t="s">
        <v>37</v>
      </c>
      <c r="N1249" s="21" t="s">
        <v>2742</v>
      </c>
      <c r="O1249" s="21"/>
      <c r="P1249" s="21" t="s">
        <v>2743</v>
      </c>
      <c r="Q1249" s="21"/>
      <c r="R1249" s="21"/>
      <c r="S1249" s="3" t="s">
        <v>40</v>
      </c>
      <c r="T1249" s="21" t="s">
        <v>41</v>
      </c>
      <c r="U1249" s="21"/>
      <c r="V1249" s="4" t="s">
        <v>42</v>
      </c>
      <c r="W1249" s="4" t="s">
        <v>350</v>
      </c>
      <c r="X1249" s="4" t="s">
        <v>339</v>
      </c>
      <c r="Y1249" s="21" t="s">
        <v>65</v>
      </c>
      <c r="Z1249" s="21"/>
      <c r="AA1249" s="4" t="s">
        <v>46</v>
      </c>
      <c r="AB1249" s="4" t="s">
        <v>47</v>
      </c>
      <c r="AC1249" s="4" t="s">
        <v>57</v>
      </c>
      <c r="AD1249" s="4" t="s">
        <v>58</v>
      </c>
      <c r="AE1249" s="4" t="s">
        <v>48</v>
      </c>
      <c r="AF1249" s="4" t="s">
        <v>41</v>
      </c>
      <c r="AG1249" s="4" t="s">
        <v>2719</v>
      </c>
    </row>
    <row r="1250" spans="1:33" ht="16.5" customHeight="1" x14ac:dyDescent="0.2">
      <c r="A1250" s="2" t="s">
        <v>31</v>
      </c>
      <c r="B1250" s="19" t="s">
        <v>50</v>
      </c>
      <c r="C1250" s="19"/>
      <c r="D1250" s="19"/>
      <c r="E1250" s="20" t="s">
        <v>33</v>
      </c>
      <c r="F1250" s="20"/>
      <c r="G1250" s="21" t="s">
        <v>2716</v>
      </c>
      <c r="H1250" s="21"/>
      <c r="I1250" s="21"/>
      <c r="J1250" s="3" t="s">
        <v>35</v>
      </c>
      <c r="K1250" s="4" t="s">
        <v>74</v>
      </c>
      <c r="L1250" s="4" t="s">
        <v>37</v>
      </c>
      <c r="N1250" s="21" t="s">
        <v>2744</v>
      </c>
      <c r="O1250" s="21"/>
      <c r="P1250" s="21" t="s">
        <v>2745</v>
      </c>
      <c r="Q1250" s="21"/>
      <c r="R1250" s="21"/>
      <c r="S1250" s="3" t="s">
        <v>40</v>
      </c>
      <c r="T1250" s="21" t="s">
        <v>41</v>
      </c>
      <c r="U1250" s="21"/>
      <c r="V1250" s="4" t="s">
        <v>42</v>
      </c>
      <c r="W1250" s="4" t="s">
        <v>182</v>
      </c>
      <c r="X1250" s="4" t="s">
        <v>294</v>
      </c>
      <c r="Y1250" s="21" t="s">
        <v>65</v>
      </c>
      <c r="Z1250" s="21"/>
      <c r="AA1250" s="4" t="s">
        <v>46</v>
      </c>
      <c r="AB1250" s="4" t="s">
        <v>47</v>
      </c>
      <c r="AC1250" s="4" t="s">
        <v>66</v>
      </c>
      <c r="AD1250" s="4" t="s">
        <v>73</v>
      </c>
      <c r="AE1250" s="4" t="s">
        <v>48</v>
      </c>
      <c r="AF1250" s="4" t="s">
        <v>41</v>
      </c>
      <c r="AG1250" s="4" t="s">
        <v>2719</v>
      </c>
    </row>
    <row r="1251" spans="1:33" ht="16.5" customHeight="1" x14ac:dyDescent="0.2">
      <c r="A1251" s="2" t="s">
        <v>31</v>
      </c>
      <c r="B1251" s="19" t="s">
        <v>50</v>
      </c>
      <c r="C1251" s="19"/>
      <c r="D1251" s="19"/>
      <c r="E1251" s="20" t="s">
        <v>33</v>
      </c>
      <c r="F1251" s="20"/>
      <c r="G1251" s="21" t="s">
        <v>2716</v>
      </c>
      <c r="H1251" s="21"/>
      <c r="I1251" s="21"/>
      <c r="J1251" s="3" t="s">
        <v>35</v>
      </c>
      <c r="K1251" s="4" t="s">
        <v>193</v>
      </c>
      <c r="L1251" s="4" t="s">
        <v>37</v>
      </c>
      <c r="N1251" s="21" t="s">
        <v>2746</v>
      </c>
      <c r="O1251" s="21"/>
      <c r="P1251" s="21" t="s">
        <v>2747</v>
      </c>
      <c r="Q1251" s="21"/>
      <c r="R1251" s="21"/>
      <c r="S1251" s="3" t="s">
        <v>40</v>
      </c>
      <c r="T1251" s="21" t="s">
        <v>41</v>
      </c>
      <c r="U1251" s="21"/>
      <c r="V1251" s="4" t="s">
        <v>42</v>
      </c>
      <c r="W1251" s="4" t="s">
        <v>182</v>
      </c>
      <c r="X1251" s="4" t="s">
        <v>294</v>
      </c>
      <c r="Y1251" s="21" t="s">
        <v>198</v>
      </c>
      <c r="Z1251" s="21"/>
      <c r="AA1251" s="4" t="s">
        <v>46</v>
      </c>
      <c r="AB1251" s="4" t="s">
        <v>47</v>
      </c>
      <c r="AC1251" s="4" t="s">
        <v>139</v>
      </c>
      <c r="AD1251" s="4" t="s">
        <v>140</v>
      </c>
      <c r="AE1251" s="4" t="s">
        <v>48</v>
      </c>
      <c r="AF1251" s="4" t="s">
        <v>41</v>
      </c>
      <c r="AG1251" s="4" t="s">
        <v>2719</v>
      </c>
    </row>
    <row r="1252" spans="1:33" ht="16.5" customHeight="1" x14ac:dyDescent="0.2">
      <c r="A1252" s="2" t="s">
        <v>31</v>
      </c>
      <c r="B1252" s="19" t="s">
        <v>50</v>
      </c>
      <c r="C1252" s="19"/>
      <c r="D1252" s="19"/>
      <c r="E1252" s="20" t="s">
        <v>33</v>
      </c>
      <c r="F1252" s="20"/>
      <c r="G1252" s="21" t="s">
        <v>2716</v>
      </c>
      <c r="H1252" s="21"/>
      <c r="I1252" s="21"/>
      <c r="J1252" s="3" t="s">
        <v>35</v>
      </c>
      <c r="K1252" s="4" t="s">
        <v>193</v>
      </c>
      <c r="L1252" s="4" t="s">
        <v>68</v>
      </c>
      <c r="N1252" s="21" t="s">
        <v>2748</v>
      </c>
      <c r="O1252" s="21"/>
      <c r="P1252" s="21" t="s">
        <v>2749</v>
      </c>
      <c r="Q1252" s="21"/>
      <c r="R1252" s="21"/>
      <c r="S1252" s="3" t="s">
        <v>40</v>
      </c>
      <c r="T1252" s="21" t="s">
        <v>41</v>
      </c>
      <c r="U1252" s="21"/>
      <c r="V1252" s="4" t="s">
        <v>42</v>
      </c>
      <c r="W1252" s="4" t="s">
        <v>77</v>
      </c>
      <c r="X1252" s="4" t="s">
        <v>78</v>
      </c>
      <c r="Y1252" s="21" t="s">
        <v>198</v>
      </c>
      <c r="Z1252" s="21"/>
      <c r="AA1252" s="4" t="s">
        <v>46</v>
      </c>
      <c r="AB1252" s="4" t="s">
        <v>47</v>
      </c>
      <c r="AC1252" s="4" t="s">
        <v>139</v>
      </c>
      <c r="AD1252" s="4" t="s">
        <v>151</v>
      </c>
      <c r="AE1252" s="4" t="s">
        <v>48</v>
      </c>
      <c r="AF1252" s="4" t="s">
        <v>41</v>
      </c>
      <c r="AG1252" s="4" t="s">
        <v>2719</v>
      </c>
    </row>
    <row r="1253" spans="1:33" ht="16.5" customHeight="1" x14ac:dyDescent="0.2">
      <c r="A1253" s="2" t="s">
        <v>31</v>
      </c>
      <c r="B1253" s="19" t="s">
        <v>50</v>
      </c>
      <c r="C1253" s="19"/>
      <c r="D1253" s="19"/>
      <c r="E1253" s="20" t="s">
        <v>33</v>
      </c>
      <c r="F1253" s="20"/>
      <c r="G1253" s="21" t="s">
        <v>2716</v>
      </c>
      <c r="H1253" s="21"/>
      <c r="I1253" s="21"/>
      <c r="J1253" s="3" t="s">
        <v>35</v>
      </c>
      <c r="K1253" s="4" t="s">
        <v>193</v>
      </c>
      <c r="L1253" s="4" t="s">
        <v>68</v>
      </c>
      <c r="N1253" s="21" t="s">
        <v>2750</v>
      </c>
      <c r="O1253" s="21"/>
      <c r="P1253" s="21" t="s">
        <v>2751</v>
      </c>
      <c r="Q1253" s="21"/>
      <c r="R1253" s="21"/>
      <c r="S1253" s="3" t="s">
        <v>40</v>
      </c>
      <c r="T1253" s="21" t="s">
        <v>41</v>
      </c>
      <c r="U1253" s="21"/>
      <c r="V1253" s="4" t="s">
        <v>42</v>
      </c>
      <c r="W1253" s="4" t="s">
        <v>94</v>
      </c>
      <c r="X1253" s="4" t="s">
        <v>95</v>
      </c>
      <c r="Y1253" s="21" t="s">
        <v>198</v>
      </c>
      <c r="Z1253" s="21"/>
      <c r="AA1253" s="4" t="s">
        <v>46</v>
      </c>
      <c r="AB1253" s="4" t="s">
        <v>47</v>
      </c>
      <c r="AC1253" s="4" t="s">
        <v>139</v>
      </c>
      <c r="AD1253" s="4" t="s">
        <v>151</v>
      </c>
      <c r="AE1253" s="4" t="s">
        <v>48</v>
      </c>
      <c r="AF1253" s="4" t="s">
        <v>41</v>
      </c>
      <c r="AG1253" s="4" t="s">
        <v>2719</v>
      </c>
    </row>
    <row r="1254" spans="1:33" ht="16.5" customHeight="1" x14ac:dyDescent="0.2">
      <c r="A1254" s="2" t="s">
        <v>31</v>
      </c>
      <c r="B1254" s="19" t="s">
        <v>50</v>
      </c>
      <c r="C1254" s="19"/>
      <c r="D1254" s="19"/>
      <c r="E1254" s="20" t="s">
        <v>33</v>
      </c>
      <c r="F1254" s="20"/>
      <c r="G1254" s="21" t="s">
        <v>2716</v>
      </c>
      <c r="H1254" s="21"/>
      <c r="I1254" s="21"/>
      <c r="J1254" s="3" t="s">
        <v>35</v>
      </c>
      <c r="K1254" s="4" t="s">
        <v>193</v>
      </c>
      <c r="L1254" s="4" t="s">
        <v>68</v>
      </c>
      <c r="N1254" s="21" t="s">
        <v>2750</v>
      </c>
      <c r="O1254" s="21"/>
      <c r="P1254" s="21" t="s">
        <v>2751</v>
      </c>
      <c r="Q1254" s="21"/>
      <c r="R1254" s="21"/>
      <c r="S1254" s="3" t="s">
        <v>40</v>
      </c>
      <c r="T1254" s="21" t="s">
        <v>41</v>
      </c>
      <c r="U1254" s="21"/>
      <c r="V1254" s="4" t="s">
        <v>59</v>
      </c>
      <c r="W1254" s="4" t="s">
        <v>94</v>
      </c>
      <c r="X1254" s="4" t="s">
        <v>105</v>
      </c>
      <c r="Y1254" s="21" t="s">
        <v>198</v>
      </c>
      <c r="Z1254" s="21"/>
      <c r="AA1254" s="4" t="s">
        <v>46</v>
      </c>
      <c r="AB1254" s="4" t="s">
        <v>47</v>
      </c>
      <c r="AC1254" s="4" t="s">
        <v>139</v>
      </c>
      <c r="AD1254" s="4" t="s">
        <v>151</v>
      </c>
      <c r="AE1254" s="4" t="s">
        <v>48</v>
      </c>
      <c r="AF1254" s="4" t="s">
        <v>41</v>
      </c>
      <c r="AG1254" s="4" t="s">
        <v>2719</v>
      </c>
    </row>
    <row r="1255" spans="1:33" ht="16.5" customHeight="1" x14ac:dyDescent="0.2">
      <c r="A1255" s="2" t="s">
        <v>31</v>
      </c>
      <c r="B1255" s="19" t="s">
        <v>50</v>
      </c>
      <c r="C1255" s="19"/>
      <c r="D1255" s="19"/>
      <c r="E1255" s="20" t="s">
        <v>33</v>
      </c>
      <c r="F1255" s="20"/>
      <c r="G1255" s="21" t="s">
        <v>2716</v>
      </c>
      <c r="H1255" s="21"/>
      <c r="I1255" s="21"/>
      <c r="J1255" s="3" t="s">
        <v>35</v>
      </c>
      <c r="K1255" s="4" t="s">
        <v>74</v>
      </c>
      <c r="L1255" s="4" t="s">
        <v>37</v>
      </c>
      <c r="N1255" s="21" t="s">
        <v>2752</v>
      </c>
      <c r="O1255" s="21"/>
      <c r="P1255" s="21" t="s">
        <v>2753</v>
      </c>
      <c r="Q1255" s="21"/>
      <c r="R1255" s="21"/>
      <c r="S1255" s="3" t="s">
        <v>40</v>
      </c>
      <c r="T1255" s="21" t="s">
        <v>41</v>
      </c>
      <c r="U1255" s="21"/>
      <c r="V1255" s="4" t="s">
        <v>42</v>
      </c>
      <c r="W1255" s="4" t="s">
        <v>94</v>
      </c>
      <c r="X1255" s="4" t="s">
        <v>95</v>
      </c>
      <c r="Y1255" s="21" t="s">
        <v>65</v>
      </c>
      <c r="Z1255" s="21"/>
      <c r="AA1255" s="4" t="s">
        <v>46</v>
      </c>
      <c r="AB1255" s="4" t="s">
        <v>47</v>
      </c>
      <c r="AC1255" s="4" t="s">
        <v>66</v>
      </c>
      <c r="AD1255" s="4" t="s">
        <v>73</v>
      </c>
      <c r="AE1255" s="4" t="s">
        <v>48</v>
      </c>
      <c r="AF1255" s="4" t="s">
        <v>41</v>
      </c>
      <c r="AG1255" s="4" t="s">
        <v>2719</v>
      </c>
    </row>
    <row r="1256" spans="1:33" ht="16.5" customHeight="1" x14ac:dyDescent="0.2">
      <c r="A1256" s="2" t="s">
        <v>31</v>
      </c>
      <c r="B1256" s="19" t="s">
        <v>50</v>
      </c>
      <c r="C1256" s="19"/>
      <c r="D1256" s="19"/>
      <c r="E1256" s="20" t="s">
        <v>33</v>
      </c>
      <c r="F1256" s="20"/>
      <c r="G1256" s="21" t="s">
        <v>2716</v>
      </c>
      <c r="H1256" s="21"/>
      <c r="I1256" s="21"/>
      <c r="J1256" s="3" t="s">
        <v>35</v>
      </c>
      <c r="K1256" s="4" t="s">
        <v>193</v>
      </c>
      <c r="L1256" s="4" t="s">
        <v>37</v>
      </c>
      <c r="N1256" s="21" t="s">
        <v>2754</v>
      </c>
      <c r="O1256" s="21"/>
      <c r="P1256" s="21" t="s">
        <v>2755</v>
      </c>
      <c r="Q1256" s="21"/>
      <c r="R1256" s="21"/>
      <c r="S1256" s="3" t="s">
        <v>40</v>
      </c>
      <c r="T1256" s="21" t="s">
        <v>41</v>
      </c>
      <c r="U1256" s="21"/>
      <c r="V1256" s="4" t="s">
        <v>42</v>
      </c>
      <c r="W1256" s="4" t="s">
        <v>94</v>
      </c>
      <c r="X1256" s="4" t="s">
        <v>95</v>
      </c>
      <c r="Y1256" s="21" t="s">
        <v>198</v>
      </c>
      <c r="Z1256" s="21"/>
      <c r="AA1256" s="4" t="s">
        <v>46</v>
      </c>
      <c r="AB1256" s="4" t="s">
        <v>47</v>
      </c>
      <c r="AC1256" s="4" t="s">
        <v>139</v>
      </c>
      <c r="AD1256" s="4" t="s">
        <v>140</v>
      </c>
      <c r="AE1256" s="4" t="s">
        <v>48</v>
      </c>
      <c r="AF1256" s="4" t="s">
        <v>41</v>
      </c>
      <c r="AG1256" s="4" t="s">
        <v>2719</v>
      </c>
    </row>
    <row r="1257" spans="1:33" ht="16.5" customHeight="1" x14ac:dyDescent="0.2">
      <c r="A1257" s="2" t="s">
        <v>31</v>
      </c>
      <c r="B1257" s="19" t="s">
        <v>50</v>
      </c>
      <c r="C1257" s="19"/>
      <c r="D1257" s="19"/>
      <c r="E1257" s="20" t="s">
        <v>33</v>
      </c>
      <c r="F1257" s="20"/>
      <c r="G1257" s="21" t="s">
        <v>2716</v>
      </c>
      <c r="H1257" s="21"/>
      <c r="I1257" s="21"/>
      <c r="J1257" s="3" t="s">
        <v>35</v>
      </c>
      <c r="K1257" s="4" t="s">
        <v>193</v>
      </c>
      <c r="L1257" s="4" t="s">
        <v>37</v>
      </c>
      <c r="N1257" s="21" t="s">
        <v>2756</v>
      </c>
      <c r="O1257" s="21"/>
      <c r="P1257" s="21" t="s">
        <v>2757</v>
      </c>
      <c r="Q1257" s="21"/>
      <c r="R1257" s="21"/>
      <c r="S1257" s="3" t="s">
        <v>40</v>
      </c>
      <c r="T1257" s="21" t="s">
        <v>41</v>
      </c>
      <c r="U1257" s="21"/>
      <c r="V1257" s="4" t="s">
        <v>42</v>
      </c>
      <c r="W1257" s="4" t="s">
        <v>94</v>
      </c>
      <c r="X1257" s="4" t="s">
        <v>95</v>
      </c>
      <c r="Y1257" s="21" t="s">
        <v>198</v>
      </c>
      <c r="Z1257" s="21"/>
      <c r="AA1257" s="4" t="s">
        <v>46</v>
      </c>
      <c r="AB1257" s="4" t="s">
        <v>47</v>
      </c>
      <c r="AC1257" s="4" t="s">
        <v>139</v>
      </c>
      <c r="AD1257" s="4" t="s">
        <v>140</v>
      </c>
      <c r="AE1257" s="4" t="s">
        <v>48</v>
      </c>
      <c r="AF1257" s="4" t="s">
        <v>41</v>
      </c>
      <c r="AG1257" s="4" t="s">
        <v>2719</v>
      </c>
    </row>
    <row r="1258" spans="1:33" ht="16.5" customHeight="1" x14ac:dyDescent="0.2">
      <c r="A1258" s="2" t="s">
        <v>31</v>
      </c>
      <c r="B1258" s="19" t="s">
        <v>50</v>
      </c>
      <c r="C1258" s="19"/>
      <c r="D1258" s="19"/>
      <c r="E1258" s="20" t="s">
        <v>33</v>
      </c>
      <c r="F1258" s="20"/>
      <c r="G1258" s="21" t="s">
        <v>2716</v>
      </c>
      <c r="H1258" s="21"/>
      <c r="I1258" s="21"/>
      <c r="J1258" s="3" t="s">
        <v>35</v>
      </c>
      <c r="K1258" s="4" t="s">
        <v>193</v>
      </c>
      <c r="L1258" s="4" t="s">
        <v>68</v>
      </c>
      <c r="N1258" s="21" t="s">
        <v>2758</v>
      </c>
      <c r="O1258" s="21"/>
      <c r="P1258" s="21" t="s">
        <v>2759</v>
      </c>
      <c r="Q1258" s="21"/>
      <c r="R1258" s="21"/>
      <c r="S1258" s="3" t="s">
        <v>40</v>
      </c>
      <c r="T1258" s="21" t="s">
        <v>41</v>
      </c>
      <c r="U1258" s="21"/>
      <c r="V1258" s="4" t="s">
        <v>42</v>
      </c>
      <c r="W1258" s="4" t="s">
        <v>94</v>
      </c>
      <c r="X1258" s="4" t="s">
        <v>95</v>
      </c>
      <c r="Y1258" s="21" t="s">
        <v>198</v>
      </c>
      <c r="Z1258" s="21"/>
      <c r="AA1258" s="4" t="s">
        <v>46</v>
      </c>
      <c r="AB1258" s="4" t="s">
        <v>47</v>
      </c>
      <c r="AC1258" s="4" t="s">
        <v>139</v>
      </c>
      <c r="AD1258" s="4" t="s">
        <v>151</v>
      </c>
      <c r="AE1258" s="4" t="s">
        <v>48</v>
      </c>
      <c r="AF1258" s="4" t="s">
        <v>41</v>
      </c>
      <c r="AG1258" s="4" t="s">
        <v>2719</v>
      </c>
    </row>
    <row r="1259" spans="1:33" ht="16.5" customHeight="1" x14ac:dyDescent="0.2">
      <c r="A1259" s="2" t="s">
        <v>31</v>
      </c>
      <c r="B1259" s="19" t="s">
        <v>50</v>
      </c>
      <c r="C1259" s="19"/>
      <c r="D1259" s="19"/>
      <c r="E1259" s="20" t="s">
        <v>33</v>
      </c>
      <c r="F1259" s="20"/>
      <c r="G1259" s="21" t="s">
        <v>2716</v>
      </c>
      <c r="H1259" s="21"/>
      <c r="I1259" s="21"/>
      <c r="J1259" s="3" t="s">
        <v>35</v>
      </c>
      <c r="K1259" s="4" t="s">
        <v>193</v>
      </c>
      <c r="L1259" s="4" t="s">
        <v>37</v>
      </c>
      <c r="N1259" s="21" t="s">
        <v>2760</v>
      </c>
      <c r="O1259" s="21"/>
      <c r="P1259" s="21" t="s">
        <v>2761</v>
      </c>
      <c r="Q1259" s="21"/>
      <c r="R1259" s="21"/>
      <c r="S1259" s="3" t="s">
        <v>40</v>
      </c>
      <c r="T1259" s="21" t="s">
        <v>41</v>
      </c>
      <c r="U1259" s="21"/>
      <c r="V1259" s="4" t="s">
        <v>42</v>
      </c>
      <c r="W1259" s="4" t="s">
        <v>104</v>
      </c>
      <c r="X1259" s="4" t="s">
        <v>105</v>
      </c>
      <c r="Y1259" s="21" t="s">
        <v>198</v>
      </c>
      <c r="Z1259" s="21"/>
      <c r="AA1259" s="4" t="s">
        <v>46</v>
      </c>
      <c r="AB1259" s="4" t="s">
        <v>47</v>
      </c>
      <c r="AC1259" s="4" t="s">
        <v>139</v>
      </c>
      <c r="AD1259" s="4" t="s">
        <v>140</v>
      </c>
      <c r="AE1259" s="4" t="s">
        <v>48</v>
      </c>
      <c r="AF1259" s="4" t="s">
        <v>41</v>
      </c>
      <c r="AG1259" s="4" t="s">
        <v>2719</v>
      </c>
    </row>
    <row r="1260" spans="1:33" ht="16.5" customHeight="1" x14ac:dyDescent="0.2">
      <c r="A1260" s="2" t="s">
        <v>31</v>
      </c>
      <c r="B1260" s="19" t="s">
        <v>50</v>
      </c>
      <c r="C1260" s="19"/>
      <c r="D1260" s="19"/>
      <c r="E1260" s="20" t="s">
        <v>33</v>
      </c>
      <c r="F1260" s="20"/>
      <c r="G1260" s="21" t="s">
        <v>2716</v>
      </c>
      <c r="H1260" s="21"/>
      <c r="I1260" s="21"/>
      <c r="J1260" s="3" t="s">
        <v>35</v>
      </c>
      <c r="K1260" s="4" t="s">
        <v>74</v>
      </c>
      <c r="L1260" s="4" t="s">
        <v>37</v>
      </c>
      <c r="N1260" s="21" t="s">
        <v>2762</v>
      </c>
      <c r="O1260" s="21"/>
      <c r="P1260" s="21" t="s">
        <v>2763</v>
      </c>
      <c r="Q1260" s="21"/>
      <c r="R1260" s="21"/>
      <c r="S1260" s="3" t="s">
        <v>40</v>
      </c>
      <c r="T1260" s="21" t="s">
        <v>41</v>
      </c>
      <c r="U1260" s="21"/>
      <c r="V1260" s="4" t="s">
        <v>42</v>
      </c>
      <c r="W1260" s="4" t="s">
        <v>104</v>
      </c>
      <c r="X1260" s="4" t="s">
        <v>105</v>
      </c>
      <c r="Y1260" s="21" t="s">
        <v>65</v>
      </c>
      <c r="Z1260" s="21"/>
      <c r="AA1260" s="4" t="s">
        <v>46</v>
      </c>
      <c r="AB1260" s="4" t="s">
        <v>47</v>
      </c>
      <c r="AC1260" s="4" t="s">
        <v>66</v>
      </c>
      <c r="AD1260" s="4" t="s">
        <v>73</v>
      </c>
      <c r="AE1260" s="4" t="s">
        <v>48</v>
      </c>
      <c r="AF1260" s="4" t="s">
        <v>41</v>
      </c>
      <c r="AG1260" s="4" t="s">
        <v>2719</v>
      </c>
    </row>
    <row r="1261" spans="1:33" ht="16.5" customHeight="1" x14ac:dyDescent="0.2">
      <c r="A1261" s="2" t="s">
        <v>31</v>
      </c>
      <c r="B1261" s="19" t="s">
        <v>50</v>
      </c>
      <c r="C1261" s="19"/>
      <c r="D1261" s="19"/>
      <c r="E1261" s="20" t="s">
        <v>33</v>
      </c>
      <c r="F1261" s="20"/>
      <c r="G1261" s="21" t="s">
        <v>2716</v>
      </c>
      <c r="H1261" s="21"/>
      <c r="I1261" s="21"/>
      <c r="J1261" s="3" t="s">
        <v>35</v>
      </c>
      <c r="K1261" s="4" t="s">
        <v>193</v>
      </c>
      <c r="L1261" s="4" t="s">
        <v>68</v>
      </c>
      <c r="N1261" s="21" t="s">
        <v>2764</v>
      </c>
      <c r="O1261" s="21"/>
      <c r="P1261" s="21" t="s">
        <v>2765</v>
      </c>
      <c r="Q1261" s="21"/>
      <c r="R1261" s="21"/>
      <c r="S1261" s="3" t="s">
        <v>40</v>
      </c>
      <c r="T1261" s="21" t="s">
        <v>41</v>
      </c>
      <c r="U1261" s="21"/>
      <c r="V1261" s="4" t="s">
        <v>42</v>
      </c>
      <c r="W1261" s="4" t="s">
        <v>104</v>
      </c>
      <c r="X1261" s="4" t="s">
        <v>105</v>
      </c>
      <c r="Y1261" s="21" t="s">
        <v>198</v>
      </c>
      <c r="Z1261" s="21"/>
      <c r="AA1261" s="4" t="s">
        <v>46</v>
      </c>
      <c r="AB1261" s="4" t="s">
        <v>47</v>
      </c>
      <c r="AC1261" s="4" t="s">
        <v>139</v>
      </c>
      <c r="AD1261" s="4" t="s">
        <v>151</v>
      </c>
      <c r="AE1261" s="4" t="s">
        <v>48</v>
      </c>
      <c r="AF1261" s="4" t="s">
        <v>41</v>
      </c>
      <c r="AG1261" s="4" t="s">
        <v>2719</v>
      </c>
    </row>
    <row r="1262" spans="1:33" ht="16.5" customHeight="1" x14ac:dyDescent="0.2">
      <c r="A1262" s="2" t="s">
        <v>31</v>
      </c>
      <c r="B1262" s="19" t="s">
        <v>50</v>
      </c>
      <c r="C1262" s="19"/>
      <c r="D1262" s="19"/>
      <c r="E1262" s="20" t="s">
        <v>33</v>
      </c>
      <c r="F1262" s="20"/>
      <c r="G1262" s="21" t="s">
        <v>2716</v>
      </c>
      <c r="H1262" s="21"/>
      <c r="I1262" s="21"/>
      <c r="J1262" s="3" t="s">
        <v>35</v>
      </c>
      <c r="K1262" s="4" t="s">
        <v>204</v>
      </c>
      <c r="L1262" s="4" t="s">
        <v>68</v>
      </c>
      <c r="N1262" s="21" t="s">
        <v>2766</v>
      </c>
      <c r="O1262" s="21"/>
      <c r="P1262" s="21" t="s">
        <v>2767</v>
      </c>
      <c r="Q1262" s="21"/>
      <c r="R1262" s="21"/>
      <c r="S1262" s="3" t="s">
        <v>40</v>
      </c>
      <c r="T1262" s="21" t="s">
        <v>41</v>
      </c>
      <c r="U1262" s="21"/>
      <c r="V1262" s="4" t="s">
        <v>42</v>
      </c>
      <c r="W1262" s="4" t="s">
        <v>104</v>
      </c>
      <c r="X1262" s="4" t="s">
        <v>105</v>
      </c>
      <c r="Y1262" s="21" t="s">
        <v>198</v>
      </c>
      <c r="Z1262" s="21"/>
      <c r="AA1262" s="4" t="s">
        <v>46</v>
      </c>
      <c r="AB1262" s="4" t="s">
        <v>47</v>
      </c>
      <c r="AC1262" s="4" t="s">
        <v>139</v>
      </c>
      <c r="AD1262" s="4" t="s">
        <v>151</v>
      </c>
      <c r="AE1262" s="4" t="s">
        <v>48</v>
      </c>
      <c r="AF1262" s="4" t="s">
        <v>41</v>
      </c>
      <c r="AG1262" s="4" t="s">
        <v>2719</v>
      </c>
    </row>
    <row r="1263" spans="1:33" ht="16.5" customHeight="1" x14ac:dyDescent="0.2">
      <c r="A1263" s="2" t="s">
        <v>31</v>
      </c>
      <c r="B1263" s="19" t="s">
        <v>50</v>
      </c>
      <c r="C1263" s="19"/>
      <c r="D1263" s="19"/>
      <c r="E1263" s="20" t="s">
        <v>33</v>
      </c>
      <c r="F1263" s="20"/>
      <c r="G1263" s="21" t="s">
        <v>2716</v>
      </c>
      <c r="H1263" s="21"/>
      <c r="I1263" s="21"/>
      <c r="J1263" s="3" t="s">
        <v>35</v>
      </c>
      <c r="K1263" s="4" t="s">
        <v>193</v>
      </c>
      <c r="L1263" s="4" t="s">
        <v>68</v>
      </c>
      <c r="N1263" s="21" t="s">
        <v>2768</v>
      </c>
      <c r="O1263" s="21"/>
      <c r="P1263" s="21" t="s">
        <v>2769</v>
      </c>
      <c r="Q1263" s="21"/>
      <c r="R1263" s="21"/>
      <c r="S1263" s="3" t="s">
        <v>40</v>
      </c>
      <c r="T1263" s="21" t="s">
        <v>41</v>
      </c>
      <c r="U1263" s="21"/>
      <c r="V1263" s="4" t="s">
        <v>42</v>
      </c>
      <c r="W1263" s="4" t="s">
        <v>104</v>
      </c>
      <c r="X1263" s="4" t="s">
        <v>105</v>
      </c>
      <c r="Y1263" s="21" t="s">
        <v>198</v>
      </c>
      <c r="Z1263" s="21"/>
      <c r="AA1263" s="4" t="s">
        <v>46</v>
      </c>
      <c r="AB1263" s="4" t="s">
        <v>47</v>
      </c>
      <c r="AC1263" s="4" t="s">
        <v>139</v>
      </c>
      <c r="AD1263" s="4" t="s">
        <v>151</v>
      </c>
      <c r="AE1263" s="4" t="s">
        <v>48</v>
      </c>
      <c r="AF1263" s="4" t="s">
        <v>41</v>
      </c>
      <c r="AG1263" s="4" t="s">
        <v>2719</v>
      </c>
    </row>
    <row r="1264" spans="1:33" ht="16.5" customHeight="1" x14ac:dyDescent="0.2">
      <c r="A1264" s="2" t="s">
        <v>31</v>
      </c>
      <c r="B1264" s="19" t="s">
        <v>50</v>
      </c>
      <c r="C1264" s="19"/>
      <c r="D1264" s="19"/>
      <c r="E1264" s="20" t="s">
        <v>33</v>
      </c>
      <c r="F1264" s="20"/>
      <c r="G1264" s="21" t="s">
        <v>2716</v>
      </c>
      <c r="H1264" s="21"/>
      <c r="I1264" s="21"/>
      <c r="J1264" s="3" t="s">
        <v>35</v>
      </c>
      <c r="K1264" s="4" t="s">
        <v>193</v>
      </c>
      <c r="L1264" s="4" t="s">
        <v>68</v>
      </c>
      <c r="N1264" s="21" t="s">
        <v>2770</v>
      </c>
      <c r="O1264" s="21"/>
      <c r="P1264" s="21" t="s">
        <v>2771</v>
      </c>
      <c r="Q1264" s="21"/>
      <c r="R1264" s="21"/>
      <c r="S1264" s="3" t="s">
        <v>40</v>
      </c>
      <c r="T1264" s="21" t="s">
        <v>41</v>
      </c>
      <c r="U1264" s="21"/>
      <c r="V1264" s="4" t="s">
        <v>42</v>
      </c>
      <c r="W1264" s="4" t="s">
        <v>54</v>
      </c>
      <c r="X1264" s="4" t="s">
        <v>55</v>
      </c>
      <c r="Y1264" s="21" t="s">
        <v>198</v>
      </c>
      <c r="Z1264" s="21"/>
      <c r="AA1264" s="4" t="s">
        <v>46</v>
      </c>
      <c r="AB1264" s="4" t="s">
        <v>47</v>
      </c>
      <c r="AC1264" s="4" t="s">
        <v>139</v>
      </c>
      <c r="AD1264" s="4" t="s">
        <v>151</v>
      </c>
      <c r="AE1264" s="4" t="s">
        <v>48</v>
      </c>
      <c r="AF1264" s="4" t="s">
        <v>41</v>
      </c>
      <c r="AG1264" s="4" t="s">
        <v>2719</v>
      </c>
    </row>
    <row r="1265" spans="1:33" ht="16.5" customHeight="1" x14ac:dyDescent="0.2">
      <c r="A1265" s="2" t="s">
        <v>31</v>
      </c>
      <c r="B1265" s="19" t="s">
        <v>50</v>
      </c>
      <c r="C1265" s="19"/>
      <c r="D1265" s="19"/>
      <c r="E1265" s="20" t="s">
        <v>33</v>
      </c>
      <c r="F1265" s="20"/>
      <c r="G1265" s="21" t="s">
        <v>2716</v>
      </c>
      <c r="H1265" s="21"/>
      <c r="I1265" s="21"/>
      <c r="J1265" s="3" t="s">
        <v>35</v>
      </c>
      <c r="K1265" s="4" t="s">
        <v>193</v>
      </c>
      <c r="L1265" s="4" t="s">
        <v>68</v>
      </c>
      <c r="N1265" s="21" t="s">
        <v>2772</v>
      </c>
      <c r="O1265" s="21"/>
      <c r="P1265" s="21" t="s">
        <v>2773</v>
      </c>
      <c r="Q1265" s="21"/>
      <c r="R1265" s="21"/>
      <c r="S1265" s="3" t="s">
        <v>40</v>
      </c>
      <c r="T1265" s="21" t="s">
        <v>41</v>
      </c>
      <c r="U1265" s="21"/>
      <c r="V1265" s="4" t="s">
        <v>42</v>
      </c>
      <c r="W1265" s="4" t="s">
        <v>54</v>
      </c>
      <c r="X1265" s="4" t="s">
        <v>55</v>
      </c>
      <c r="Y1265" s="21" t="s">
        <v>198</v>
      </c>
      <c r="Z1265" s="21"/>
      <c r="AA1265" s="4" t="s">
        <v>46</v>
      </c>
      <c r="AB1265" s="4" t="s">
        <v>47</v>
      </c>
      <c r="AC1265" s="4" t="s">
        <v>139</v>
      </c>
      <c r="AD1265" s="4" t="s">
        <v>151</v>
      </c>
      <c r="AE1265" s="4" t="s">
        <v>48</v>
      </c>
      <c r="AF1265" s="4" t="s">
        <v>41</v>
      </c>
      <c r="AG1265" s="4" t="s">
        <v>2719</v>
      </c>
    </row>
    <row r="1266" spans="1:33" ht="16.5" customHeight="1" x14ac:dyDescent="0.2">
      <c r="A1266" s="2" t="s">
        <v>31</v>
      </c>
      <c r="B1266" s="19" t="s">
        <v>50</v>
      </c>
      <c r="C1266" s="19"/>
      <c r="D1266" s="19"/>
      <c r="E1266" s="20" t="s">
        <v>33</v>
      </c>
      <c r="F1266" s="20"/>
      <c r="G1266" s="21" t="s">
        <v>2716</v>
      </c>
      <c r="H1266" s="21"/>
      <c r="I1266" s="21"/>
      <c r="J1266" s="3" t="s">
        <v>35</v>
      </c>
      <c r="K1266" s="4" t="s">
        <v>204</v>
      </c>
      <c r="L1266" s="4" t="s">
        <v>68</v>
      </c>
      <c r="N1266" s="21" t="s">
        <v>2774</v>
      </c>
      <c r="O1266" s="21"/>
      <c r="P1266" s="21" t="s">
        <v>2775</v>
      </c>
      <c r="Q1266" s="21"/>
      <c r="R1266" s="21"/>
      <c r="S1266" s="3" t="s">
        <v>40</v>
      </c>
      <c r="T1266" s="21" t="s">
        <v>41</v>
      </c>
      <c r="U1266" s="21"/>
      <c r="V1266" s="4" t="s">
        <v>42</v>
      </c>
      <c r="W1266" s="4" t="s">
        <v>54</v>
      </c>
      <c r="X1266" s="4" t="s">
        <v>55</v>
      </c>
      <c r="Y1266" s="21" t="s">
        <v>198</v>
      </c>
      <c r="Z1266" s="21"/>
      <c r="AA1266" s="4" t="s">
        <v>46</v>
      </c>
      <c r="AB1266" s="4" t="s">
        <v>47</v>
      </c>
      <c r="AC1266" s="4" t="s">
        <v>139</v>
      </c>
      <c r="AD1266" s="4" t="s">
        <v>151</v>
      </c>
      <c r="AE1266" s="4" t="s">
        <v>48</v>
      </c>
      <c r="AF1266" s="4" t="s">
        <v>41</v>
      </c>
      <c r="AG1266" s="4" t="s">
        <v>2719</v>
      </c>
    </row>
    <row r="1267" spans="1:33" ht="16.5" customHeight="1" x14ac:dyDescent="0.2">
      <c r="A1267" s="2" t="s">
        <v>31</v>
      </c>
      <c r="B1267" s="19" t="s">
        <v>50</v>
      </c>
      <c r="C1267" s="19"/>
      <c r="D1267" s="19"/>
      <c r="E1267" s="20" t="s">
        <v>33</v>
      </c>
      <c r="F1267" s="20"/>
      <c r="G1267" s="21" t="s">
        <v>2716</v>
      </c>
      <c r="H1267" s="21"/>
      <c r="I1267" s="21"/>
      <c r="J1267" s="3" t="s">
        <v>35</v>
      </c>
      <c r="K1267" s="4" t="s">
        <v>193</v>
      </c>
      <c r="L1267" s="4" t="s">
        <v>37</v>
      </c>
      <c r="N1267" s="21" t="s">
        <v>2776</v>
      </c>
      <c r="O1267" s="21"/>
      <c r="P1267" s="21" t="s">
        <v>2777</v>
      </c>
      <c r="Q1267" s="21"/>
      <c r="R1267" s="21"/>
      <c r="S1267" s="3" t="s">
        <v>40</v>
      </c>
      <c r="T1267" s="21" t="s">
        <v>41</v>
      </c>
      <c r="U1267" s="21"/>
      <c r="V1267" s="4" t="s">
        <v>42</v>
      </c>
      <c r="W1267" s="4" t="s">
        <v>54</v>
      </c>
      <c r="X1267" s="4" t="s">
        <v>55</v>
      </c>
      <c r="Y1267" s="21" t="s">
        <v>198</v>
      </c>
      <c r="Z1267" s="21"/>
      <c r="AA1267" s="4" t="s">
        <v>46</v>
      </c>
      <c r="AB1267" s="4" t="s">
        <v>47</v>
      </c>
      <c r="AC1267" s="4" t="s">
        <v>139</v>
      </c>
      <c r="AD1267" s="4" t="s">
        <v>140</v>
      </c>
      <c r="AE1267" s="4" t="s">
        <v>48</v>
      </c>
      <c r="AF1267" s="4" t="s">
        <v>41</v>
      </c>
      <c r="AG1267" s="4" t="s">
        <v>2719</v>
      </c>
    </row>
    <row r="1268" spans="1:33" ht="16.5" customHeight="1" x14ac:dyDescent="0.2">
      <c r="A1268" s="2" t="s">
        <v>31</v>
      </c>
      <c r="B1268" s="19" t="s">
        <v>50</v>
      </c>
      <c r="C1268" s="19"/>
      <c r="D1268" s="19"/>
      <c r="E1268" s="20" t="s">
        <v>33</v>
      </c>
      <c r="F1268" s="20"/>
      <c r="G1268" s="21" t="s">
        <v>2716</v>
      </c>
      <c r="H1268" s="21"/>
      <c r="I1268" s="21"/>
      <c r="J1268" s="3" t="s">
        <v>35</v>
      </c>
      <c r="K1268" s="4" t="s">
        <v>193</v>
      </c>
      <c r="L1268" s="4" t="s">
        <v>37</v>
      </c>
      <c r="N1268" s="21" t="s">
        <v>2778</v>
      </c>
      <c r="O1268" s="21"/>
      <c r="P1268" s="21" t="s">
        <v>2779</v>
      </c>
      <c r="Q1268" s="21"/>
      <c r="R1268" s="21"/>
      <c r="S1268" s="3" t="s">
        <v>40</v>
      </c>
      <c r="T1268" s="21" t="s">
        <v>41</v>
      </c>
      <c r="U1268" s="21"/>
      <c r="V1268" s="4" t="s">
        <v>42</v>
      </c>
      <c r="W1268" s="4" t="s">
        <v>381</v>
      </c>
      <c r="X1268" s="4" t="s">
        <v>382</v>
      </c>
      <c r="Y1268" s="21" t="s">
        <v>198</v>
      </c>
      <c r="Z1268" s="21"/>
      <c r="AA1268" s="4" t="s">
        <v>46</v>
      </c>
      <c r="AB1268" s="4" t="s">
        <v>47</v>
      </c>
      <c r="AC1268" s="4" t="s">
        <v>139</v>
      </c>
      <c r="AD1268" s="4" t="s">
        <v>140</v>
      </c>
      <c r="AE1268" s="4" t="s">
        <v>48</v>
      </c>
      <c r="AF1268" s="4" t="s">
        <v>41</v>
      </c>
      <c r="AG1268" s="4" t="s">
        <v>2719</v>
      </c>
    </row>
    <row r="1269" spans="1:33" ht="16.5" customHeight="1" x14ac:dyDescent="0.2">
      <c r="A1269" s="2" t="s">
        <v>31</v>
      </c>
      <c r="B1269" s="19" t="s">
        <v>50</v>
      </c>
      <c r="C1269" s="19"/>
      <c r="D1269" s="19"/>
      <c r="E1269" s="20" t="s">
        <v>33</v>
      </c>
      <c r="F1269" s="20"/>
      <c r="G1269" s="21" t="s">
        <v>2716</v>
      </c>
      <c r="H1269" s="21"/>
      <c r="I1269" s="21"/>
      <c r="J1269" s="3" t="s">
        <v>35</v>
      </c>
      <c r="K1269" s="4" t="s">
        <v>193</v>
      </c>
      <c r="L1269" s="4" t="s">
        <v>37</v>
      </c>
      <c r="N1269" s="21" t="s">
        <v>2780</v>
      </c>
      <c r="O1269" s="21"/>
      <c r="P1269" s="21" t="s">
        <v>2781</v>
      </c>
      <c r="Q1269" s="21"/>
      <c r="R1269" s="21"/>
      <c r="S1269" s="3" t="s">
        <v>40</v>
      </c>
      <c r="T1269" s="21" t="s">
        <v>41</v>
      </c>
      <c r="U1269" s="21"/>
      <c r="V1269" s="4" t="s">
        <v>42</v>
      </c>
      <c r="W1269" s="4" t="s">
        <v>381</v>
      </c>
      <c r="X1269" s="4" t="s">
        <v>382</v>
      </c>
      <c r="Y1269" s="21" t="s">
        <v>198</v>
      </c>
      <c r="Z1269" s="21"/>
      <c r="AA1269" s="4" t="s">
        <v>46</v>
      </c>
      <c r="AB1269" s="4" t="s">
        <v>47</v>
      </c>
      <c r="AC1269" s="4" t="s">
        <v>139</v>
      </c>
      <c r="AD1269" s="4" t="s">
        <v>140</v>
      </c>
      <c r="AE1269" s="4" t="s">
        <v>48</v>
      </c>
      <c r="AF1269" s="4" t="s">
        <v>41</v>
      </c>
      <c r="AG1269" s="4" t="s">
        <v>2719</v>
      </c>
    </row>
    <row r="1270" spans="1:33" ht="16.5" customHeight="1" x14ac:dyDescent="0.2">
      <c r="A1270" s="2" t="s">
        <v>31</v>
      </c>
      <c r="B1270" s="19" t="s">
        <v>50</v>
      </c>
      <c r="C1270" s="19"/>
      <c r="D1270" s="19"/>
      <c r="E1270" s="20" t="s">
        <v>33</v>
      </c>
      <c r="F1270" s="20"/>
      <c r="G1270" s="21" t="s">
        <v>2716</v>
      </c>
      <c r="H1270" s="21"/>
      <c r="I1270" s="21"/>
      <c r="J1270" s="3" t="s">
        <v>35</v>
      </c>
      <c r="K1270" s="4" t="s">
        <v>193</v>
      </c>
      <c r="L1270" s="4" t="s">
        <v>37</v>
      </c>
      <c r="N1270" s="21" t="s">
        <v>2782</v>
      </c>
      <c r="O1270" s="21"/>
      <c r="P1270" s="21" t="s">
        <v>2783</v>
      </c>
      <c r="Q1270" s="21"/>
      <c r="R1270" s="21"/>
      <c r="S1270" s="3" t="s">
        <v>40</v>
      </c>
      <c r="T1270" s="21" t="s">
        <v>41</v>
      </c>
      <c r="U1270" s="21"/>
      <c r="V1270" s="4" t="s">
        <v>42</v>
      </c>
      <c r="W1270" s="4" t="s">
        <v>54</v>
      </c>
      <c r="X1270" s="4" t="s">
        <v>55</v>
      </c>
      <c r="Y1270" s="21" t="s">
        <v>198</v>
      </c>
      <c r="Z1270" s="21"/>
      <c r="AA1270" s="4" t="s">
        <v>46</v>
      </c>
      <c r="AB1270" s="4" t="s">
        <v>47</v>
      </c>
      <c r="AC1270" s="4" t="s">
        <v>139</v>
      </c>
      <c r="AD1270" s="4" t="s">
        <v>140</v>
      </c>
      <c r="AE1270" s="4" t="s">
        <v>48</v>
      </c>
      <c r="AF1270" s="4" t="s">
        <v>41</v>
      </c>
      <c r="AG1270" s="4" t="s">
        <v>2719</v>
      </c>
    </row>
    <row r="1271" spans="1:33" ht="16.5" customHeight="1" x14ac:dyDescent="0.2">
      <c r="A1271" s="2" t="s">
        <v>31</v>
      </c>
      <c r="B1271" s="19" t="s">
        <v>50</v>
      </c>
      <c r="C1271" s="19"/>
      <c r="D1271" s="19"/>
      <c r="E1271" s="20" t="s">
        <v>33</v>
      </c>
      <c r="F1271" s="20"/>
      <c r="G1271" s="21" t="s">
        <v>2716</v>
      </c>
      <c r="H1271" s="21"/>
      <c r="I1271" s="21"/>
      <c r="J1271" s="3" t="s">
        <v>35</v>
      </c>
      <c r="K1271" s="4" t="s">
        <v>204</v>
      </c>
      <c r="L1271" s="4" t="s">
        <v>37</v>
      </c>
      <c r="N1271" s="21" t="s">
        <v>2784</v>
      </c>
      <c r="O1271" s="21"/>
      <c r="P1271" s="21" t="s">
        <v>2785</v>
      </c>
      <c r="Q1271" s="21"/>
      <c r="R1271" s="21"/>
      <c r="S1271" s="3" t="s">
        <v>40</v>
      </c>
      <c r="T1271" s="21" t="s">
        <v>41</v>
      </c>
      <c r="U1271" s="21"/>
      <c r="V1271" s="4" t="s">
        <v>42</v>
      </c>
      <c r="W1271" s="4" t="s">
        <v>54</v>
      </c>
      <c r="X1271" s="4" t="s">
        <v>55</v>
      </c>
      <c r="Y1271" s="21" t="s">
        <v>198</v>
      </c>
      <c r="Z1271" s="21"/>
      <c r="AA1271" s="4" t="s">
        <v>46</v>
      </c>
      <c r="AB1271" s="4" t="s">
        <v>47</v>
      </c>
      <c r="AC1271" s="4" t="s">
        <v>139</v>
      </c>
      <c r="AD1271" s="4" t="s">
        <v>140</v>
      </c>
      <c r="AE1271" s="4" t="s">
        <v>48</v>
      </c>
      <c r="AF1271" s="4" t="s">
        <v>41</v>
      </c>
      <c r="AG1271" s="4" t="s">
        <v>2719</v>
      </c>
    </row>
    <row r="1272" spans="1:33" ht="16.5" customHeight="1" x14ac:dyDescent="0.2">
      <c r="A1272" s="2" t="s">
        <v>31</v>
      </c>
      <c r="B1272" s="19" t="s">
        <v>50</v>
      </c>
      <c r="C1272" s="19"/>
      <c r="D1272" s="19"/>
      <c r="E1272" s="20" t="s">
        <v>33</v>
      </c>
      <c r="F1272" s="20"/>
      <c r="G1272" s="21" t="s">
        <v>2716</v>
      </c>
      <c r="H1272" s="21"/>
      <c r="I1272" s="21"/>
      <c r="J1272" s="3" t="s">
        <v>35</v>
      </c>
      <c r="K1272" s="4" t="s">
        <v>184</v>
      </c>
      <c r="L1272" s="4" t="s">
        <v>37</v>
      </c>
      <c r="N1272" s="21" t="s">
        <v>2786</v>
      </c>
      <c r="O1272" s="21"/>
      <c r="P1272" s="21" t="s">
        <v>2787</v>
      </c>
      <c r="Q1272" s="21"/>
      <c r="R1272" s="21"/>
      <c r="S1272" s="3" t="s">
        <v>40</v>
      </c>
      <c r="T1272" s="21" t="s">
        <v>41</v>
      </c>
      <c r="U1272" s="21"/>
      <c r="V1272" s="4" t="s">
        <v>42</v>
      </c>
      <c r="W1272" s="4" t="s">
        <v>54</v>
      </c>
      <c r="X1272" s="4" t="s">
        <v>55</v>
      </c>
      <c r="Y1272" s="21" t="s">
        <v>65</v>
      </c>
      <c r="Z1272" s="21"/>
      <c r="AA1272" s="4" t="s">
        <v>46</v>
      </c>
      <c r="AB1272" s="4" t="s">
        <v>47</v>
      </c>
      <c r="AC1272" s="4" t="s">
        <v>66</v>
      </c>
      <c r="AD1272" s="4" t="s">
        <v>73</v>
      </c>
      <c r="AE1272" s="4" t="s">
        <v>48</v>
      </c>
      <c r="AF1272" s="4" t="s">
        <v>41</v>
      </c>
      <c r="AG1272" s="4" t="s">
        <v>2719</v>
      </c>
    </row>
    <row r="1273" spans="1:33" ht="16.5" customHeight="1" x14ac:dyDescent="0.2">
      <c r="A1273" s="2" t="s">
        <v>31</v>
      </c>
      <c r="B1273" s="19" t="s">
        <v>50</v>
      </c>
      <c r="C1273" s="19"/>
      <c r="D1273" s="19"/>
      <c r="E1273" s="20" t="s">
        <v>33</v>
      </c>
      <c r="F1273" s="20"/>
      <c r="G1273" s="21" t="s">
        <v>2716</v>
      </c>
      <c r="H1273" s="21"/>
      <c r="I1273" s="21"/>
      <c r="J1273" s="3" t="s">
        <v>35</v>
      </c>
      <c r="K1273" s="4" t="s">
        <v>204</v>
      </c>
      <c r="L1273" s="4" t="s">
        <v>68</v>
      </c>
      <c r="N1273" s="21" t="s">
        <v>2788</v>
      </c>
      <c r="O1273" s="21"/>
      <c r="P1273" s="21" t="s">
        <v>2789</v>
      </c>
      <c r="Q1273" s="21"/>
      <c r="R1273" s="21"/>
      <c r="S1273" s="3" t="s">
        <v>40</v>
      </c>
      <c r="T1273" s="21" t="s">
        <v>41</v>
      </c>
      <c r="U1273" s="21"/>
      <c r="V1273" s="4" t="s">
        <v>42</v>
      </c>
      <c r="W1273" s="4" t="s">
        <v>54</v>
      </c>
      <c r="X1273" s="4" t="s">
        <v>55</v>
      </c>
      <c r="Y1273" s="21" t="s">
        <v>198</v>
      </c>
      <c r="Z1273" s="21"/>
      <c r="AA1273" s="4" t="s">
        <v>46</v>
      </c>
      <c r="AB1273" s="4" t="s">
        <v>47</v>
      </c>
      <c r="AC1273" s="4" t="s">
        <v>139</v>
      </c>
      <c r="AD1273" s="4" t="s">
        <v>151</v>
      </c>
      <c r="AE1273" s="4" t="s">
        <v>48</v>
      </c>
      <c r="AF1273" s="4" t="s">
        <v>41</v>
      </c>
      <c r="AG1273" s="4" t="s">
        <v>2719</v>
      </c>
    </row>
    <row r="1274" spans="1:33" ht="16.5" customHeight="1" x14ac:dyDescent="0.2">
      <c r="A1274" s="2" t="s">
        <v>31</v>
      </c>
      <c r="B1274" s="19" t="s">
        <v>50</v>
      </c>
      <c r="C1274" s="19"/>
      <c r="D1274" s="19"/>
      <c r="E1274" s="20" t="s">
        <v>33</v>
      </c>
      <c r="F1274" s="20"/>
      <c r="G1274" s="21" t="s">
        <v>2716</v>
      </c>
      <c r="H1274" s="21"/>
      <c r="I1274" s="21"/>
      <c r="J1274" s="3" t="s">
        <v>35</v>
      </c>
      <c r="K1274" s="4" t="s">
        <v>193</v>
      </c>
      <c r="L1274" s="4" t="s">
        <v>37</v>
      </c>
      <c r="N1274" s="21" t="s">
        <v>2790</v>
      </c>
      <c r="O1274" s="21"/>
      <c r="P1274" s="21" t="s">
        <v>2791</v>
      </c>
      <c r="Q1274" s="21"/>
      <c r="R1274" s="21"/>
      <c r="S1274" s="3" t="s">
        <v>40</v>
      </c>
      <c r="T1274" s="21" t="s">
        <v>41</v>
      </c>
      <c r="U1274" s="21"/>
      <c r="V1274" s="4" t="s">
        <v>59</v>
      </c>
      <c r="W1274" s="4" t="s">
        <v>54</v>
      </c>
      <c r="X1274" s="4" t="s">
        <v>60</v>
      </c>
      <c r="Y1274" s="21" t="s">
        <v>198</v>
      </c>
      <c r="Z1274" s="21"/>
      <c r="AA1274" s="4" t="s">
        <v>46</v>
      </c>
      <c r="AB1274" s="4" t="s">
        <v>47</v>
      </c>
      <c r="AC1274" s="4" t="s">
        <v>139</v>
      </c>
      <c r="AD1274" s="4" t="s">
        <v>140</v>
      </c>
      <c r="AE1274" s="4" t="s">
        <v>48</v>
      </c>
      <c r="AF1274" s="4" t="s">
        <v>41</v>
      </c>
      <c r="AG1274" s="4" t="s">
        <v>2719</v>
      </c>
    </row>
    <row r="1275" spans="1:33" ht="16.5" customHeight="1" x14ac:dyDescent="0.2">
      <c r="A1275" s="2" t="s">
        <v>31</v>
      </c>
      <c r="B1275" s="19" t="s">
        <v>50</v>
      </c>
      <c r="C1275" s="19"/>
      <c r="D1275" s="19"/>
      <c r="E1275" s="20" t="s">
        <v>33</v>
      </c>
      <c r="F1275" s="20"/>
      <c r="G1275" s="21" t="s">
        <v>2716</v>
      </c>
      <c r="H1275" s="21"/>
      <c r="I1275" s="21"/>
      <c r="J1275" s="3" t="s">
        <v>35</v>
      </c>
      <c r="K1275" s="4" t="s">
        <v>204</v>
      </c>
      <c r="L1275" s="4" t="s">
        <v>37</v>
      </c>
      <c r="N1275" s="21" t="s">
        <v>2792</v>
      </c>
      <c r="O1275" s="21"/>
      <c r="P1275" s="21" t="s">
        <v>2793</v>
      </c>
      <c r="Q1275" s="21"/>
      <c r="R1275" s="21"/>
      <c r="S1275" s="3" t="s">
        <v>40</v>
      </c>
      <c r="T1275" s="21" t="s">
        <v>41</v>
      </c>
      <c r="U1275" s="21"/>
      <c r="V1275" s="4" t="s">
        <v>42</v>
      </c>
      <c r="W1275" s="4" t="s">
        <v>54</v>
      </c>
      <c r="X1275" s="4" t="s">
        <v>55</v>
      </c>
      <c r="Y1275" s="21" t="s">
        <v>198</v>
      </c>
      <c r="Z1275" s="21"/>
      <c r="AA1275" s="4" t="s">
        <v>46</v>
      </c>
      <c r="AB1275" s="4" t="s">
        <v>47</v>
      </c>
      <c r="AC1275" s="4" t="s">
        <v>139</v>
      </c>
      <c r="AD1275" s="4" t="s">
        <v>140</v>
      </c>
      <c r="AE1275" s="4" t="s">
        <v>48</v>
      </c>
      <c r="AF1275" s="4" t="s">
        <v>41</v>
      </c>
      <c r="AG1275" s="4" t="s">
        <v>2719</v>
      </c>
    </row>
    <row r="1276" spans="1:33" ht="16.5" customHeight="1" x14ac:dyDescent="0.2">
      <c r="A1276" s="2" t="s">
        <v>31</v>
      </c>
      <c r="B1276" s="19" t="s">
        <v>50</v>
      </c>
      <c r="C1276" s="19"/>
      <c r="D1276" s="19"/>
      <c r="E1276" s="20" t="s">
        <v>33</v>
      </c>
      <c r="F1276" s="20"/>
      <c r="G1276" s="21" t="s">
        <v>2716</v>
      </c>
      <c r="H1276" s="21"/>
      <c r="I1276" s="21"/>
      <c r="J1276" s="3" t="s">
        <v>35</v>
      </c>
      <c r="K1276" s="4" t="s">
        <v>204</v>
      </c>
      <c r="L1276" s="4" t="s">
        <v>37</v>
      </c>
      <c r="N1276" s="21" t="s">
        <v>2794</v>
      </c>
      <c r="O1276" s="21"/>
      <c r="P1276" s="21" t="s">
        <v>2795</v>
      </c>
      <c r="Q1276" s="21"/>
      <c r="R1276" s="21"/>
      <c r="S1276" s="3" t="s">
        <v>40</v>
      </c>
      <c r="T1276" s="21" t="s">
        <v>41</v>
      </c>
      <c r="U1276" s="21"/>
      <c r="V1276" s="4" t="s">
        <v>42</v>
      </c>
      <c r="W1276" s="4" t="s">
        <v>54</v>
      </c>
      <c r="X1276" s="4" t="s">
        <v>55</v>
      </c>
      <c r="Y1276" s="21" t="s">
        <v>198</v>
      </c>
      <c r="Z1276" s="21"/>
      <c r="AA1276" s="4" t="s">
        <v>46</v>
      </c>
      <c r="AB1276" s="4" t="s">
        <v>47</v>
      </c>
      <c r="AC1276" s="4" t="s">
        <v>139</v>
      </c>
      <c r="AD1276" s="4" t="s">
        <v>140</v>
      </c>
      <c r="AE1276" s="4" t="s">
        <v>48</v>
      </c>
      <c r="AF1276" s="4" t="s">
        <v>41</v>
      </c>
      <c r="AG1276" s="4" t="s">
        <v>2719</v>
      </c>
    </row>
    <row r="1277" spans="1:33" ht="16.5" customHeight="1" x14ac:dyDescent="0.2">
      <c r="A1277" s="2" t="s">
        <v>31</v>
      </c>
      <c r="B1277" s="19" t="s">
        <v>50</v>
      </c>
      <c r="C1277" s="19"/>
      <c r="D1277" s="19"/>
      <c r="E1277" s="20" t="s">
        <v>33</v>
      </c>
      <c r="F1277" s="20"/>
      <c r="G1277" s="21" t="s">
        <v>2716</v>
      </c>
      <c r="H1277" s="21"/>
      <c r="I1277" s="21"/>
      <c r="J1277" s="3" t="s">
        <v>35</v>
      </c>
      <c r="K1277" s="4" t="s">
        <v>204</v>
      </c>
      <c r="L1277" s="4" t="s">
        <v>37</v>
      </c>
      <c r="N1277" s="21" t="s">
        <v>2796</v>
      </c>
      <c r="O1277" s="21"/>
      <c r="P1277" s="21" t="s">
        <v>2797</v>
      </c>
      <c r="Q1277" s="21"/>
      <c r="R1277" s="21"/>
      <c r="S1277" s="3" t="s">
        <v>40</v>
      </c>
      <c r="T1277" s="21" t="s">
        <v>41</v>
      </c>
      <c r="U1277" s="21"/>
      <c r="V1277" s="4" t="s">
        <v>42</v>
      </c>
      <c r="W1277" s="4" t="s">
        <v>54</v>
      </c>
      <c r="X1277" s="4" t="s">
        <v>55</v>
      </c>
      <c r="Y1277" s="21" t="s">
        <v>198</v>
      </c>
      <c r="Z1277" s="21"/>
      <c r="AA1277" s="4" t="s">
        <v>46</v>
      </c>
      <c r="AB1277" s="4" t="s">
        <v>47</v>
      </c>
      <c r="AC1277" s="4" t="s">
        <v>139</v>
      </c>
      <c r="AD1277" s="4" t="s">
        <v>140</v>
      </c>
      <c r="AE1277" s="4" t="s">
        <v>48</v>
      </c>
      <c r="AF1277" s="4" t="s">
        <v>41</v>
      </c>
      <c r="AG1277" s="4" t="s">
        <v>2719</v>
      </c>
    </row>
    <row r="1278" spans="1:33" ht="16.5" customHeight="1" x14ac:dyDescent="0.2">
      <c r="A1278" s="2" t="s">
        <v>31</v>
      </c>
      <c r="B1278" s="19" t="s">
        <v>50</v>
      </c>
      <c r="C1278" s="19"/>
      <c r="D1278" s="19"/>
      <c r="E1278" s="20" t="s">
        <v>33</v>
      </c>
      <c r="F1278" s="20"/>
      <c r="G1278" s="21" t="s">
        <v>2716</v>
      </c>
      <c r="H1278" s="21"/>
      <c r="I1278" s="21"/>
      <c r="J1278" s="3" t="s">
        <v>35</v>
      </c>
      <c r="K1278" s="4" t="s">
        <v>204</v>
      </c>
      <c r="L1278" s="4" t="s">
        <v>68</v>
      </c>
      <c r="N1278" s="21" t="s">
        <v>2798</v>
      </c>
      <c r="O1278" s="21"/>
      <c r="P1278" s="21" t="s">
        <v>2799</v>
      </c>
      <c r="Q1278" s="21"/>
      <c r="R1278" s="21"/>
      <c r="S1278" s="3" t="s">
        <v>40</v>
      </c>
      <c r="T1278" s="21" t="s">
        <v>41</v>
      </c>
      <c r="U1278" s="21"/>
      <c r="V1278" s="4" t="s">
        <v>42</v>
      </c>
      <c r="W1278" s="4" t="s">
        <v>54</v>
      </c>
      <c r="X1278" s="4" t="s">
        <v>55</v>
      </c>
      <c r="Y1278" s="21" t="s">
        <v>198</v>
      </c>
      <c r="Z1278" s="21"/>
      <c r="AA1278" s="4" t="s">
        <v>46</v>
      </c>
      <c r="AB1278" s="4" t="s">
        <v>47</v>
      </c>
      <c r="AC1278" s="4" t="s">
        <v>139</v>
      </c>
      <c r="AD1278" s="4" t="s">
        <v>151</v>
      </c>
      <c r="AE1278" s="4" t="s">
        <v>48</v>
      </c>
      <c r="AF1278" s="4" t="s">
        <v>41</v>
      </c>
      <c r="AG1278" s="4" t="s">
        <v>2719</v>
      </c>
    </row>
    <row r="1279" spans="1:33" ht="16.5" customHeight="1" x14ac:dyDescent="0.2">
      <c r="A1279" s="2" t="s">
        <v>31</v>
      </c>
      <c r="B1279" s="19" t="s">
        <v>50</v>
      </c>
      <c r="C1279" s="19"/>
      <c r="D1279" s="19"/>
      <c r="E1279" s="20" t="s">
        <v>33</v>
      </c>
      <c r="F1279" s="20"/>
      <c r="G1279" s="21" t="s">
        <v>2716</v>
      </c>
      <c r="H1279" s="21"/>
      <c r="I1279" s="21"/>
      <c r="J1279" s="3" t="s">
        <v>35</v>
      </c>
      <c r="K1279" s="4" t="s">
        <v>204</v>
      </c>
      <c r="L1279" s="4" t="s">
        <v>37</v>
      </c>
      <c r="N1279" s="21" t="s">
        <v>2800</v>
      </c>
      <c r="O1279" s="21"/>
      <c r="P1279" s="21" t="s">
        <v>2801</v>
      </c>
      <c r="Q1279" s="21"/>
      <c r="R1279" s="21"/>
      <c r="S1279" s="3" t="s">
        <v>40</v>
      </c>
      <c r="T1279" s="21" t="s">
        <v>41</v>
      </c>
      <c r="U1279" s="21"/>
      <c r="V1279" s="4" t="s">
        <v>42</v>
      </c>
      <c r="W1279" s="4" t="s">
        <v>381</v>
      </c>
      <c r="X1279" s="4" t="s">
        <v>382</v>
      </c>
      <c r="Y1279" s="21" t="s">
        <v>198</v>
      </c>
      <c r="Z1279" s="21"/>
      <c r="AA1279" s="4" t="s">
        <v>46</v>
      </c>
      <c r="AB1279" s="4" t="s">
        <v>47</v>
      </c>
      <c r="AC1279" s="4" t="s">
        <v>139</v>
      </c>
      <c r="AD1279" s="4" t="s">
        <v>140</v>
      </c>
      <c r="AE1279" s="4" t="s">
        <v>48</v>
      </c>
      <c r="AF1279" s="4" t="s">
        <v>41</v>
      </c>
      <c r="AG1279" s="4" t="s">
        <v>2719</v>
      </c>
    </row>
    <row r="1280" spans="1:33" ht="16.5" customHeight="1" x14ac:dyDescent="0.2">
      <c r="A1280" s="2" t="s">
        <v>31</v>
      </c>
      <c r="B1280" s="19" t="s">
        <v>50</v>
      </c>
      <c r="C1280" s="19"/>
      <c r="D1280" s="19"/>
      <c r="E1280" s="20" t="s">
        <v>33</v>
      </c>
      <c r="F1280" s="20"/>
      <c r="G1280" s="21" t="s">
        <v>2716</v>
      </c>
      <c r="H1280" s="21"/>
      <c r="I1280" s="21"/>
      <c r="J1280" s="3" t="s">
        <v>35</v>
      </c>
      <c r="K1280" s="4" t="s">
        <v>204</v>
      </c>
      <c r="L1280" s="4" t="s">
        <v>37</v>
      </c>
      <c r="N1280" s="21" t="s">
        <v>2800</v>
      </c>
      <c r="O1280" s="21"/>
      <c r="P1280" s="21" t="s">
        <v>2801</v>
      </c>
      <c r="Q1280" s="21"/>
      <c r="R1280" s="21"/>
      <c r="S1280" s="3" t="s">
        <v>40</v>
      </c>
      <c r="T1280" s="21" t="s">
        <v>41</v>
      </c>
      <c r="U1280" s="21"/>
      <c r="V1280" s="4" t="s">
        <v>59</v>
      </c>
      <c r="W1280" s="4" t="s">
        <v>381</v>
      </c>
      <c r="X1280" s="4" t="s">
        <v>55</v>
      </c>
      <c r="Y1280" s="21" t="s">
        <v>198</v>
      </c>
      <c r="Z1280" s="21"/>
      <c r="AA1280" s="4" t="s">
        <v>46</v>
      </c>
      <c r="AB1280" s="4" t="s">
        <v>47</v>
      </c>
      <c r="AC1280" s="4" t="s">
        <v>139</v>
      </c>
      <c r="AD1280" s="4" t="s">
        <v>140</v>
      </c>
      <c r="AE1280" s="4" t="s">
        <v>48</v>
      </c>
      <c r="AF1280" s="4" t="s">
        <v>41</v>
      </c>
      <c r="AG1280" s="4" t="s">
        <v>2719</v>
      </c>
    </row>
    <row r="1281" spans="1:33" ht="16.5" customHeight="1" x14ac:dyDescent="0.2">
      <c r="A1281" s="2" t="s">
        <v>31</v>
      </c>
      <c r="B1281" s="19" t="s">
        <v>50</v>
      </c>
      <c r="C1281" s="19"/>
      <c r="D1281" s="19"/>
      <c r="E1281" s="20" t="s">
        <v>33</v>
      </c>
      <c r="F1281" s="20"/>
      <c r="G1281" s="21" t="s">
        <v>2716</v>
      </c>
      <c r="H1281" s="21"/>
      <c r="I1281" s="21"/>
      <c r="J1281" s="3" t="s">
        <v>35</v>
      </c>
      <c r="K1281" s="4" t="s">
        <v>204</v>
      </c>
      <c r="L1281" s="4" t="s">
        <v>37</v>
      </c>
      <c r="N1281" s="21" t="s">
        <v>2802</v>
      </c>
      <c r="O1281" s="21"/>
      <c r="P1281" s="21" t="s">
        <v>2803</v>
      </c>
      <c r="Q1281" s="21"/>
      <c r="R1281" s="21"/>
      <c r="S1281" s="3" t="s">
        <v>40</v>
      </c>
      <c r="T1281" s="21" t="s">
        <v>41</v>
      </c>
      <c r="U1281" s="21"/>
      <c r="V1281" s="4" t="s">
        <v>42</v>
      </c>
      <c r="W1281" s="4" t="s">
        <v>54</v>
      </c>
      <c r="X1281" s="4" t="s">
        <v>55</v>
      </c>
      <c r="Y1281" s="21" t="s">
        <v>198</v>
      </c>
      <c r="Z1281" s="21"/>
      <c r="AA1281" s="4" t="s">
        <v>46</v>
      </c>
      <c r="AB1281" s="4" t="s">
        <v>47</v>
      </c>
      <c r="AC1281" s="4" t="s">
        <v>139</v>
      </c>
      <c r="AD1281" s="4" t="s">
        <v>140</v>
      </c>
      <c r="AE1281" s="4" t="s">
        <v>48</v>
      </c>
      <c r="AF1281" s="4" t="s">
        <v>41</v>
      </c>
      <c r="AG1281" s="4" t="s">
        <v>2719</v>
      </c>
    </row>
    <row r="1282" spans="1:33" ht="16.5" customHeight="1" x14ac:dyDescent="0.2">
      <c r="A1282" s="2" t="s">
        <v>31</v>
      </c>
      <c r="B1282" s="19" t="s">
        <v>50</v>
      </c>
      <c r="C1282" s="19"/>
      <c r="D1282" s="19"/>
      <c r="E1282" s="20" t="s">
        <v>33</v>
      </c>
      <c r="F1282" s="20"/>
      <c r="G1282" s="21" t="s">
        <v>2716</v>
      </c>
      <c r="H1282" s="21"/>
      <c r="I1282" s="21"/>
      <c r="J1282" s="3" t="s">
        <v>35</v>
      </c>
      <c r="K1282" s="4" t="s">
        <v>193</v>
      </c>
      <c r="L1282" s="4" t="s">
        <v>68</v>
      </c>
      <c r="N1282" s="21" t="s">
        <v>2804</v>
      </c>
      <c r="O1282" s="21"/>
      <c r="P1282" s="21" t="s">
        <v>2805</v>
      </c>
      <c r="Q1282" s="21"/>
      <c r="R1282" s="21"/>
      <c r="S1282" s="3" t="s">
        <v>40</v>
      </c>
      <c r="T1282" s="21" t="s">
        <v>41</v>
      </c>
      <c r="U1282" s="21"/>
      <c r="V1282" s="4" t="s">
        <v>42</v>
      </c>
      <c r="W1282" s="4" t="s">
        <v>54</v>
      </c>
      <c r="X1282" s="4" t="s">
        <v>55</v>
      </c>
      <c r="Y1282" s="21" t="s">
        <v>198</v>
      </c>
      <c r="Z1282" s="21"/>
      <c r="AA1282" s="4" t="s">
        <v>46</v>
      </c>
      <c r="AB1282" s="4" t="s">
        <v>47</v>
      </c>
      <c r="AC1282" s="4" t="s">
        <v>139</v>
      </c>
      <c r="AD1282" s="4" t="s">
        <v>151</v>
      </c>
      <c r="AE1282" s="4" t="s">
        <v>48</v>
      </c>
      <c r="AF1282" s="4" t="s">
        <v>41</v>
      </c>
      <c r="AG1282" s="4" t="s">
        <v>2719</v>
      </c>
    </row>
    <row r="1283" spans="1:33" ht="16.5" customHeight="1" x14ac:dyDescent="0.2">
      <c r="A1283" s="2" t="s">
        <v>31</v>
      </c>
      <c r="B1283" s="19" t="s">
        <v>50</v>
      </c>
      <c r="C1283" s="19"/>
      <c r="D1283" s="19"/>
      <c r="E1283" s="20" t="s">
        <v>33</v>
      </c>
      <c r="F1283" s="20"/>
      <c r="G1283" s="21" t="s">
        <v>2716</v>
      </c>
      <c r="H1283" s="21"/>
      <c r="I1283" s="21"/>
      <c r="J1283" s="3" t="s">
        <v>35</v>
      </c>
      <c r="K1283" s="4" t="s">
        <v>193</v>
      </c>
      <c r="L1283" s="4" t="s">
        <v>37</v>
      </c>
      <c r="N1283" s="21" t="s">
        <v>2806</v>
      </c>
      <c r="O1283" s="21"/>
      <c r="P1283" s="21" t="s">
        <v>2807</v>
      </c>
      <c r="Q1283" s="21"/>
      <c r="R1283" s="21"/>
      <c r="S1283" s="3" t="s">
        <v>40</v>
      </c>
      <c r="T1283" s="21" t="s">
        <v>41</v>
      </c>
      <c r="U1283" s="21"/>
      <c r="V1283" s="4" t="s">
        <v>42</v>
      </c>
      <c r="W1283" s="4" t="s">
        <v>381</v>
      </c>
      <c r="X1283" s="4" t="s">
        <v>382</v>
      </c>
      <c r="Y1283" s="21" t="s">
        <v>198</v>
      </c>
      <c r="Z1283" s="21"/>
      <c r="AA1283" s="4" t="s">
        <v>46</v>
      </c>
      <c r="AB1283" s="4" t="s">
        <v>47</v>
      </c>
      <c r="AC1283" s="4" t="s">
        <v>139</v>
      </c>
      <c r="AD1283" s="4" t="s">
        <v>140</v>
      </c>
      <c r="AE1283" s="4" t="s">
        <v>48</v>
      </c>
      <c r="AF1283" s="4" t="s">
        <v>41</v>
      </c>
      <c r="AG1283" s="4" t="s">
        <v>2719</v>
      </c>
    </row>
    <row r="1284" spans="1:33" ht="16.5" customHeight="1" x14ac:dyDescent="0.2">
      <c r="A1284" s="2" t="s">
        <v>31</v>
      </c>
      <c r="B1284" s="19" t="s">
        <v>50</v>
      </c>
      <c r="C1284" s="19"/>
      <c r="D1284" s="19"/>
      <c r="E1284" s="20" t="s">
        <v>33</v>
      </c>
      <c r="F1284" s="20"/>
      <c r="G1284" s="21" t="s">
        <v>2716</v>
      </c>
      <c r="H1284" s="21"/>
      <c r="I1284" s="21"/>
      <c r="J1284" s="3" t="s">
        <v>35</v>
      </c>
      <c r="K1284" s="4" t="s">
        <v>193</v>
      </c>
      <c r="L1284" s="4" t="s">
        <v>37</v>
      </c>
      <c r="N1284" s="21" t="s">
        <v>2808</v>
      </c>
      <c r="O1284" s="21"/>
      <c r="P1284" s="21" t="s">
        <v>2809</v>
      </c>
      <c r="Q1284" s="21"/>
      <c r="R1284" s="21"/>
      <c r="S1284" s="3" t="s">
        <v>40</v>
      </c>
      <c r="T1284" s="21" t="s">
        <v>41</v>
      </c>
      <c r="U1284" s="21"/>
      <c r="V1284" s="4" t="s">
        <v>42</v>
      </c>
      <c r="W1284" s="4" t="s">
        <v>54</v>
      </c>
      <c r="X1284" s="4" t="s">
        <v>55</v>
      </c>
      <c r="Y1284" s="21" t="s">
        <v>198</v>
      </c>
      <c r="Z1284" s="21"/>
      <c r="AA1284" s="4" t="s">
        <v>46</v>
      </c>
      <c r="AB1284" s="4" t="s">
        <v>47</v>
      </c>
      <c r="AC1284" s="4" t="s">
        <v>139</v>
      </c>
      <c r="AD1284" s="4" t="s">
        <v>140</v>
      </c>
      <c r="AE1284" s="4" t="s">
        <v>48</v>
      </c>
      <c r="AF1284" s="4" t="s">
        <v>41</v>
      </c>
      <c r="AG1284" s="4" t="s">
        <v>2719</v>
      </c>
    </row>
    <row r="1285" spans="1:33" ht="16.5" customHeight="1" x14ac:dyDescent="0.2">
      <c r="A1285" s="2" t="s">
        <v>31</v>
      </c>
      <c r="B1285" s="19" t="s">
        <v>50</v>
      </c>
      <c r="C1285" s="19"/>
      <c r="D1285" s="19"/>
      <c r="E1285" s="20" t="s">
        <v>33</v>
      </c>
      <c r="F1285" s="20"/>
      <c r="G1285" s="21" t="s">
        <v>2716</v>
      </c>
      <c r="H1285" s="21"/>
      <c r="I1285" s="21"/>
      <c r="J1285" s="3" t="s">
        <v>35</v>
      </c>
      <c r="K1285" s="4" t="s">
        <v>193</v>
      </c>
      <c r="L1285" s="4" t="s">
        <v>37</v>
      </c>
      <c r="N1285" s="21" t="s">
        <v>2810</v>
      </c>
      <c r="O1285" s="21"/>
      <c r="P1285" s="21" t="s">
        <v>2811</v>
      </c>
      <c r="Q1285" s="21"/>
      <c r="R1285" s="21"/>
      <c r="S1285" s="3" t="s">
        <v>40</v>
      </c>
      <c r="T1285" s="21" t="s">
        <v>41</v>
      </c>
      <c r="U1285" s="21"/>
      <c r="V1285" s="4" t="s">
        <v>42</v>
      </c>
      <c r="W1285" s="4" t="s">
        <v>54</v>
      </c>
      <c r="X1285" s="4" t="s">
        <v>55</v>
      </c>
      <c r="Y1285" s="21" t="s">
        <v>198</v>
      </c>
      <c r="Z1285" s="21"/>
      <c r="AA1285" s="4" t="s">
        <v>46</v>
      </c>
      <c r="AB1285" s="4" t="s">
        <v>47</v>
      </c>
      <c r="AC1285" s="4" t="s">
        <v>139</v>
      </c>
      <c r="AD1285" s="4" t="s">
        <v>140</v>
      </c>
      <c r="AE1285" s="4" t="s">
        <v>48</v>
      </c>
      <c r="AF1285" s="4" t="s">
        <v>41</v>
      </c>
      <c r="AG1285" s="4" t="s">
        <v>2719</v>
      </c>
    </row>
    <row r="1286" spans="1:33" ht="16.5" customHeight="1" x14ac:dyDescent="0.2">
      <c r="A1286" s="2" t="s">
        <v>31</v>
      </c>
      <c r="B1286" s="19" t="s">
        <v>50</v>
      </c>
      <c r="C1286" s="19"/>
      <c r="D1286" s="19"/>
      <c r="E1286" s="20" t="s">
        <v>33</v>
      </c>
      <c r="F1286" s="20"/>
      <c r="G1286" s="21" t="s">
        <v>2716</v>
      </c>
      <c r="H1286" s="21"/>
      <c r="I1286" s="21"/>
      <c r="J1286" s="3" t="s">
        <v>35</v>
      </c>
      <c r="K1286" s="4" t="s">
        <v>204</v>
      </c>
      <c r="L1286" s="4" t="s">
        <v>68</v>
      </c>
      <c r="N1286" s="21" t="s">
        <v>2812</v>
      </c>
      <c r="O1286" s="21"/>
      <c r="P1286" s="21" t="s">
        <v>2813</v>
      </c>
      <c r="Q1286" s="21"/>
      <c r="R1286" s="21"/>
      <c r="S1286" s="3" t="s">
        <v>40</v>
      </c>
      <c r="T1286" s="21" t="s">
        <v>41</v>
      </c>
      <c r="U1286" s="21"/>
      <c r="V1286" s="4" t="s">
        <v>42</v>
      </c>
      <c r="W1286" s="4" t="s">
        <v>54</v>
      </c>
      <c r="X1286" s="4" t="s">
        <v>55</v>
      </c>
      <c r="Y1286" s="21" t="s">
        <v>198</v>
      </c>
      <c r="Z1286" s="21"/>
      <c r="AA1286" s="4" t="s">
        <v>46</v>
      </c>
      <c r="AB1286" s="4" t="s">
        <v>47</v>
      </c>
      <c r="AC1286" s="4" t="s">
        <v>139</v>
      </c>
      <c r="AD1286" s="4" t="s">
        <v>151</v>
      </c>
      <c r="AE1286" s="4" t="s">
        <v>48</v>
      </c>
      <c r="AF1286" s="4" t="s">
        <v>41</v>
      </c>
      <c r="AG1286" s="4" t="s">
        <v>2719</v>
      </c>
    </row>
    <row r="1287" spans="1:33" ht="16.5" customHeight="1" x14ac:dyDescent="0.2">
      <c r="A1287" s="2" t="s">
        <v>31</v>
      </c>
      <c r="B1287" s="19" t="s">
        <v>50</v>
      </c>
      <c r="C1287" s="19"/>
      <c r="D1287" s="19"/>
      <c r="E1287" s="20" t="s">
        <v>33</v>
      </c>
      <c r="F1287" s="20"/>
      <c r="G1287" s="21" t="s">
        <v>2716</v>
      </c>
      <c r="H1287" s="21"/>
      <c r="I1287" s="21"/>
      <c r="J1287" s="3" t="s">
        <v>35</v>
      </c>
      <c r="K1287" s="4" t="s">
        <v>193</v>
      </c>
      <c r="L1287" s="4" t="s">
        <v>37</v>
      </c>
      <c r="N1287" s="21" t="s">
        <v>2814</v>
      </c>
      <c r="O1287" s="21"/>
      <c r="P1287" s="21" t="s">
        <v>2815</v>
      </c>
      <c r="Q1287" s="21"/>
      <c r="R1287" s="21"/>
      <c r="S1287" s="3" t="s">
        <v>40</v>
      </c>
      <c r="T1287" s="21" t="s">
        <v>41</v>
      </c>
      <c r="U1287" s="21"/>
      <c r="V1287" s="4" t="s">
        <v>42</v>
      </c>
      <c r="W1287" s="4" t="s">
        <v>54</v>
      </c>
      <c r="X1287" s="4" t="s">
        <v>55</v>
      </c>
      <c r="Y1287" s="21" t="s">
        <v>198</v>
      </c>
      <c r="Z1287" s="21"/>
      <c r="AA1287" s="4" t="s">
        <v>46</v>
      </c>
      <c r="AB1287" s="4" t="s">
        <v>47</v>
      </c>
      <c r="AC1287" s="4" t="s">
        <v>139</v>
      </c>
      <c r="AD1287" s="4" t="s">
        <v>140</v>
      </c>
      <c r="AE1287" s="4" t="s">
        <v>48</v>
      </c>
      <c r="AF1287" s="4" t="s">
        <v>41</v>
      </c>
      <c r="AG1287" s="4" t="s">
        <v>2719</v>
      </c>
    </row>
    <row r="1288" spans="1:33" ht="16.5" customHeight="1" x14ac:dyDescent="0.2">
      <c r="A1288" s="2" t="s">
        <v>31</v>
      </c>
      <c r="B1288" s="19" t="s">
        <v>50</v>
      </c>
      <c r="C1288" s="19"/>
      <c r="D1288" s="19"/>
      <c r="E1288" s="20" t="s">
        <v>33</v>
      </c>
      <c r="F1288" s="20"/>
      <c r="G1288" s="21" t="s">
        <v>2716</v>
      </c>
      <c r="H1288" s="21"/>
      <c r="I1288" s="21"/>
      <c r="J1288" s="3" t="s">
        <v>35</v>
      </c>
      <c r="K1288" s="4" t="s">
        <v>193</v>
      </c>
      <c r="L1288" s="4" t="s">
        <v>37</v>
      </c>
      <c r="N1288" s="21" t="s">
        <v>2816</v>
      </c>
      <c r="O1288" s="21"/>
      <c r="P1288" s="21" t="s">
        <v>2817</v>
      </c>
      <c r="Q1288" s="21"/>
      <c r="R1288" s="21"/>
      <c r="S1288" s="3" t="s">
        <v>40</v>
      </c>
      <c r="T1288" s="21" t="s">
        <v>41</v>
      </c>
      <c r="U1288" s="21"/>
      <c r="V1288" s="4" t="s">
        <v>42</v>
      </c>
      <c r="W1288" s="4" t="s">
        <v>54</v>
      </c>
      <c r="X1288" s="4" t="s">
        <v>55</v>
      </c>
      <c r="Y1288" s="21" t="s">
        <v>198</v>
      </c>
      <c r="Z1288" s="21"/>
      <c r="AA1288" s="4" t="s">
        <v>46</v>
      </c>
      <c r="AB1288" s="4" t="s">
        <v>47</v>
      </c>
      <c r="AC1288" s="4" t="s">
        <v>139</v>
      </c>
      <c r="AD1288" s="4" t="s">
        <v>140</v>
      </c>
      <c r="AE1288" s="4" t="s">
        <v>48</v>
      </c>
      <c r="AF1288" s="4" t="s">
        <v>41</v>
      </c>
      <c r="AG1288" s="4" t="s">
        <v>2719</v>
      </c>
    </row>
    <row r="1289" spans="1:33" ht="16.5" customHeight="1" x14ac:dyDescent="0.2">
      <c r="A1289" s="2" t="s">
        <v>31</v>
      </c>
      <c r="B1289" s="19" t="s">
        <v>50</v>
      </c>
      <c r="C1289" s="19"/>
      <c r="D1289" s="19"/>
      <c r="E1289" s="20" t="s">
        <v>33</v>
      </c>
      <c r="F1289" s="20"/>
      <c r="G1289" s="21" t="s">
        <v>2716</v>
      </c>
      <c r="H1289" s="21"/>
      <c r="I1289" s="21"/>
      <c r="J1289" s="3" t="s">
        <v>35</v>
      </c>
      <c r="K1289" s="4" t="s">
        <v>204</v>
      </c>
      <c r="L1289" s="4" t="s">
        <v>68</v>
      </c>
      <c r="N1289" s="21" t="s">
        <v>2818</v>
      </c>
      <c r="O1289" s="21"/>
      <c r="P1289" s="21" t="s">
        <v>2819</v>
      </c>
      <c r="Q1289" s="21"/>
      <c r="R1289" s="21"/>
      <c r="S1289" s="3" t="s">
        <v>40</v>
      </c>
      <c r="T1289" s="21" t="s">
        <v>41</v>
      </c>
      <c r="U1289" s="21"/>
      <c r="V1289" s="4" t="s">
        <v>42</v>
      </c>
      <c r="W1289" s="4" t="s">
        <v>54</v>
      </c>
      <c r="X1289" s="4" t="s">
        <v>55</v>
      </c>
      <c r="Y1289" s="21" t="s">
        <v>198</v>
      </c>
      <c r="Z1289" s="21"/>
      <c r="AA1289" s="4" t="s">
        <v>46</v>
      </c>
      <c r="AB1289" s="4" t="s">
        <v>47</v>
      </c>
      <c r="AC1289" s="4" t="s">
        <v>139</v>
      </c>
      <c r="AD1289" s="4" t="s">
        <v>151</v>
      </c>
      <c r="AE1289" s="4" t="s">
        <v>48</v>
      </c>
      <c r="AF1289" s="4" t="s">
        <v>41</v>
      </c>
      <c r="AG1289" s="4" t="s">
        <v>2719</v>
      </c>
    </row>
    <row r="1290" spans="1:33" ht="16.5" customHeight="1" x14ac:dyDescent="0.2">
      <c r="A1290" s="2" t="s">
        <v>31</v>
      </c>
      <c r="B1290" s="19" t="s">
        <v>50</v>
      </c>
      <c r="C1290" s="19"/>
      <c r="D1290" s="19"/>
      <c r="E1290" s="20" t="s">
        <v>33</v>
      </c>
      <c r="F1290" s="20"/>
      <c r="G1290" s="21" t="s">
        <v>2716</v>
      </c>
      <c r="H1290" s="21"/>
      <c r="I1290" s="21"/>
      <c r="J1290" s="3" t="s">
        <v>35</v>
      </c>
      <c r="K1290" s="4" t="s">
        <v>193</v>
      </c>
      <c r="L1290" s="4" t="s">
        <v>62</v>
      </c>
      <c r="N1290" s="21" t="s">
        <v>2820</v>
      </c>
      <c r="O1290" s="21"/>
      <c r="P1290" s="21" t="s">
        <v>2821</v>
      </c>
      <c r="Q1290" s="21"/>
      <c r="R1290" s="21"/>
      <c r="S1290" s="3" t="s">
        <v>40</v>
      </c>
      <c r="T1290" s="21" t="s">
        <v>41</v>
      </c>
      <c r="U1290" s="21"/>
      <c r="V1290" s="4" t="s">
        <v>59</v>
      </c>
      <c r="W1290" s="4" t="s">
        <v>54</v>
      </c>
      <c r="X1290" s="4" t="s">
        <v>60</v>
      </c>
      <c r="Y1290" s="21" t="s">
        <v>198</v>
      </c>
      <c r="Z1290" s="21"/>
      <c r="AA1290" s="4" t="s">
        <v>46</v>
      </c>
      <c r="AB1290" s="4" t="s">
        <v>47</v>
      </c>
      <c r="AC1290" s="4" t="s">
        <v>139</v>
      </c>
      <c r="AD1290" s="4" t="s">
        <v>1353</v>
      </c>
      <c r="AE1290" s="4" t="s">
        <v>48</v>
      </c>
      <c r="AF1290" s="4" t="s">
        <v>41</v>
      </c>
      <c r="AG1290" s="4" t="s">
        <v>2719</v>
      </c>
    </row>
    <row r="1291" spans="1:33" ht="16.5" customHeight="1" x14ac:dyDescent="0.2">
      <c r="A1291" s="2" t="s">
        <v>31</v>
      </c>
      <c r="B1291" s="19" t="s">
        <v>50</v>
      </c>
      <c r="C1291" s="19"/>
      <c r="D1291" s="19"/>
      <c r="E1291" s="20" t="s">
        <v>33</v>
      </c>
      <c r="F1291" s="20"/>
      <c r="G1291" s="21" t="s">
        <v>2716</v>
      </c>
      <c r="H1291" s="21"/>
      <c r="I1291" s="21"/>
      <c r="J1291" s="3" t="s">
        <v>35</v>
      </c>
      <c r="K1291" s="4" t="s">
        <v>193</v>
      </c>
      <c r="L1291" s="4" t="s">
        <v>37</v>
      </c>
      <c r="N1291" s="21" t="s">
        <v>2822</v>
      </c>
      <c r="O1291" s="21"/>
      <c r="P1291" s="21" t="s">
        <v>2823</v>
      </c>
      <c r="Q1291" s="21"/>
      <c r="R1291" s="21"/>
      <c r="S1291" s="3" t="s">
        <v>40</v>
      </c>
      <c r="T1291" s="21" t="s">
        <v>41</v>
      </c>
      <c r="U1291" s="21"/>
      <c r="V1291" s="4" t="s">
        <v>42</v>
      </c>
      <c r="W1291" s="4" t="s">
        <v>54</v>
      </c>
      <c r="X1291" s="4" t="s">
        <v>55</v>
      </c>
      <c r="Y1291" s="21" t="s">
        <v>198</v>
      </c>
      <c r="Z1291" s="21"/>
      <c r="AA1291" s="4" t="s">
        <v>46</v>
      </c>
      <c r="AB1291" s="4" t="s">
        <v>47</v>
      </c>
      <c r="AC1291" s="4" t="s">
        <v>139</v>
      </c>
      <c r="AD1291" s="4" t="s">
        <v>140</v>
      </c>
      <c r="AE1291" s="4" t="s">
        <v>48</v>
      </c>
      <c r="AF1291" s="4" t="s">
        <v>41</v>
      </c>
      <c r="AG1291" s="4" t="s">
        <v>2719</v>
      </c>
    </row>
    <row r="1292" spans="1:33" ht="16.5" customHeight="1" x14ac:dyDescent="0.2">
      <c r="A1292" s="2" t="s">
        <v>31</v>
      </c>
      <c r="B1292" s="19" t="s">
        <v>50</v>
      </c>
      <c r="C1292" s="19"/>
      <c r="D1292" s="19"/>
      <c r="E1292" s="20" t="s">
        <v>33</v>
      </c>
      <c r="F1292" s="20"/>
      <c r="G1292" s="21" t="s">
        <v>2716</v>
      </c>
      <c r="H1292" s="21"/>
      <c r="I1292" s="21"/>
      <c r="J1292" s="3" t="s">
        <v>35</v>
      </c>
      <c r="K1292" s="4" t="s">
        <v>193</v>
      </c>
      <c r="L1292" s="4" t="s">
        <v>37</v>
      </c>
      <c r="N1292" s="21" t="s">
        <v>2824</v>
      </c>
      <c r="O1292" s="21"/>
      <c r="P1292" s="21" t="s">
        <v>2825</v>
      </c>
      <c r="Q1292" s="21"/>
      <c r="R1292" s="21"/>
      <c r="S1292" s="3" t="s">
        <v>40</v>
      </c>
      <c r="T1292" s="21" t="s">
        <v>41</v>
      </c>
      <c r="U1292" s="21"/>
      <c r="V1292" s="4" t="s">
        <v>42</v>
      </c>
      <c r="W1292" s="4" t="s">
        <v>54</v>
      </c>
      <c r="X1292" s="4" t="s">
        <v>55</v>
      </c>
      <c r="Y1292" s="21" t="s">
        <v>198</v>
      </c>
      <c r="Z1292" s="21"/>
      <c r="AA1292" s="4" t="s">
        <v>46</v>
      </c>
      <c r="AB1292" s="4" t="s">
        <v>47</v>
      </c>
      <c r="AC1292" s="4" t="s">
        <v>139</v>
      </c>
      <c r="AD1292" s="4" t="s">
        <v>140</v>
      </c>
      <c r="AE1292" s="4" t="s">
        <v>48</v>
      </c>
      <c r="AF1292" s="4" t="s">
        <v>41</v>
      </c>
      <c r="AG1292" s="4" t="s">
        <v>2719</v>
      </c>
    </row>
    <row r="1293" spans="1:33" ht="16.5" customHeight="1" x14ac:dyDescent="0.2">
      <c r="A1293" s="2" t="s">
        <v>31</v>
      </c>
      <c r="B1293" s="19" t="s">
        <v>50</v>
      </c>
      <c r="C1293" s="19"/>
      <c r="D1293" s="19"/>
      <c r="E1293" s="20" t="s">
        <v>33</v>
      </c>
      <c r="F1293" s="20"/>
      <c r="G1293" s="21" t="s">
        <v>2716</v>
      </c>
      <c r="H1293" s="21"/>
      <c r="I1293" s="21"/>
      <c r="J1293" s="3" t="s">
        <v>35</v>
      </c>
      <c r="K1293" s="4" t="s">
        <v>193</v>
      </c>
      <c r="L1293" s="4" t="s">
        <v>37</v>
      </c>
      <c r="N1293" s="21" t="s">
        <v>2826</v>
      </c>
      <c r="O1293" s="21"/>
      <c r="P1293" s="21" t="s">
        <v>2827</v>
      </c>
      <c r="Q1293" s="21"/>
      <c r="R1293" s="21"/>
      <c r="S1293" s="3" t="s">
        <v>40</v>
      </c>
      <c r="T1293" s="21" t="s">
        <v>41</v>
      </c>
      <c r="U1293" s="21"/>
      <c r="V1293" s="4" t="s">
        <v>42</v>
      </c>
      <c r="W1293" s="4" t="s">
        <v>54</v>
      </c>
      <c r="X1293" s="4" t="s">
        <v>55</v>
      </c>
      <c r="Y1293" s="21" t="s">
        <v>198</v>
      </c>
      <c r="Z1293" s="21"/>
      <c r="AA1293" s="4" t="s">
        <v>46</v>
      </c>
      <c r="AB1293" s="4" t="s">
        <v>47</v>
      </c>
      <c r="AC1293" s="4" t="s">
        <v>139</v>
      </c>
      <c r="AD1293" s="4" t="s">
        <v>140</v>
      </c>
      <c r="AE1293" s="4" t="s">
        <v>48</v>
      </c>
      <c r="AF1293" s="4" t="s">
        <v>41</v>
      </c>
      <c r="AG1293" s="4" t="s">
        <v>2719</v>
      </c>
    </row>
    <row r="1294" spans="1:33" ht="16.5" customHeight="1" x14ac:dyDescent="0.2">
      <c r="A1294" s="2" t="s">
        <v>31</v>
      </c>
      <c r="B1294" s="19" t="s">
        <v>50</v>
      </c>
      <c r="C1294" s="19"/>
      <c r="D1294" s="19"/>
      <c r="E1294" s="20" t="s">
        <v>33</v>
      </c>
      <c r="F1294" s="20"/>
      <c r="G1294" s="21" t="s">
        <v>2716</v>
      </c>
      <c r="H1294" s="21"/>
      <c r="I1294" s="21"/>
      <c r="J1294" s="3" t="s">
        <v>35</v>
      </c>
      <c r="K1294" s="4" t="s">
        <v>193</v>
      </c>
      <c r="L1294" s="4" t="s">
        <v>68</v>
      </c>
      <c r="N1294" s="21" t="s">
        <v>2828</v>
      </c>
      <c r="O1294" s="21"/>
      <c r="P1294" s="21" t="s">
        <v>2829</v>
      </c>
      <c r="Q1294" s="21"/>
      <c r="R1294" s="21"/>
      <c r="S1294" s="3" t="s">
        <v>40</v>
      </c>
      <c r="T1294" s="21" t="s">
        <v>41</v>
      </c>
      <c r="U1294" s="21"/>
      <c r="V1294" s="4" t="s">
        <v>42</v>
      </c>
      <c r="W1294" s="4" t="s">
        <v>54</v>
      </c>
      <c r="X1294" s="4" t="s">
        <v>55</v>
      </c>
      <c r="Y1294" s="21" t="s">
        <v>198</v>
      </c>
      <c r="Z1294" s="21"/>
      <c r="AA1294" s="4" t="s">
        <v>46</v>
      </c>
      <c r="AB1294" s="4" t="s">
        <v>47</v>
      </c>
      <c r="AC1294" s="4" t="s">
        <v>139</v>
      </c>
      <c r="AD1294" s="4" t="s">
        <v>151</v>
      </c>
      <c r="AE1294" s="4" t="s">
        <v>48</v>
      </c>
      <c r="AF1294" s="4" t="s">
        <v>41</v>
      </c>
      <c r="AG1294" s="4" t="s">
        <v>2719</v>
      </c>
    </row>
    <row r="1295" spans="1:33" ht="16.5" customHeight="1" x14ac:dyDescent="0.2">
      <c r="A1295" s="2" t="s">
        <v>31</v>
      </c>
      <c r="B1295" s="19" t="s">
        <v>50</v>
      </c>
      <c r="C1295" s="19"/>
      <c r="D1295" s="19"/>
      <c r="E1295" s="20" t="s">
        <v>33</v>
      </c>
      <c r="F1295" s="20"/>
      <c r="G1295" s="21" t="s">
        <v>2716</v>
      </c>
      <c r="H1295" s="21"/>
      <c r="I1295" s="21"/>
      <c r="J1295" s="3" t="s">
        <v>35</v>
      </c>
      <c r="K1295" s="4" t="s">
        <v>193</v>
      </c>
      <c r="L1295" s="4" t="s">
        <v>68</v>
      </c>
      <c r="N1295" s="21" t="s">
        <v>2830</v>
      </c>
      <c r="O1295" s="21"/>
      <c r="P1295" s="21" t="s">
        <v>2831</v>
      </c>
      <c r="Q1295" s="21"/>
      <c r="R1295" s="21"/>
      <c r="S1295" s="3" t="s">
        <v>40</v>
      </c>
      <c r="T1295" s="21" t="s">
        <v>41</v>
      </c>
      <c r="U1295" s="21"/>
      <c r="V1295" s="4" t="s">
        <v>42</v>
      </c>
      <c r="W1295" s="4" t="s">
        <v>54</v>
      </c>
      <c r="X1295" s="4" t="s">
        <v>55</v>
      </c>
      <c r="Y1295" s="21" t="s">
        <v>198</v>
      </c>
      <c r="Z1295" s="21"/>
      <c r="AA1295" s="4" t="s">
        <v>46</v>
      </c>
      <c r="AB1295" s="4" t="s">
        <v>47</v>
      </c>
      <c r="AC1295" s="4" t="s">
        <v>139</v>
      </c>
      <c r="AD1295" s="4" t="s">
        <v>151</v>
      </c>
      <c r="AE1295" s="4" t="s">
        <v>48</v>
      </c>
      <c r="AF1295" s="4" t="s">
        <v>41</v>
      </c>
      <c r="AG1295" s="4" t="s">
        <v>2719</v>
      </c>
    </row>
    <row r="1296" spans="1:33" ht="16.5" customHeight="1" x14ac:dyDescent="0.2">
      <c r="A1296" s="2" t="s">
        <v>31</v>
      </c>
      <c r="B1296" s="19" t="s">
        <v>50</v>
      </c>
      <c r="C1296" s="19"/>
      <c r="D1296" s="19"/>
      <c r="E1296" s="20" t="s">
        <v>33</v>
      </c>
      <c r="F1296" s="20"/>
      <c r="G1296" s="21" t="s">
        <v>2716</v>
      </c>
      <c r="H1296" s="21"/>
      <c r="I1296" s="21"/>
      <c r="J1296" s="3" t="s">
        <v>35</v>
      </c>
      <c r="K1296" s="4" t="s">
        <v>193</v>
      </c>
      <c r="L1296" s="4" t="s">
        <v>278</v>
      </c>
      <c r="N1296" s="21" t="s">
        <v>2832</v>
      </c>
      <c r="O1296" s="21"/>
      <c r="P1296" s="21" t="s">
        <v>2833</v>
      </c>
      <c r="Q1296" s="21"/>
      <c r="R1296" s="21"/>
      <c r="S1296" s="3" t="s">
        <v>40</v>
      </c>
      <c r="T1296" s="21" t="s">
        <v>41</v>
      </c>
      <c r="U1296" s="21"/>
      <c r="V1296" s="4" t="s">
        <v>42</v>
      </c>
      <c r="W1296" s="4" t="s">
        <v>54</v>
      </c>
      <c r="X1296" s="4" t="s">
        <v>55</v>
      </c>
      <c r="Y1296" s="21" t="s">
        <v>198</v>
      </c>
      <c r="Z1296" s="21"/>
      <c r="AA1296" s="4" t="s">
        <v>46</v>
      </c>
      <c r="AB1296" s="4" t="s">
        <v>47</v>
      </c>
      <c r="AC1296" s="4" t="s">
        <v>139</v>
      </c>
      <c r="AD1296" s="4" t="s">
        <v>69</v>
      </c>
      <c r="AE1296" s="4" t="s">
        <v>48</v>
      </c>
      <c r="AF1296" s="4" t="s">
        <v>41</v>
      </c>
      <c r="AG1296" s="4" t="s">
        <v>2719</v>
      </c>
    </row>
    <row r="1297" spans="1:33" ht="16.5" customHeight="1" x14ac:dyDescent="0.2">
      <c r="A1297" s="2" t="s">
        <v>31</v>
      </c>
      <c r="B1297" s="19" t="s">
        <v>50</v>
      </c>
      <c r="C1297" s="19"/>
      <c r="D1297" s="19"/>
      <c r="E1297" s="20" t="s">
        <v>33</v>
      </c>
      <c r="F1297" s="20"/>
      <c r="G1297" s="21" t="s">
        <v>2716</v>
      </c>
      <c r="H1297" s="21"/>
      <c r="I1297" s="21"/>
      <c r="J1297" s="3" t="s">
        <v>35</v>
      </c>
      <c r="K1297" s="4" t="s">
        <v>193</v>
      </c>
      <c r="L1297" s="4" t="s">
        <v>68</v>
      </c>
      <c r="N1297" s="21" t="s">
        <v>2834</v>
      </c>
      <c r="O1297" s="21"/>
      <c r="P1297" s="21" t="s">
        <v>2835</v>
      </c>
      <c r="Q1297" s="21"/>
      <c r="R1297" s="21"/>
      <c r="S1297" s="3" t="s">
        <v>40</v>
      </c>
      <c r="T1297" s="21" t="s">
        <v>41</v>
      </c>
      <c r="U1297" s="21"/>
      <c r="V1297" s="4" t="s">
        <v>42</v>
      </c>
      <c r="W1297" s="4" t="s">
        <v>54</v>
      </c>
      <c r="X1297" s="4" t="s">
        <v>55</v>
      </c>
      <c r="Y1297" s="21" t="s">
        <v>198</v>
      </c>
      <c r="Z1297" s="21"/>
      <c r="AA1297" s="4" t="s">
        <v>46</v>
      </c>
      <c r="AB1297" s="4" t="s">
        <v>47</v>
      </c>
      <c r="AC1297" s="4" t="s">
        <v>139</v>
      </c>
      <c r="AD1297" s="4" t="s">
        <v>151</v>
      </c>
      <c r="AE1297" s="4" t="s">
        <v>48</v>
      </c>
      <c r="AF1297" s="4" t="s">
        <v>41</v>
      </c>
      <c r="AG1297" s="4" t="s">
        <v>2719</v>
      </c>
    </row>
    <row r="1298" spans="1:33" ht="16.5" customHeight="1" x14ac:dyDescent="0.2">
      <c r="A1298" s="2" t="s">
        <v>31</v>
      </c>
      <c r="B1298" s="19" t="s">
        <v>50</v>
      </c>
      <c r="C1298" s="19"/>
      <c r="D1298" s="19"/>
      <c r="E1298" s="20" t="s">
        <v>33</v>
      </c>
      <c r="F1298" s="20"/>
      <c r="G1298" s="21" t="s">
        <v>2716</v>
      </c>
      <c r="H1298" s="21"/>
      <c r="I1298" s="21"/>
      <c r="J1298" s="3" t="s">
        <v>35</v>
      </c>
      <c r="K1298" s="4" t="s">
        <v>193</v>
      </c>
      <c r="L1298" s="4" t="s">
        <v>37</v>
      </c>
      <c r="N1298" s="21" t="s">
        <v>2836</v>
      </c>
      <c r="O1298" s="21"/>
      <c r="P1298" s="21" t="s">
        <v>2837</v>
      </c>
      <c r="Q1298" s="21"/>
      <c r="R1298" s="21"/>
      <c r="S1298" s="3" t="s">
        <v>40</v>
      </c>
      <c r="T1298" s="21" t="s">
        <v>41</v>
      </c>
      <c r="U1298" s="21"/>
      <c r="V1298" s="4" t="s">
        <v>42</v>
      </c>
      <c r="W1298" s="4" t="s">
        <v>54</v>
      </c>
      <c r="X1298" s="4" t="s">
        <v>55</v>
      </c>
      <c r="Y1298" s="21" t="s">
        <v>198</v>
      </c>
      <c r="Z1298" s="21"/>
      <c r="AA1298" s="4" t="s">
        <v>46</v>
      </c>
      <c r="AB1298" s="4" t="s">
        <v>47</v>
      </c>
      <c r="AC1298" s="4" t="s">
        <v>139</v>
      </c>
      <c r="AD1298" s="4" t="s">
        <v>140</v>
      </c>
      <c r="AE1298" s="4" t="s">
        <v>48</v>
      </c>
      <c r="AF1298" s="4" t="s">
        <v>41</v>
      </c>
      <c r="AG1298" s="4" t="s">
        <v>2719</v>
      </c>
    </row>
    <row r="1299" spans="1:33" ht="16.5" customHeight="1" x14ac:dyDescent="0.2">
      <c r="A1299" s="2" t="s">
        <v>31</v>
      </c>
      <c r="B1299" s="19" t="s">
        <v>50</v>
      </c>
      <c r="C1299" s="19"/>
      <c r="D1299" s="19"/>
      <c r="E1299" s="20" t="s">
        <v>33</v>
      </c>
      <c r="F1299" s="20"/>
      <c r="G1299" s="21" t="s">
        <v>2716</v>
      </c>
      <c r="H1299" s="21"/>
      <c r="I1299" s="21"/>
      <c r="J1299" s="3" t="s">
        <v>35</v>
      </c>
      <c r="K1299" s="4" t="s">
        <v>193</v>
      </c>
      <c r="L1299" s="4" t="s">
        <v>37</v>
      </c>
      <c r="N1299" s="21" t="s">
        <v>2838</v>
      </c>
      <c r="O1299" s="21"/>
      <c r="P1299" s="21" t="s">
        <v>2839</v>
      </c>
      <c r="Q1299" s="21"/>
      <c r="R1299" s="21"/>
      <c r="S1299" s="3" t="s">
        <v>40</v>
      </c>
      <c r="T1299" s="21" t="s">
        <v>41</v>
      </c>
      <c r="U1299" s="21"/>
      <c r="V1299" s="4" t="s">
        <v>42</v>
      </c>
      <c r="W1299" s="4" t="s">
        <v>54</v>
      </c>
      <c r="X1299" s="4" t="s">
        <v>55</v>
      </c>
      <c r="Y1299" s="21" t="s">
        <v>198</v>
      </c>
      <c r="Z1299" s="21"/>
      <c r="AA1299" s="4" t="s">
        <v>46</v>
      </c>
      <c r="AB1299" s="4" t="s">
        <v>47</v>
      </c>
      <c r="AC1299" s="4" t="s">
        <v>139</v>
      </c>
      <c r="AD1299" s="4" t="s">
        <v>140</v>
      </c>
      <c r="AE1299" s="4" t="s">
        <v>48</v>
      </c>
      <c r="AF1299" s="4" t="s">
        <v>41</v>
      </c>
      <c r="AG1299" s="4" t="s">
        <v>2719</v>
      </c>
    </row>
    <row r="1300" spans="1:33" ht="16.5" customHeight="1" x14ac:dyDescent="0.2">
      <c r="A1300" s="2" t="s">
        <v>31</v>
      </c>
      <c r="B1300" s="19" t="s">
        <v>50</v>
      </c>
      <c r="C1300" s="19"/>
      <c r="D1300" s="19"/>
      <c r="E1300" s="20" t="s">
        <v>33</v>
      </c>
      <c r="F1300" s="20"/>
      <c r="G1300" s="21" t="s">
        <v>2716</v>
      </c>
      <c r="H1300" s="21"/>
      <c r="I1300" s="21"/>
      <c r="J1300" s="3" t="s">
        <v>35</v>
      </c>
      <c r="K1300" s="4" t="s">
        <v>193</v>
      </c>
      <c r="L1300" s="4" t="s">
        <v>37</v>
      </c>
      <c r="N1300" s="21" t="s">
        <v>2840</v>
      </c>
      <c r="O1300" s="21"/>
      <c r="P1300" s="21" t="s">
        <v>2841</v>
      </c>
      <c r="Q1300" s="21"/>
      <c r="R1300" s="21"/>
      <c r="S1300" s="3" t="s">
        <v>40</v>
      </c>
      <c r="T1300" s="21" t="s">
        <v>41</v>
      </c>
      <c r="U1300" s="21"/>
      <c r="V1300" s="4" t="s">
        <v>42</v>
      </c>
      <c r="W1300" s="4" t="s">
        <v>54</v>
      </c>
      <c r="X1300" s="4" t="s">
        <v>55</v>
      </c>
      <c r="Y1300" s="21" t="s">
        <v>198</v>
      </c>
      <c r="Z1300" s="21"/>
      <c r="AA1300" s="4" t="s">
        <v>46</v>
      </c>
      <c r="AB1300" s="4" t="s">
        <v>47</v>
      </c>
      <c r="AC1300" s="4" t="s">
        <v>139</v>
      </c>
      <c r="AD1300" s="4" t="s">
        <v>140</v>
      </c>
      <c r="AE1300" s="4" t="s">
        <v>48</v>
      </c>
      <c r="AF1300" s="4" t="s">
        <v>41</v>
      </c>
      <c r="AG1300" s="4" t="s">
        <v>2719</v>
      </c>
    </row>
    <row r="1301" spans="1:33" ht="0.75" customHeight="1" x14ac:dyDescent="0.2"/>
    <row r="1302" spans="1:33" ht="12" customHeight="1" x14ac:dyDescent="0.2"/>
    <row r="1303" spans="1:33" ht="16.5" customHeight="1" x14ac:dyDescent="0.2">
      <c r="A1303" s="2" t="s">
        <v>31</v>
      </c>
      <c r="B1303" s="19" t="s">
        <v>50</v>
      </c>
      <c r="C1303" s="19"/>
      <c r="D1303" s="19"/>
      <c r="E1303" s="20" t="s">
        <v>33</v>
      </c>
      <c r="F1303" s="20"/>
      <c r="G1303" s="21" t="s">
        <v>2716</v>
      </c>
      <c r="H1303" s="21"/>
      <c r="I1303" s="21"/>
      <c r="J1303" s="3" t="s">
        <v>35</v>
      </c>
      <c r="K1303" s="4" t="s">
        <v>74</v>
      </c>
      <c r="L1303" s="4" t="s">
        <v>37</v>
      </c>
      <c r="N1303" s="21" t="s">
        <v>2842</v>
      </c>
      <c r="O1303" s="21"/>
      <c r="P1303" s="21" t="s">
        <v>2843</v>
      </c>
      <c r="Q1303" s="21"/>
      <c r="R1303" s="21"/>
      <c r="S1303" s="3" t="s">
        <v>40</v>
      </c>
      <c r="T1303" s="21" t="s">
        <v>41</v>
      </c>
      <c r="U1303" s="21"/>
      <c r="V1303" s="4" t="s">
        <v>42</v>
      </c>
      <c r="W1303" s="4" t="s">
        <v>54</v>
      </c>
      <c r="X1303" s="4" t="s">
        <v>55</v>
      </c>
      <c r="Y1303" s="21" t="s">
        <v>65</v>
      </c>
      <c r="Z1303" s="21"/>
      <c r="AA1303" s="4" t="s">
        <v>46</v>
      </c>
      <c r="AB1303" s="4" t="s">
        <v>47</v>
      </c>
      <c r="AC1303" s="4" t="s">
        <v>66</v>
      </c>
      <c r="AD1303" s="4" t="s">
        <v>73</v>
      </c>
      <c r="AE1303" s="4" t="s">
        <v>48</v>
      </c>
      <c r="AF1303" s="4" t="s">
        <v>41</v>
      </c>
      <c r="AG1303" s="4" t="s">
        <v>2719</v>
      </c>
    </row>
    <row r="1304" spans="1:33" ht="16.5" customHeight="1" x14ac:dyDescent="0.2">
      <c r="A1304" s="2" t="s">
        <v>31</v>
      </c>
      <c r="B1304" s="19" t="s">
        <v>50</v>
      </c>
      <c r="C1304" s="19"/>
      <c r="D1304" s="19"/>
      <c r="E1304" s="20" t="s">
        <v>33</v>
      </c>
      <c r="F1304" s="20"/>
      <c r="G1304" s="21" t="s">
        <v>2716</v>
      </c>
      <c r="H1304" s="21"/>
      <c r="I1304" s="21"/>
      <c r="J1304" s="3" t="s">
        <v>35</v>
      </c>
      <c r="K1304" s="4" t="s">
        <v>193</v>
      </c>
      <c r="L1304" s="4" t="s">
        <v>68</v>
      </c>
      <c r="N1304" s="21" t="s">
        <v>2844</v>
      </c>
      <c r="O1304" s="21"/>
      <c r="P1304" s="21" t="s">
        <v>2845</v>
      </c>
      <c r="Q1304" s="21"/>
      <c r="R1304" s="21"/>
      <c r="S1304" s="3" t="s">
        <v>40</v>
      </c>
      <c r="T1304" s="21" t="s">
        <v>41</v>
      </c>
      <c r="U1304" s="21"/>
      <c r="V1304" s="4" t="s">
        <v>42</v>
      </c>
      <c r="W1304" s="4" t="s">
        <v>54</v>
      </c>
      <c r="X1304" s="4" t="s">
        <v>55</v>
      </c>
      <c r="Y1304" s="21" t="s">
        <v>198</v>
      </c>
      <c r="Z1304" s="21"/>
      <c r="AA1304" s="4" t="s">
        <v>46</v>
      </c>
      <c r="AB1304" s="4" t="s">
        <v>47</v>
      </c>
      <c r="AC1304" s="4" t="s">
        <v>139</v>
      </c>
      <c r="AD1304" s="4" t="s">
        <v>151</v>
      </c>
      <c r="AE1304" s="4" t="s">
        <v>48</v>
      </c>
      <c r="AF1304" s="4" t="s">
        <v>41</v>
      </c>
      <c r="AG1304" s="4" t="s">
        <v>2719</v>
      </c>
    </row>
    <row r="1305" spans="1:33" ht="16.5" customHeight="1" x14ac:dyDescent="0.2">
      <c r="A1305" s="2" t="s">
        <v>31</v>
      </c>
      <c r="B1305" s="19" t="s">
        <v>50</v>
      </c>
      <c r="C1305" s="19"/>
      <c r="D1305" s="19"/>
      <c r="E1305" s="20" t="s">
        <v>33</v>
      </c>
      <c r="F1305" s="20"/>
      <c r="G1305" s="21" t="s">
        <v>2716</v>
      </c>
      <c r="H1305" s="21"/>
      <c r="I1305" s="21"/>
      <c r="J1305" s="3" t="s">
        <v>35</v>
      </c>
      <c r="K1305" s="4" t="s">
        <v>193</v>
      </c>
      <c r="L1305" s="4" t="s">
        <v>37</v>
      </c>
      <c r="N1305" s="21" t="s">
        <v>2846</v>
      </c>
      <c r="O1305" s="21"/>
      <c r="P1305" s="21" t="s">
        <v>2847</v>
      </c>
      <c r="Q1305" s="21"/>
      <c r="R1305" s="21"/>
      <c r="S1305" s="3" t="s">
        <v>40</v>
      </c>
      <c r="T1305" s="21" t="s">
        <v>41</v>
      </c>
      <c r="U1305" s="21"/>
      <c r="V1305" s="4" t="s">
        <v>42</v>
      </c>
      <c r="W1305" s="4" t="s">
        <v>54</v>
      </c>
      <c r="X1305" s="4" t="s">
        <v>55</v>
      </c>
      <c r="Y1305" s="21" t="s">
        <v>198</v>
      </c>
      <c r="Z1305" s="21"/>
      <c r="AA1305" s="4" t="s">
        <v>46</v>
      </c>
      <c r="AB1305" s="4" t="s">
        <v>47</v>
      </c>
      <c r="AC1305" s="4" t="s">
        <v>139</v>
      </c>
      <c r="AD1305" s="4" t="s">
        <v>140</v>
      </c>
      <c r="AE1305" s="4" t="s">
        <v>48</v>
      </c>
      <c r="AF1305" s="4" t="s">
        <v>41</v>
      </c>
      <c r="AG1305" s="4" t="s">
        <v>2719</v>
      </c>
    </row>
    <row r="1306" spans="1:33" ht="16.5" customHeight="1" x14ac:dyDescent="0.2">
      <c r="A1306" s="2" t="s">
        <v>31</v>
      </c>
      <c r="B1306" s="19" t="s">
        <v>50</v>
      </c>
      <c r="C1306" s="19"/>
      <c r="D1306" s="19"/>
      <c r="E1306" s="20" t="s">
        <v>33</v>
      </c>
      <c r="F1306" s="20"/>
      <c r="G1306" s="21" t="s">
        <v>2716</v>
      </c>
      <c r="H1306" s="21"/>
      <c r="I1306" s="21"/>
      <c r="J1306" s="3" t="s">
        <v>35</v>
      </c>
      <c r="K1306" s="4" t="s">
        <v>193</v>
      </c>
      <c r="L1306" s="4" t="s">
        <v>68</v>
      </c>
      <c r="N1306" s="21" t="s">
        <v>2848</v>
      </c>
      <c r="O1306" s="21"/>
      <c r="P1306" s="21" t="s">
        <v>2849</v>
      </c>
      <c r="Q1306" s="21"/>
      <c r="R1306" s="21"/>
      <c r="S1306" s="3" t="s">
        <v>40</v>
      </c>
      <c r="T1306" s="21" t="s">
        <v>41</v>
      </c>
      <c r="U1306" s="21"/>
      <c r="V1306" s="4" t="s">
        <v>42</v>
      </c>
      <c r="W1306" s="4" t="s">
        <v>54</v>
      </c>
      <c r="X1306" s="4" t="s">
        <v>55</v>
      </c>
      <c r="Y1306" s="21" t="s">
        <v>198</v>
      </c>
      <c r="Z1306" s="21"/>
      <c r="AA1306" s="4" t="s">
        <v>46</v>
      </c>
      <c r="AB1306" s="4" t="s">
        <v>47</v>
      </c>
      <c r="AC1306" s="4" t="s">
        <v>139</v>
      </c>
      <c r="AD1306" s="4" t="s">
        <v>151</v>
      </c>
      <c r="AE1306" s="4" t="s">
        <v>48</v>
      </c>
      <c r="AF1306" s="4" t="s">
        <v>41</v>
      </c>
      <c r="AG1306" s="4" t="s">
        <v>2719</v>
      </c>
    </row>
    <row r="1307" spans="1:33" ht="16.5" customHeight="1" x14ac:dyDescent="0.2">
      <c r="A1307" s="2" t="s">
        <v>31</v>
      </c>
      <c r="B1307" s="19" t="s">
        <v>50</v>
      </c>
      <c r="C1307" s="19"/>
      <c r="D1307" s="19"/>
      <c r="E1307" s="20" t="s">
        <v>33</v>
      </c>
      <c r="F1307" s="20"/>
      <c r="G1307" s="21" t="s">
        <v>2716</v>
      </c>
      <c r="H1307" s="21"/>
      <c r="I1307" s="21"/>
      <c r="J1307" s="3" t="s">
        <v>35</v>
      </c>
      <c r="K1307" s="4" t="s">
        <v>204</v>
      </c>
      <c r="L1307" s="4" t="s">
        <v>37</v>
      </c>
      <c r="N1307" s="21" t="s">
        <v>2850</v>
      </c>
      <c r="O1307" s="21"/>
      <c r="P1307" s="21" t="s">
        <v>2851</v>
      </c>
      <c r="Q1307" s="21"/>
      <c r="R1307" s="21"/>
      <c r="S1307" s="3" t="s">
        <v>40</v>
      </c>
      <c r="T1307" s="21" t="s">
        <v>41</v>
      </c>
      <c r="U1307" s="21"/>
      <c r="V1307" s="4" t="s">
        <v>42</v>
      </c>
      <c r="W1307" s="4" t="s">
        <v>54</v>
      </c>
      <c r="X1307" s="4" t="s">
        <v>55</v>
      </c>
      <c r="Y1307" s="21" t="s">
        <v>198</v>
      </c>
      <c r="Z1307" s="21"/>
      <c r="AA1307" s="4" t="s">
        <v>46</v>
      </c>
      <c r="AB1307" s="4" t="s">
        <v>47</v>
      </c>
      <c r="AC1307" s="4" t="s">
        <v>139</v>
      </c>
      <c r="AD1307" s="4" t="s">
        <v>140</v>
      </c>
      <c r="AE1307" s="4" t="s">
        <v>48</v>
      </c>
      <c r="AF1307" s="4" t="s">
        <v>41</v>
      </c>
      <c r="AG1307" s="4" t="s">
        <v>2719</v>
      </c>
    </row>
    <row r="1308" spans="1:33" ht="16.5" customHeight="1" x14ac:dyDescent="0.2">
      <c r="A1308" s="2" t="s">
        <v>31</v>
      </c>
      <c r="B1308" s="19" t="s">
        <v>50</v>
      </c>
      <c r="C1308" s="19"/>
      <c r="D1308" s="19"/>
      <c r="E1308" s="20" t="s">
        <v>33</v>
      </c>
      <c r="F1308" s="20"/>
      <c r="G1308" s="21" t="s">
        <v>2716</v>
      </c>
      <c r="H1308" s="21"/>
      <c r="I1308" s="21"/>
      <c r="J1308" s="3" t="s">
        <v>35</v>
      </c>
      <c r="K1308" s="4" t="s">
        <v>204</v>
      </c>
      <c r="L1308" s="4" t="s">
        <v>37</v>
      </c>
      <c r="N1308" s="21" t="s">
        <v>2852</v>
      </c>
      <c r="O1308" s="21"/>
      <c r="P1308" s="21" t="s">
        <v>2853</v>
      </c>
      <c r="Q1308" s="21"/>
      <c r="R1308" s="21"/>
      <c r="S1308" s="3" t="s">
        <v>40</v>
      </c>
      <c r="T1308" s="21" t="s">
        <v>41</v>
      </c>
      <c r="U1308" s="21"/>
      <c r="V1308" s="4" t="s">
        <v>42</v>
      </c>
      <c r="W1308" s="4" t="s">
        <v>54</v>
      </c>
      <c r="X1308" s="4" t="s">
        <v>55</v>
      </c>
      <c r="Y1308" s="21" t="s">
        <v>198</v>
      </c>
      <c r="Z1308" s="21"/>
      <c r="AA1308" s="4" t="s">
        <v>46</v>
      </c>
      <c r="AB1308" s="4" t="s">
        <v>47</v>
      </c>
      <c r="AC1308" s="4" t="s">
        <v>139</v>
      </c>
      <c r="AD1308" s="4" t="s">
        <v>140</v>
      </c>
      <c r="AE1308" s="4" t="s">
        <v>48</v>
      </c>
      <c r="AF1308" s="4" t="s">
        <v>41</v>
      </c>
      <c r="AG1308" s="4" t="s">
        <v>2719</v>
      </c>
    </row>
    <row r="1309" spans="1:33" ht="16.5" customHeight="1" x14ac:dyDescent="0.2">
      <c r="A1309" s="2" t="s">
        <v>31</v>
      </c>
      <c r="B1309" s="19" t="s">
        <v>50</v>
      </c>
      <c r="C1309" s="19"/>
      <c r="D1309" s="19"/>
      <c r="E1309" s="20" t="s">
        <v>33</v>
      </c>
      <c r="F1309" s="20"/>
      <c r="G1309" s="21" t="s">
        <v>2716</v>
      </c>
      <c r="H1309" s="21"/>
      <c r="I1309" s="21"/>
      <c r="J1309" s="3" t="s">
        <v>35</v>
      </c>
      <c r="K1309" s="4" t="s">
        <v>204</v>
      </c>
      <c r="L1309" s="4" t="s">
        <v>37</v>
      </c>
      <c r="N1309" s="21" t="s">
        <v>2854</v>
      </c>
      <c r="O1309" s="21"/>
      <c r="P1309" s="21" t="s">
        <v>2855</v>
      </c>
      <c r="Q1309" s="21"/>
      <c r="R1309" s="21"/>
      <c r="S1309" s="3" t="s">
        <v>40</v>
      </c>
      <c r="T1309" s="21" t="s">
        <v>41</v>
      </c>
      <c r="U1309" s="21"/>
      <c r="V1309" s="4" t="s">
        <v>42</v>
      </c>
      <c r="W1309" s="4" t="s">
        <v>54</v>
      </c>
      <c r="X1309" s="4" t="s">
        <v>55</v>
      </c>
      <c r="Y1309" s="21" t="s">
        <v>198</v>
      </c>
      <c r="Z1309" s="21"/>
      <c r="AA1309" s="4" t="s">
        <v>46</v>
      </c>
      <c r="AB1309" s="4" t="s">
        <v>47</v>
      </c>
      <c r="AC1309" s="4" t="s">
        <v>139</v>
      </c>
      <c r="AD1309" s="4" t="s">
        <v>140</v>
      </c>
      <c r="AE1309" s="4" t="s">
        <v>48</v>
      </c>
      <c r="AF1309" s="4" t="s">
        <v>41</v>
      </c>
      <c r="AG1309" s="4" t="s">
        <v>2719</v>
      </c>
    </row>
    <row r="1310" spans="1:33" ht="16.5" customHeight="1" x14ac:dyDescent="0.2">
      <c r="A1310" s="2" t="s">
        <v>31</v>
      </c>
      <c r="B1310" s="19" t="s">
        <v>50</v>
      </c>
      <c r="C1310" s="19"/>
      <c r="D1310" s="19"/>
      <c r="E1310" s="20" t="s">
        <v>33</v>
      </c>
      <c r="F1310" s="20"/>
      <c r="G1310" s="21" t="s">
        <v>2716</v>
      </c>
      <c r="H1310" s="21"/>
      <c r="I1310" s="21"/>
      <c r="J1310" s="3" t="s">
        <v>35</v>
      </c>
      <c r="K1310" s="4" t="s">
        <v>193</v>
      </c>
      <c r="L1310" s="4" t="s">
        <v>37</v>
      </c>
      <c r="N1310" s="21" t="s">
        <v>2856</v>
      </c>
      <c r="O1310" s="21"/>
      <c r="P1310" s="21" t="s">
        <v>2857</v>
      </c>
      <c r="Q1310" s="21"/>
      <c r="R1310" s="21"/>
      <c r="S1310" s="3" t="s">
        <v>40</v>
      </c>
      <c r="T1310" s="21" t="s">
        <v>41</v>
      </c>
      <c r="U1310" s="21"/>
      <c r="V1310" s="4" t="s">
        <v>42</v>
      </c>
      <c r="W1310" s="4" t="s">
        <v>130</v>
      </c>
      <c r="X1310" s="4" t="s">
        <v>60</v>
      </c>
      <c r="Y1310" s="21" t="s">
        <v>198</v>
      </c>
      <c r="Z1310" s="21"/>
      <c r="AA1310" s="4" t="s">
        <v>46</v>
      </c>
      <c r="AB1310" s="4" t="s">
        <v>47</v>
      </c>
      <c r="AC1310" s="4" t="s">
        <v>139</v>
      </c>
      <c r="AD1310" s="4" t="s">
        <v>140</v>
      </c>
      <c r="AE1310" s="4" t="s">
        <v>48</v>
      </c>
      <c r="AF1310" s="4" t="s">
        <v>41</v>
      </c>
      <c r="AG1310" s="4" t="s">
        <v>2719</v>
      </c>
    </row>
    <row r="1311" spans="1:33" ht="16.5" customHeight="1" x14ac:dyDescent="0.2">
      <c r="A1311" s="2" t="s">
        <v>31</v>
      </c>
      <c r="B1311" s="19" t="s">
        <v>50</v>
      </c>
      <c r="C1311" s="19"/>
      <c r="D1311" s="19"/>
      <c r="E1311" s="20" t="s">
        <v>33</v>
      </c>
      <c r="F1311" s="20"/>
      <c r="G1311" s="21" t="s">
        <v>2716</v>
      </c>
      <c r="H1311" s="21"/>
      <c r="I1311" s="21"/>
      <c r="J1311" s="3" t="s">
        <v>35</v>
      </c>
      <c r="K1311" s="4" t="s">
        <v>193</v>
      </c>
      <c r="L1311" s="4" t="s">
        <v>68</v>
      </c>
      <c r="N1311" s="21" t="s">
        <v>2858</v>
      </c>
      <c r="O1311" s="21"/>
      <c r="P1311" s="21" t="s">
        <v>2859</v>
      </c>
      <c r="Q1311" s="21"/>
      <c r="R1311" s="21"/>
      <c r="S1311" s="3" t="s">
        <v>40</v>
      </c>
      <c r="T1311" s="21" t="s">
        <v>41</v>
      </c>
      <c r="U1311" s="21"/>
      <c r="V1311" s="4" t="s">
        <v>42</v>
      </c>
      <c r="W1311" s="4" t="s">
        <v>130</v>
      </c>
      <c r="X1311" s="4" t="s">
        <v>60</v>
      </c>
      <c r="Y1311" s="21" t="s">
        <v>198</v>
      </c>
      <c r="Z1311" s="21"/>
      <c r="AA1311" s="4" t="s">
        <v>46</v>
      </c>
      <c r="AB1311" s="4" t="s">
        <v>47</v>
      </c>
      <c r="AC1311" s="4" t="s">
        <v>139</v>
      </c>
      <c r="AD1311" s="4" t="s">
        <v>151</v>
      </c>
      <c r="AE1311" s="4" t="s">
        <v>48</v>
      </c>
      <c r="AF1311" s="4" t="s">
        <v>41</v>
      </c>
      <c r="AG1311" s="4" t="s">
        <v>2719</v>
      </c>
    </row>
    <row r="1312" spans="1:33" ht="16.5" customHeight="1" x14ac:dyDescent="0.2">
      <c r="A1312" s="2" t="s">
        <v>31</v>
      </c>
      <c r="B1312" s="19" t="s">
        <v>50</v>
      </c>
      <c r="C1312" s="19"/>
      <c r="D1312" s="19"/>
      <c r="E1312" s="20" t="s">
        <v>33</v>
      </c>
      <c r="F1312" s="20"/>
      <c r="G1312" s="21" t="s">
        <v>2716</v>
      </c>
      <c r="H1312" s="21"/>
      <c r="I1312" s="21"/>
      <c r="J1312" s="3" t="s">
        <v>35</v>
      </c>
      <c r="K1312" s="4" t="s">
        <v>204</v>
      </c>
      <c r="L1312" s="4" t="s">
        <v>37</v>
      </c>
      <c r="N1312" s="21" t="s">
        <v>2860</v>
      </c>
      <c r="O1312" s="21"/>
      <c r="P1312" s="21" t="s">
        <v>2861</v>
      </c>
      <c r="Q1312" s="21"/>
      <c r="R1312" s="21"/>
      <c r="S1312" s="3" t="s">
        <v>40</v>
      </c>
      <c r="T1312" s="21" t="s">
        <v>41</v>
      </c>
      <c r="U1312" s="21"/>
      <c r="V1312" s="4" t="s">
        <v>42</v>
      </c>
      <c r="W1312" s="4" t="s">
        <v>130</v>
      </c>
      <c r="X1312" s="4" t="s">
        <v>60</v>
      </c>
      <c r="Y1312" s="21" t="s">
        <v>198</v>
      </c>
      <c r="Z1312" s="21"/>
      <c r="AA1312" s="4" t="s">
        <v>46</v>
      </c>
      <c r="AB1312" s="4" t="s">
        <v>47</v>
      </c>
      <c r="AC1312" s="4" t="s">
        <v>139</v>
      </c>
      <c r="AD1312" s="4" t="s">
        <v>140</v>
      </c>
      <c r="AE1312" s="4" t="s">
        <v>48</v>
      </c>
      <c r="AF1312" s="4" t="s">
        <v>41</v>
      </c>
      <c r="AG1312" s="4" t="s">
        <v>2719</v>
      </c>
    </row>
    <row r="1313" spans="1:33" ht="16.5" customHeight="1" x14ac:dyDescent="0.2">
      <c r="A1313" s="2" t="s">
        <v>31</v>
      </c>
      <c r="B1313" s="19" t="s">
        <v>50</v>
      </c>
      <c r="C1313" s="19"/>
      <c r="D1313" s="19"/>
      <c r="E1313" s="20" t="s">
        <v>33</v>
      </c>
      <c r="F1313" s="20"/>
      <c r="G1313" s="21" t="s">
        <v>2716</v>
      </c>
      <c r="H1313" s="21"/>
      <c r="I1313" s="21"/>
      <c r="J1313" s="3" t="s">
        <v>35</v>
      </c>
      <c r="K1313" s="4" t="s">
        <v>204</v>
      </c>
      <c r="L1313" s="4" t="s">
        <v>37</v>
      </c>
      <c r="N1313" s="21" t="s">
        <v>2862</v>
      </c>
      <c r="O1313" s="21"/>
      <c r="P1313" s="21" t="s">
        <v>2863</v>
      </c>
      <c r="Q1313" s="21"/>
      <c r="R1313" s="21"/>
      <c r="S1313" s="3" t="s">
        <v>40</v>
      </c>
      <c r="T1313" s="21" t="s">
        <v>41</v>
      </c>
      <c r="U1313" s="21"/>
      <c r="V1313" s="4" t="s">
        <v>42</v>
      </c>
      <c r="W1313" s="4" t="s">
        <v>130</v>
      </c>
      <c r="X1313" s="4" t="s">
        <v>60</v>
      </c>
      <c r="Y1313" s="21" t="s">
        <v>198</v>
      </c>
      <c r="Z1313" s="21"/>
      <c r="AA1313" s="4" t="s">
        <v>46</v>
      </c>
      <c r="AB1313" s="4" t="s">
        <v>47</v>
      </c>
      <c r="AC1313" s="4" t="s">
        <v>139</v>
      </c>
      <c r="AD1313" s="4" t="s">
        <v>140</v>
      </c>
      <c r="AE1313" s="4" t="s">
        <v>48</v>
      </c>
      <c r="AF1313" s="4" t="s">
        <v>41</v>
      </c>
      <c r="AG1313" s="4" t="s">
        <v>2719</v>
      </c>
    </row>
    <row r="1314" spans="1:33" ht="16.5" customHeight="1" x14ac:dyDescent="0.2">
      <c r="A1314" s="2" t="s">
        <v>31</v>
      </c>
      <c r="B1314" s="19" t="s">
        <v>50</v>
      </c>
      <c r="C1314" s="19"/>
      <c r="D1314" s="19"/>
      <c r="E1314" s="20" t="s">
        <v>33</v>
      </c>
      <c r="F1314" s="20"/>
      <c r="G1314" s="21" t="s">
        <v>2716</v>
      </c>
      <c r="H1314" s="21"/>
      <c r="I1314" s="21"/>
      <c r="J1314" s="3" t="s">
        <v>35</v>
      </c>
      <c r="K1314" s="4" t="s">
        <v>193</v>
      </c>
      <c r="L1314" s="4" t="s">
        <v>68</v>
      </c>
      <c r="N1314" s="21" t="s">
        <v>2864</v>
      </c>
      <c r="O1314" s="21"/>
      <c r="P1314" s="21" t="s">
        <v>2865</v>
      </c>
      <c r="Q1314" s="21"/>
      <c r="R1314" s="21"/>
      <c r="S1314" s="3" t="s">
        <v>40</v>
      </c>
      <c r="T1314" s="21" t="s">
        <v>41</v>
      </c>
      <c r="U1314" s="21"/>
      <c r="V1314" s="4" t="s">
        <v>42</v>
      </c>
      <c r="W1314" s="4" t="s">
        <v>130</v>
      </c>
      <c r="X1314" s="4" t="s">
        <v>60</v>
      </c>
      <c r="Y1314" s="21" t="s">
        <v>198</v>
      </c>
      <c r="Z1314" s="21"/>
      <c r="AA1314" s="4" t="s">
        <v>46</v>
      </c>
      <c r="AB1314" s="4" t="s">
        <v>47</v>
      </c>
      <c r="AC1314" s="4" t="s">
        <v>139</v>
      </c>
      <c r="AD1314" s="4" t="s">
        <v>151</v>
      </c>
      <c r="AE1314" s="4" t="s">
        <v>48</v>
      </c>
      <c r="AF1314" s="4" t="s">
        <v>41</v>
      </c>
      <c r="AG1314" s="4" t="s">
        <v>2719</v>
      </c>
    </row>
    <row r="1315" spans="1:33" ht="16.5" customHeight="1" x14ac:dyDescent="0.2">
      <c r="A1315" s="2" t="s">
        <v>31</v>
      </c>
      <c r="B1315" s="19" t="s">
        <v>50</v>
      </c>
      <c r="C1315" s="19"/>
      <c r="D1315" s="19"/>
      <c r="E1315" s="20" t="s">
        <v>33</v>
      </c>
      <c r="F1315" s="20"/>
      <c r="G1315" s="21" t="s">
        <v>2716</v>
      </c>
      <c r="H1315" s="21"/>
      <c r="I1315" s="21"/>
      <c r="J1315" s="3" t="s">
        <v>35</v>
      </c>
      <c r="K1315" s="4" t="s">
        <v>204</v>
      </c>
      <c r="L1315" s="4" t="s">
        <v>37</v>
      </c>
      <c r="N1315" s="21" t="s">
        <v>2866</v>
      </c>
      <c r="O1315" s="21"/>
      <c r="P1315" s="21" t="s">
        <v>2867</v>
      </c>
      <c r="Q1315" s="21"/>
      <c r="R1315" s="21"/>
      <c r="S1315" s="3" t="s">
        <v>40</v>
      </c>
      <c r="T1315" s="21" t="s">
        <v>41</v>
      </c>
      <c r="U1315" s="21"/>
      <c r="V1315" s="4" t="s">
        <v>42</v>
      </c>
      <c r="W1315" s="4" t="s">
        <v>130</v>
      </c>
      <c r="X1315" s="4" t="s">
        <v>60</v>
      </c>
      <c r="Y1315" s="21" t="s">
        <v>198</v>
      </c>
      <c r="Z1315" s="21"/>
      <c r="AA1315" s="4" t="s">
        <v>46</v>
      </c>
      <c r="AB1315" s="4" t="s">
        <v>47</v>
      </c>
      <c r="AC1315" s="4" t="s">
        <v>139</v>
      </c>
      <c r="AD1315" s="4" t="s">
        <v>140</v>
      </c>
      <c r="AE1315" s="4" t="s">
        <v>48</v>
      </c>
      <c r="AF1315" s="4" t="s">
        <v>41</v>
      </c>
      <c r="AG1315" s="4" t="s">
        <v>2719</v>
      </c>
    </row>
    <row r="1316" spans="1:33" ht="16.5" customHeight="1" x14ac:dyDescent="0.2">
      <c r="A1316" s="2" t="s">
        <v>31</v>
      </c>
      <c r="B1316" s="19" t="s">
        <v>50</v>
      </c>
      <c r="C1316" s="19"/>
      <c r="D1316" s="19"/>
      <c r="E1316" s="20" t="s">
        <v>33</v>
      </c>
      <c r="F1316" s="20"/>
      <c r="G1316" s="21" t="s">
        <v>2716</v>
      </c>
      <c r="H1316" s="21"/>
      <c r="I1316" s="21"/>
      <c r="J1316" s="3" t="s">
        <v>35</v>
      </c>
      <c r="K1316" s="4" t="s">
        <v>204</v>
      </c>
      <c r="L1316" s="4" t="s">
        <v>37</v>
      </c>
      <c r="N1316" s="21" t="s">
        <v>2866</v>
      </c>
      <c r="O1316" s="21"/>
      <c r="P1316" s="21" t="s">
        <v>2867</v>
      </c>
      <c r="Q1316" s="21"/>
      <c r="R1316" s="21"/>
      <c r="S1316" s="3" t="s">
        <v>40</v>
      </c>
      <c r="T1316" s="21" t="s">
        <v>41</v>
      </c>
      <c r="U1316" s="21"/>
      <c r="V1316" s="4" t="s">
        <v>59</v>
      </c>
      <c r="W1316" s="4" t="s">
        <v>130</v>
      </c>
      <c r="X1316" s="4" t="s">
        <v>131</v>
      </c>
      <c r="Y1316" s="21" t="s">
        <v>198</v>
      </c>
      <c r="Z1316" s="21"/>
      <c r="AA1316" s="4" t="s">
        <v>46</v>
      </c>
      <c r="AB1316" s="4" t="s">
        <v>47</v>
      </c>
      <c r="AC1316" s="4" t="s">
        <v>139</v>
      </c>
      <c r="AD1316" s="4" t="s">
        <v>140</v>
      </c>
      <c r="AE1316" s="4" t="s">
        <v>48</v>
      </c>
      <c r="AF1316" s="4" t="s">
        <v>41</v>
      </c>
      <c r="AG1316" s="4" t="s">
        <v>2719</v>
      </c>
    </row>
    <row r="1317" spans="1:33" ht="16.5" customHeight="1" x14ac:dyDescent="0.2">
      <c r="A1317" s="2" t="s">
        <v>31</v>
      </c>
      <c r="B1317" s="19" t="s">
        <v>50</v>
      </c>
      <c r="C1317" s="19"/>
      <c r="D1317" s="19"/>
      <c r="E1317" s="20" t="s">
        <v>33</v>
      </c>
      <c r="F1317" s="20"/>
      <c r="G1317" s="21" t="s">
        <v>2716</v>
      </c>
      <c r="H1317" s="21"/>
      <c r="I1317" s="21"/>
      <c r="J1317" s="3" t="s">
        <v>35</v>
      </c>
      <c r="K1317" s="4" t="s">
        <v>193</v>
      </c>
      <c r="L1317" s="4" t="s">
        <v>37</v>
      </c>
      <c r="N1317" s="21" t="s">
        <v>2868</v>
      </c>
      <c r="O1317" s="21"/>
      <c r="P1317" s="21" t="s">
        <v>2869</v>
      </c>
      <c r="Q1317" s="21"/>
      <c r="R1317" s="21"/>
      <c r="S1317" s="3" t="s">
        <v>40</v>
      </c>
      <c r="T1317" s="21" t="s">
        <v>41</v>
      </c>
      <c r="U1317" s="21"/>
      <c r="V1317" s="4" t="s">
        <v>42</v>
      </c>
      <c r="W1317" s="4" t="s">
        <v>59</v>
      </c>
      <c r="X1317" s="4" t="s">
        <v>131</v>
      </c>
      <c r="Y1317" s="21" t="s">
        <v>198</v>
      </c>
      <c r="Z1317" s="21"/>
      <c r="AA1317" s="4" t="s">
        <v>46</v>
      </c>
      <c r="AB1317" s="4" t="s">
        <v>47</v>
      </c>
      <c r="AC1317" s="4" t="s">
        <v>139</v>
      </c>
      <c r="AD1317" s="4" t="s">
        <v>140</v>
      </c>
      <c r="AE1317" s="4" t="s">
        <v>48</v>
      </c>
      <c r="AF1317" s="4" t="s">
        <v>41</v>
      </c>
      <c r="AG1317" s="4" t="s">
        <v>2719</v>
      </c>
    </row>
    <row r="1318" spans="1:33" ht="16.5" customHeight="1" x14ac:dyDescent="0.2">
      <c r="A1318" s="2" t="s">
        <v>31</v>
      </c>
      <c r="B1318" s="19" t="s">
        <v>50</v>
      </c>
      <c r="C1318" s="19"/>
      <c r="D1318" s="19"/>
      <c r="E1318" s="20" t="s">
        <v>33</v>
      </c>
      <c r="F1318" s="20"/>
      <c r="G1318" s="21" t="s">
        <v>2716</v>
      </c>
      <c r="H1318" s="21"/>
      <c r="I1318" s="21"/>
      <c r="J1318" s="3" t="s">
        <v>35</v>
      </c>
      <c r="K1318" s="4" t="s">
        <v>193</v>
      </c>
      <c r="L1318" s="4" t="s">
        <v>68</v>
      </c>
      <c r="N1318" s="21" t="s">
        <v>2870</v>
      </c>
      <c r="O1318" s="21"/>
      <c r="P1318" s="21" t="s">
        <v>2871</v>
      </c>
      <c r="Q1318" s="21"/>
      <c r="R1318" s="21"/>
      <c r="S1318" s="3" t="s">
        <v>40</v>
      </c>
      <c r="T1318" s="21" t="s">
        <v>41</v>
      </c>
      <c r="U1318" s="21"/>
      <c r="V1318" s="4" t="s">
        <v>42</v>
      </c>
      <c r="W1318" s="4" t="s">
        <v>59</v>
      </c>
      <c r="X1318" s="4" t="s">
        <v>131</v>
      </c>
      <c r="Y1318" s="21" t="s">
        <v>198</v>
      </c>
      <c r="Z1318" s="21"/>
      <c r="AA1318" s="4" t="s">
        <v>46</v>
      </c>
      <c r="AB1318" s="4" t="s">
        <v>47</v>
      </c>
      <c r="AC1318" s="4" t="s">
        <v>139</v>
      </c>
      <c r="AD1318" s="4" t="s">
        <v>151</v>
      </c>
      <c r="AE1318" s="4" t="s">
        <v>48</v>
      </c>
      <c r="AF1318" s="4" t="s">
        <v>41</v>
      </c>
      <c r="AG1318" s="4" t="s">
        <v>2719</v>
      </c>
    </row>
    <row r="1319" spans="1:33" ht="16.5" customHeight="1" x14ac:dyDescent="0.2">
      <c r="A1319" s="2" t="s">
        <v>31</v>
      </c>
      <c r="B1319" s="19" t="s">
        <v>50</v>
      </c>
      <c r="C1319" s="19"/>
      <c r="D1319" s="19"/>
      <c r="E1319" s="20" t="s">
        <v>33</v>
      </c>
      <c r="F1319" s="20"/>
      <c r="G1319" s="21" t="s">
        <v>2716</v>
      </c>
      <c r="H1319" s="21"/>
      <c r="I1319" s="21"/>
      <c r="J1319" s="3" t="s">
        <v>35</v>
      </c>
      <c r="K1319" s="4" t="s">
        <v>204</v>
      </c>
      <c r="L1319" s="4" t="s">
        <v>37</v>
      </c>
      <c r="N1319" s="21" t="s">
        <v>2872</v>
      </c>
      <c r="O1319" s="21"/>
      <c r="P1319" s="21" t="s">
        <v>2873</v>
      </c>
      <c r="Q1319" s="21"/>
      <c r="R1319" s="21"/>
      <c r="S1319" s="3" t="s">
        <v>40</v>
      </c>
      <c r="T1319" s="21" t="s">
        <v>41</v>
      </c>
      <c r="U1319" s="21"/>
      <c r="V1319" s="4" t="s">
        <v>42</v>
      </c>
      <c r="W1319" s="4" t="s">
        <v>59</v>
      </c>
      <c r="X1319" s="4" t="s">
        <v>131</v>
      </c>
      <c r="Y1319" s="21" t="s">
        <v>198</v>
      </c>
      <c r="Z1319" s="21"/>
      <c r="AA1319" s="4" t="s">
        <v>46</v>
      </c>
      <c r="AB1319" s="4" t="s">
        <v>47</v>
      </c>
      <c r="AC1319" s="4" t="s">
        <v>139</v>
      </c>
      <c r="AD1319" s="4" t="s">
        <v>140</v>
      </c>
      <c r="AE1319" s="4" t="s">
        <v>48</v>
      </c>
      <c r="AF1319" s="4" t="s">
        <v>41</v>
      </c>
      <c r="AG1319" s="4" t="s">
        <v>2719</v>
      </c>
    </row>
    <row r="1320" spans="1:33" ht="16.5" customHeight="1" x14ac:dyDescent="0.2">
      <c r="A1320" s="2" t="s">
        <v>31</v>
      </c>
      <c r="B1320" s="19" t="s">
        <v>50</v>
      </c>
      <c r="C1320" s="19"/>
      <c r="D1320" s="19"/>
      <c r="E1320" s="20" t="s">
        <v>33</v>
      </c>
      <c r="F1320" s="20"/>
      <c r="G1320" s="21" t="s">
        <v>2716</v>
      </c>
      <c r="H1320" s="21"/>
      <c r="I1320" s="21"/>
      <c r="J1320" s="3" t="s">
        <v>35</v>
      </c>
      <c r="K1320" s="4" t="s">
        <v>204</v>
      </c>
      <c r="L1320" s="4" t="s">
        <v>37</v>
      </c>
      <c r="N1320" s="21" t="s">
        <v>2874</v>
      </c>
      <c r="O1320" s="21"/>
      <c r="P1320" s="21" t="s">
        <v>2875</v>
      </c>
      <c r="Q1320" s="21"/>
      <c r="R1320" s="21"/>
      <c r="S1320" s="3" t="s">
        <v>40</v>
      </c>
      <c r="T1320" s="21" t="s">
        <v>41</v>
      </c>
      <c r="U1320" s="21"/>
      <c r="V1320" s="4" t="s">
        <v>42</v>
      </c>
      <c r="W1320" s="4" t="s">
        <v>59</v>
      </c>
      <c r="X1320" s="4" t="s">
        <v>131</v>
      </c>
      <c r="Y1320" s="21" t="s">
        <v>198</v>
      </c>
      <c r="Z1320" s="21"/>
      <c r="AA1320" s="4" t="s">
        <v>46</v>
      </c>
      <c r="AB1320" s="4" t="s">
        <v>47</v>
      </c>
      <c r="AC1320" s="4" t="s">
        <v>139</v>
      </c>
      <c r="AD1320" s="4" t="s">
        <v>140</v>
      </c>
      <c r="AE1320" s="4" t="s">
        <v>48</v>
      </c>
      <c r="AF1320" s="4" t="s">
        <v>41</v>
      </c>
      <c r="AG1320" s="4" t="s">
        <v>2719</v>
      </c>
    </row>
    <row r="1321" spans="1:33" ht="16.5" customHeight="1" x14ac:dyDescent="0.2">
      <c r="A1321" s="2" t="s">
        <v>31</v>
      </c>
      <c r="B1321" s="19" t="s">
        <v>50</v>
      </c>
      <c r="C1321" s="19"/>
      <c r="D1321" s="19"/>
      <c r="E1321" s="20" t="s">
        <v>33</v>
      </c>
      <c r="F1321" s="20"/>
      <c r="G1321" s="21" t="s">
        <v>2716</v>
      </c>
      <c r="H1321" s="21"/>
      <c r="I1321" s="21"/>
      <c r="J1321" s="3" t="s">
        <v>35</v>
      </c>
      <c r="K1321" s="4" t="s">
        <v>193</v>
      </c>
      <c r="L1321" s="4" t="s">
        <v>68</v>
      </c>
      <c r="N1321" s="21" t="s">
        <v>2876</v>
      </c>
      <c r="O1321" s="21"/>
      <c r="P1321" s="21" t="s">
        <v>2877</v>
      </c>
      <c r="Q1321" s="21"/>
      <c r="R1321" s="21"/>
      <c r="S1321" s="3" t="s">
        <v>40</v>
      </c>
      <c r="T1321" s="21" t="s">
        <v>41</v>
      </c>
      <c r="U1321" s="21"/>
      <c r="V1321" s="4" t="s">
        <v>42</v>
      </c>
      <c r="W1321" s="4" t="s">
        <v>59</v>
      </c>
      <c r="X1321" s="4" t="s">
        <v>131</v>
      </c>
      <c r="Y1321" s="21" t="s">
        <v>198</v>
      </c>
      <c r="Z1321" s="21"/>
      <c r="AA1321" s="4" t="s">
        <v>46</v>
      </c>
      <c r="AB1321" s="4" t="s">
        <v>47</v>
      </c>
      <c r="AC1321" s="4" t="s">
        <v>139</v>
      </c>
      <c r="AD1321" s="4" t="s">
        <v>151</v>
      </c>
      <c r="AE1321" s="4" t="s">
        <v>48</v>
      </c>
      <c r="AF1321" s="4" t="s">
        <v>41</v>
      </c>
      <c r="AG1321" s="4" t="s">
        <v>2719</v>
      </c>
    </row>
    <row r="1322" spans="1:33" ht="16.5" customHeight="1" x14ac:dyDescent="0.2">
      <c r="A1322" s="2" t="s">
        <v>31</v>
      </c>
      <c r="B1322" s="19" t="s">
        <v>50</v>
      </c>
      <c r="C1322" s="19"/>
      <c r="D1322" s="19"/>
      <c r="E1322" s="20" t="s">
        <v>33</v>
      </c>
      <c r="F1322" s="20"/>
      <c r="G1322" s="21" t="s">
        <v>2716</v>
      </c>
      <c r="H1322" s="21"/>
      <c r="I1322" s="21"/>
      <c r="J1322" s="3" t="s">
        <v>35</v>
      </c>
      <c r="K1322" s="4" t="s">
        <v>204</v>
      </c>
      <c r="L1322" s="4" t="s">
        <v>37</v>
      </c>
      <c r="N1322" s="21" t="s">
        <v>2878</v>
      </c>
      <c r="O1322" s="21"/>
      <c r="P1322" s="21" t="s">
        <v>2879</v>
      </c>
      <c r="Q1322" s="21"/>
      <c r="R1322" s="21"/>
      <c r="S1322" s="3" t="s">
        <v>40</v>
      </c>
      <c r="T1322" s="21" t="s">
        <v>41</v>
      </c>
      <c r="U1322" s="21"/>
      <c r="V1322" s="4" t="s">
        <v>42</v>
      </c>
      <c r="W1322" s="4" t="s">
        <v>59</v>
      </c>
      <c r="X1322" s="4" t="s">
        <v>131</v>
      </c>
      <c r="Y1322" s="21" t="s">
        <v>198</v>
      </c>
      <c r="Z1322" s="21"/>
      <c r="AA1322" s="4" t="s">
        <v>46</v>
      </c>
      <c r="AB1322" s="4" t="s">
        <v>47</v>
      </c>
      <c r="AC1322" s="4" t="s">
        <v>139</v>
      </c>
      <c r="AD1322" s="4" t="s">
        <v>140</v>
      </c>
      <c r="AE1322" s="4" t="s">
        <v>48</v>
      </c>
      <c r="AF1322" s="4" t="s">
        <v>41</v>
      </c>
      <c r="AG1322" s="4" t="s">
        <v>2719</v>
      </c>
    </row>
    <row r="1323" spans="1:33" ht="16.5" customHeight="1" x14ac:dyDescent="0.2">
      <c r="A1323" s="2" t="s">
        <v>31</v>
      </c>
      <c r="B1323" s="19" t="s">
        <v>50</v>
      </c>
      <c r="C1323" s="19"/>
      <c r="D1323" s="19"/>
      <c r="E1323" s="20" t="s">
        <v>33</v>
      </c>
      <c r="F1323" s="20"/>
      <c r="G1323" s="21" t="s">
        <v>2880</v>
      </c>
      <c r="H1323" s="21"/>
      <c r="I1323" s="21"/>
      <c r="J1323" s="3" t="s">
        <v>35</v>
      </c>
      <c r="K1323" s="4" t="s">
        <v>247</v>
      </c>
      <c r="L1323" s="4" t="s">
        <v>68</v>
      </c>
      <c r="N1323" s="21" t="s">
        <v>2881</v>
      </c>
      <c r="O1323" s="21"/>
      <c r="P1323" s="21" t="s">
        <v>2882</v>
      </c>
      <c r="Q1323" s="21"/>
      <c r="R1323" s="21"/>
      <c r="S1323" s="3" t="s">
        <v>40</v>
      </c>
      <c r="T1323" s="21" t="s">
        <v>41</v>
      </c>
      <c r="U1323" s="21"/>
      <c r="V1323" s="4" t="s">
        <v>42</v>
      </c>
      <c r="W1323" s="4" t="s">
        <v>229</v>
      </c>
      <c r="X1323" s="4" t="s">
        <v>448</v>
      </c>
      <c r="Y1323" s="21" t="s">
        <v>65</v>
      </c>
      <c r="Z1323" s="21"/>
      <c r="AA1323" s="4" t="s">
        <v>46</v>
      </c>
      <c r="AB1323" s="4" t="s">
        <v>47</v>
      </c>
      <c r="AC1323" s="4" t="s">
        <v>57</v>
      </c>
      <c r="AD1323" s="4" t="s">
        <v>98</v>
      </c>
      <c r="AE1323" s="4" t="s">
        <v>48</v>
      </c>
      <c r="AF1323" s="4" t="s">
        <v>41</v>
      </c>
      <c r="AG1323" s="4" t="s">
        <v>2883</v>
      </c>
    </row>
    <row r="1324" spans="1:33" ht="16.5" customHeight="1" x14ac:dyDescent="0.2">
      <c r="A1324" s="2" t="s">
        <v>31</v>
      </c>
      <c r="B1324" s="19" t="s">
        <v>50</v>
      </c>
      <c r="C1324" s="19"/>
      <c r="D1324" s="19"/>
      <c r="E1324" s="20" t="s">
        <v>33</v>
      </c>
      <c r="F1324" s="20"/>
      <c r="G1324" s="21" t="s">
        <v>2880</v>
      </c>
      <c r="H1324" s="21"/>
      <c r="I1324" s="21"/>
      <c r="J1324" s="3" t="s">
        <v>35</v>
      </c>
      <c r="K1324" s="4" t="s">
        <v>152</v>
      </c>
      <c r="L1324" s="4" t="s">
        <v>37</v>
      </c>
      <c r="N1324" s="21" t="s">
        <v>2884</v>
      </c>
      <c r="O1324" s="21"/>
      <c r="P1324" s="21" t="s">
        <v>2885</v>
      </c>
      <c r="Q1324" s="21"/>
      <c r="R1324" s="21"/>
      <c r="S1324" s="3" t="s">
        <v>40</v>
      </c>
      <c r="T1324" s="21" t="s">
        <v>41</v>
      </c>
      <c r="U1324" s="21"/>
      <c r="V1324" s="4" t="s">
        <v>42</v>
      </c>
      <c r="W1324" s="4" t="s">
        <v>217</v>
      </c>
      <c r="X1324" s="4" t="s">
        <v>218</v>
      </c>
      <c r="Y1324" s="21" t="s">
        <v>56</v>
      </c>
      <c r="Z1324" s="21"/>
      <c r="AA1324" s="4" t="s">
        <v>46</v>
      </c>
      <c r="AB1324" s="4" t="s">
        <v>47</v>
      </c>
      <c r="AC1324" s="4" t="s">
        <v>139</v>
      </c>
      <c r="AD1324" s="4" t="s">
        <v>140</v>
      </c>
      <c r="AE1324" s="4" t="s">
        <v>48</v>
      </c>
      <c r="AF1324" s="4" t="s">
        <v>41</v>
      </c>
      <c r="AG1324" s="4" t="s">
        <v>2883</v>
      </c>
    </row>
    <row r="1325" spans="1:33" ht="16.5" customHeight="1" x14ac:dyDescent="0.2">
      <c r="A1325" s="2" t="s">
        <v>31</v>
      </c>
      <c r="B1325" s="19" t="s">
        <v>50</v>
      </c>
      <c r="C1325" s="19"/>
      <c r="D1325" s="19"/>
      <c r="E1325" s="20" t="s">
        <v>33</v>
      </c>
      <c r="F1325" s="20"/>
      <c r="G1325" s="21" t="s">
        <v>2880</v>
      </c>
      <c r="H1325" s="21"/>
      <c r="I1325" s="21"/>
      <c r="J1325" s="3" t="s">
        <v>35</v>
      </c>
      <c r="K1325" s="4" t="s">
        <v>169</v>
      </c>
      <c r="L1325" s="4" t="s">
        <v>37</v>
      </c>
      <c r="N1325" s="21" t="s">
        <v>2886</v>
      </c>
      <c r="O1325" s="21"/>
      <c r="P1325" s="21" t="s">
        <v>2887</v>
      </c>
      <c r="Q1325" s="21"/>
      <c r="R1325" s="21"/>
      <c r="S1325" s="3" t="s">
        <v>40</v>
      </c>
      <c r="T1325" s="21" t="s">
        <v>41</v>
      </c>
      <c r="U1325" s="21"/>
      <c r="V1325" s="4" t="s">
        <v>42</v>
      </c>
      <c r="W1325" s="4" t="s">
        <v>1103</v>
      </c>
      <c r="X1325" s="4" t="s">
        <v>1104</v>
      </c>
      <c r="Y1325" s="21" t="s">
        <v>56</v>
      </c>
      <c r="Z1325" s="21"/>
      <c r="AA1325" s="4" t="s">
        <v>46</v>
      </c>
      <c r="AB1325" s="4" t="s">
        <v>47</v>
      </c>
      <c r="AC1325" s="4" t="s">
        <v>139</v>
      </c>
      <c r="AD1325" s="4" t="s">
        <v>140</v>
      </c>
      <c r="AE1325" s="4" t="s">
        <v>48</v>
      </c>
      <c r="AF1325" s="4" t="s">
        <v>41</v>
      </c>
      <c r="AG1325" s="4" t="s">
        <v>2883</v>
      </c>
    </row>
    <row r="1326" spans="1:33" ht="16.5" customHeight="1" x14ac:dyDescent="0.2">
      <c r="A1326" s="2" t="s">
        <v>31</v>
      </c>
      <c r="B1326" s="19" t="s">
        <v>50</v>
      </c>
      <c r="C1326" s="19"/>
      <c r="D1326" s="19"/>
      <c r="E1326" s="20" t="s">
        <v>33</v>
      </c>
      <c r="F1326" s="20"/>
      <c r="G1326" s="21" t="s">
        <v>2880</v>
      </c>
      <c r="H1326" s="21"/>
      <c r="I1326" s="21"/>
      <c r="J1326" s="3" t="s">
        <v>35</v>
      </c>
      <c r="K1326" s="4" t="s">
        <v>74</v>
      </c>
      <c r="L1326" s="4" t="s">
        <v>37</v>
      </c>
      <c r="N1326" s="21" t="s">
        <v>2888</v>
      </c>
      <c r="O1326" s="21"/>
      <c r="P1326" s="21" t="s">
        <v>2889</v>
      </c>
      <c r="Q1326" s="21"/>
      <c r="R1326" s="21"/>
      <c r="S1326" s="3" t="s">
        <v>40</v>
      </c>
      <c r="T1326" s="21" t="s">
        <v>41</v>
      </c>
      <c r="U1326" s="21"/>
      <c r="V1326" s="4" t="s">
        <v>42</v>
      </c>
      <c r="W1326" s="4" t="s">
        <v>108</v>
      </c>
      <c r="X1326" s="4" t="s">
        <v>109</v>
      </c>
      <c r="Y1326" s="21" t="s">
        <v>65</v>
      </c>
      <c r="Z1326" s="21"/>
      <c r="AA1326" s="4" t="s">
        <v>46</v>
      </c>
      <c r="AB1326" s="4" t="s">
        <v>47</v>
      </c>
      <c r="AC1326" s="4" t="s">
        <v>66</v>
      </c>
      <c r="AD1326" s="4" t="s">
        <v>73</v>
      </c>
      <c r="AE1326" s="4" t="s">
        <v>48</v>
      </c>
      <c r="AF1326" s="4" t="s">
        <v>41</v>
      </c>
      <c r="AG1326" s="4" t="s">
        <v>2883</v>
      </c>
    </row>
    <row r="1327" spans="1:33" ht="16.5" customHeight="1" x14ac:dyDescent="0.2">
      <c r="A1327" s="2" t="s">
        <v>31</v>
      </c>
      <c r="B1327" s="19" t="s">
        <v>50</v>
      </c>
      <c r="C1327" s="19"/>
      <c r="D1327" s="19"/>
      <c r="E1327" s="20" t="s">
        <v>33</v>
      </c>
      <c r="F1327" s="20"/>
      <c r="G1327" s="21" t="s">
        <v>2880</v>
      </c>
      <c r="H1327" s="21"/>
      <c r="I1327" s="21"/>
      <c r="J1327" s="3" t="s">
        <v>35</v>
      </c>
      <c r="K1327" s="4" t="s">
        <v>74</v>
      </c>
      <c r="L1327" s="4" t="s">
        <v>37</v>
      </c>
      <c r="N1327" s="21" t="s">
        <v>2888</v>
      </c>
      <c r="O1327" s="21"/>
      <c r="P1327" s="21" t="s">
        <v>2889</v>
      </c>
      <c r="Q1327" s="21"/>
      <c r="R1327" s="21"/>
      <c r="S1327" s="3" t="s">
        <v>40</v>
      </c>
      <c r="T1327" s="21" t="s">
        <v>41</v>
      </c>
      <c r="U1327" s="21"/>
      <c r="V1327" s="4" t="s">
        <v>59</v>
      </c>
      <c r="W1327" s="4" t="s">
        <v>108</v>
      </c>
      <c r="X1327" s="4" t="s">
        <v>382</v>
      </c>
      <c r="Y1327" s="21" t="s">
        <v>65</v>
      </c>
      <c r="Z1327" s="21"/>
      <c r="AA1327" s="4" t="s">
        <v>46</v>
      </c>
      <c r="AB1327" s="4" t="s">
        <v>47</v>
      </c>
      <c r="AC1327" s="4" t="s">
        <v>66</v>
      </c>
      <c r="AD1327" s="4" t="s">
        <v>73</v>
      </c>
      <c r="AE1327" s="4" t="s">
        <v>48</v>
      </c>
      <c r="AF1327" s="4" t="s">
        <v>41</v>
      </c>
      <c r="AG1327" s="4" t="s">
        <v>2883</v>
      </c>
    </row>
    <row r="1328" spans="1:33" ht="16.5" customHeight="1" x14ac:dyDescent="0.2">
      <c r="A1328" s="2" t="s">
        <v>31</v>
      </c>
      <c r="B1328" s="19" t="s">
        <v>110</v>
      </c>
      <c r="C1328" s="19"/>
      <c r="D1328" s="19"/>
      <c r="E1328" s="20" t="s">
        <v>33</v>
      </c>
      <c r="F1328" s="20"/>
      <c r="G1328" s="21" t="s">
        <v>2880</v>
      </c>
      <c r="H1328" s="21"/>
      <c r="I1328" s="21"/>
      <c r="J1328" s="3" t="s">
        <v>35</v>
      </c>
      <c r="K1328" s="4" t="s">
        <v>394</v>
      </c>
      <c r="N1328" s="21" t="s">
        <v>2890</v>
      </c>
      <c r="O1328" s="21"/>
      <c r="P1328" s="21" t="s">
        <v>2891</v>
      </c>
      <c r="Q1328" s="21"/>
      <c r="R1328" s="21"/>
      <c r="S1328" s="3" t="s">
        <v>40</v>
      </c>
      <c r="T1328" s="21" t="s">
        <v>974</v>
      </c>
      <c r="U1328" s="21"/>
      <c r="V1328" s="4" t="s">
        <v>59</v>
      </c>
      <c r="W1328" s="4" t="s">
        <v>85</v>
      </c>
      <c r="X1328" s="4" t="s">
        <v>95</v>
      </c>
      <c r="Y1328" s="21" t="s">
        <v>398</v>
      </c>
      <c r="Z1328" s="21"/>
      <c r="AA1328" s="4" t="s">
        <v>46</v>
      </c>
      <c r="AB1328" s="4" t="s">
        <v>117</v>
      </c>
      <c r="AC1328" s="4" t="s">
        <v>399</v>
      </c>
      <c r="AD1328" s="4" t="s">
        <v>2892</v>
      </c>
      <c r="AE1328" s="4" t="s">
        <v>48</v>
      </c>
      <c r="AF1328" s="4" t="s">
        <v>41</v>
      </c>
      <c r="AG1328" s="4" t="s">
        <v>2883</v>
      </c>
    </row>
    <row r="1329" spans="1:33" ht="16.5" customHeight="1" x14ac:dyDescent="0.2">
      <c r="A1329" s="2" t="s">
        <v>31</v>
      </c>
      <c r="B1329" s="19" t="s">
        <v>32</v>
      </c>
      <c r="C1329" s="19"/>
      <c r="D1329" s="19"/>
      <c r="E1329" s="20" t="s">
        <v>33</v>
      </c>
      <c r="F1329" s="20"/>
      <c r="G1329" s="21" t="s">
        <v>2893</v>
      </c>
      <c r="H1329" s="21"/>
      <c r="I1329" s="21"/>
      <c r="J1329" s="3" t="s">
        <v>35</v>
      </c>
      <c r="K1329" s="4" t="s">
        <v>2488</v>
      </c>
      <c r="L1329" s="4" t="s">
        <v>37</v>
      </c>
      <c r="N1329" s="21" t="s">
        <v>2894</v>
      </c>
      <c r="O1329" s="21"/>
      <c r="P1329" s="21" t="s">
        <v>2895</v>
      </c>
      <c r="Q1329" s="21"/>
      <c r="R1329" s="21"/>
      <c r="S1329" s="3" t="s">
        <v>40</v>
      </c>
      <c r="T1329" s="21" t="s">
        <v>2491</v>
      </c>
      <c r="U1329" s="21"/>
      <c r="V1329" s="4" t="s">
        <v>59</v>
      </c>
      <c r="W1329" s="4" t="s">
        <v>54</v>
      </c>
      <c r="X1329" s="4" t="s">
        <v>60</v>
      </c>
      <c r="Y1329" s="21" t="s">
        <v>669</v>
      </c>
      <c r="Z1329" s="21"/>
      <c r="AA1329" s="4" t="s">
        <v>46</v>
      </c>
      <c r="AB1329" s="4" t="s">
        <v>47</v>
      </c>
      <c r="AD1329" s="4" t="s">
        <v>41</v>
      </c>
      <c r="AE1329" s="4" t="s">
        <v>48</v>
      </c>
      <c r="AF1329" s="4" t="s">
        <v>41</v>
      </c>
      <c r="AG1329" s="4" t="s">
        <v>2896</v>
      </c>
    </row>
    <row r="1330" spans="1:33" ht="16.5" customHeight="1" x14ac:dyDescent="0.2">
      <c r="A1330" s="2" t="s">
        <v>31</v>
      </c>
      <c r="B1330" s="19" t="s">
        <v>50</v>
      </c>
      <c r="C1330" s="19"/>
      <c r="D1330" s="19"/>
      <c r="E1330" s="20" t="s">
        <v>33</v>
      </c>
      <c r="F1330" s="20"/>
      <c r="G1330" s="21" t="s">
        <v>2893</v>
      </c>
      <c r="H1330" s="21"/>
      <c r="I1330" s="21"/>
      <c r="J1330" s="3" t="s">
        <v>35</v>
      </c>
      <c r="K1330" s="4" t="s">
        <v>74</v>
      </c>
      <c r="L1330" s="4" t="s">
        <v>37</v>
      </c>
      <c r="N1330" s="21" t="s">
        <v>2897</v>
      </c>
      <c r="O1330" s="21"/>
      <c r="P1330" s="21" t="s">
        <v>2898</v>
      </c>
      <c r="Q1330" s="21"/>
      <c r="R1330" s="21"/>
      <c r="S1330" s="3" t="s">
        <v>40</v>
      </c>
      <c r="T1330" s="21" t="s">
        <v>41</v>
      </c>
      <c r="U1330" s="21"/>
      <c r="V1330" s="4" t="s">
        <v>42</v>
      </c>
      <c r="W1330" s="4" t="s">
        <v>350</v>
      </c>
      <c r="X1330" s="4" t="s">
        <v>339</v>
      </c>
      <c r="Y1330" s="21" t="s">
        <v>65</v>
      </c>
      <c r="Z1330" s="21"/>
      <c r="AA1330" s="4" t="s">
        <v>46</v>
      </c>
      <c r="AB1330" s="4" t="s">
        <v>47</v>
      </c>
      <c r="AC1330" s="4" t="s">
        <v>57</v>
      </c>
      <c r="AD1330" s="4" t="s">
        <v>58</v>
      </c>
      <c r="AE1330" s="4" t="s">
        <v>48</v>
      </c>
      <c r="AF1330" s="4" t="s">
        <v>41</v>
      </c>
      <c r="AG1330" s="4" t="s">
        <v>2896</v>
      </c>
    </row>
    <row r="1331" spans="1:33" ht="16.5" customHeight="1" x14ac:dyDescent="0.2">
      <c r="A1331" s="2" t="s">
        <v>31</v>
      </c>
      <c r="B1331" s="19" t="s">
        <v>50</v>
      </c>
      <c r="C1331" s="19"/>
      <c r="D1331" s="19"/>
      <c r="E1331" s="20" t="s">
        <v>33</v>
      </c>
      <c r="F1331" s="20"/>
      <c r="G1331" s="21" t="s">
        <v>2893</v>
      </c>
      <c r="H1331" s="21"/>
      <c r="I1331" s="21"/>
      <c r="J1331" s="3" t="s">
        <v>35</v>
      </c>
      <c r="K1331" s="4" t="s">
        <v>383</v>
      </c>
      <c r="L1331" s="4" t="s">
        <v>37</v>
      </c>
      <c r="N1331" s="21" t="s">
        <v>2899</v>
      </c>
      <c r="O1331" s="21"/>
      <c r="P1331" s="21" t="s">
        <v>2900</v>
      </c>
      <c r="Q1331" s="21"/>
      <c r="R1331" s="21"/>
      <c r="S1331" s="3" t="s">
        <v>40</v>
      </c>
      <c r="T1331" s="21" t="s">
        <v>41</v>
      </c>
      <c r="U1331" s="21"/>
      <c r="V1331" s="4" t="s">
        <v>42</v>
      </c>
      <c r="W1331" s="4" t="s">
        <v>43</v>
      </c>
      <c r="X1331" s="4" t="s">
        <v>44</v>
      </c>
      <c r="Y1331" s="21" t="s">
        <v>198</v>
      </c>
      <c r="Z1331" s="21"/>
      <c r="AA1331" s="4" t="s">
        <v>46</v>
      </c>
      <c r="AB1331" s="4" t="s">
        <v>47</v>
      </c>
      <c r="AC1331" s="4" t="s">
        <v>257</v>
      </c>
      <c r="AD1331" s="4" t="s">
        <v>258</v>
      </c>
      <c r="AE1331" s="4" t="s">
        <v>48</v>
      </c>
      <c r="AF1331" s="4" t="s">
        <v>41</v>
      </c>
      <c r="AG1331" s="4" t="s">
        <v>2896</v>
      </c>
    </row>
    <row r="1332" spans="1:33" ht="16.5" customHeight="1" x14ac:dyDescent="0.2">
      <c r="A1332" s="2" t="s">
        <v>31</v>
      </c>
      <c r="B1332" s="19" t="s">
        <v>50</v>
      </c>
      <c r="C1332" s="19"/>
      <c r="D1332" s="19"/>
      <c r="E1332" s="20" t="s">
        <v>33</v>
      </c>
      <c r="F1332" s="20"/>
      <c r="G1332" s="21" t="s">
        <v>2893</v>
      </c>
      <c r="H1332" s="21"/>
      <c r="I1332" s="21"/>
      <c r="J1332" s="3" t="s">
        <v>35</v>
      </c>
      <c r="K1332" s="4" t="s">
        <v>133</v>
      </c>
      <c r="L1332" s="4" t="s">
        <v>37</v>
      </c>
      <c r="N1332" s="21" t="s">
        <v>2901</v>
      </c>
      <c r="O1332" s="21"/>
      <c r="P1332" s="21" t="s">
        <v>2902</v>
      </c>
      <c r="Q1332" s="21"/>
      <c r="R1332" s="21"/>
      <c r="S1332" s="3" t="s">
        <v>40</v>
      </c>
      <c r="T1332" s="21" t="s">
        <v>41</v>
      </c>
      <c r="U1332" s="21"/>
      <c r="V1332" s="4" t="s">
        <v>42</v>
      </c>
      <c r="W1332" s="4" t="s">
        <v>272</v>
      </c>
      <c r="X1332" s="4" t="s">
        <v>273</v>
      </c>
      <c r="Y1332" s="21" t="s">
        <v>138</v>
      </c>
      <c r="Z1332" s="21"/>
      <c r="AA1332" s="4" t="s">
        <v>46</v>
      </c>
      <c r="AB1332" s="4" t="s">
        <v>47</v>
      </c>
      <c r="AC1332" s="4" t="s">
        <v>139</v>
      </c>
      <c r="AD1332" s="4" t="s">
        <v>140</v>
      </c>
      <c r="AE1332" s="4" t="s">
        <v>48</v>
      </c>
      <c r="AF1332" s="4" t="s">
        <v>41</v>
      </c>
      <c r="AG1332" s="4" t="s">
        <v>2896</v>
      </c>
    </row>
    <row r="1333" spans="1:33" ht="16.5" customHeight="1" x14ac:dyDescent="0.2">
      <c r="A1333" s="2" t="s">
        <v>31</v>
      </c>
      <c r="B1333" s="19" t="s">
        <v>50</v>
      </c>
      <c r="C1333" s="19"/>
      <c r="D1333" s="19"/>
      <c r="E1333" s="20" t="s">
        <v>33</v>
      </c>
      <c r="F1333" s="20"/>
      <c r="G1333" s="21" t="s">
        <v>2893</v>
      </c>
      <c r="H1333" s="21"/>
      <c r="I1333" s="21"/>
      <c r="J1333" s="3" t="s">
        <v>35</v>
      </c>
      <c r="K1333" s="4" t="s">
        <v>204</v>
      </c>
      <c r="L1333" s="4" t="s">
        <v>37</v>
      </c>
      <c r="N1333" s="21" t="s">
        <v>2903</v>
      </c>
      <c r="O1333" s="21"/>
      <c r="P1333" s="21" t="s">
        <v>2904</v>
      </c>
      <c r="Q1333" s="21"/>
      <c r="R1333" s="21"/>
      <c r="S1333" s="3" t="s">
        <v>40</v>
      </c>
      <c r="T1333" s="21" t="s">
        <v>41</v>
      </c>
      <c r="U1333" s="21"/>
      <c r="V1333" s="4" t="s">
        <v>42</v>
      </c>
      <c r="W1333" s="4" t="s">
        <v>229</v>
      </c>
      <c r="X1333" s="4" t="s">
        <v>448</v>
      </c>
      <c r="Y1333" s="21" t="s">
        <v>198</v>
      </c>
      <c r="Z1333" s="21"/>
      <c r="AA1333" s="4" t="s">
        <v>46</v>
      </c>
      <c r="AB1333" s="4" t="s">
        <v>47</v>
      </c>
      <c r="AC1333" s="4" t="s">
        <v>257</v>
      </c>
      <c r="AD1333" s="4" t="s">
        <v>258</v>
      </c>
      <c r="AE1333" s="4" t="s">
        <v>48</v>
      </c>
      <c r="AF1333" s="4" t="s">
        <v>41</v>
      </c>
      <c r="AG1333" s="4" t="s">
        <v>2896</v>
      </c>
    </row>
    <row r="1334" spans="1:33" ht="16.5" customHeight="1" x14ac:dyDescent="0.2">
      <c r="A1334" s="2" t="s">
        <v>31</v>
      </c>
      <c r="B1334" s="19" t="s">
        <v>50</v>
      </c>
      <c r="C1334" s="19"/>
      <c r="D1334" s="19"/>
      <c r="E1334" s="20" t="s">
        <v>33</v>
      </c>
      <c r="F1334" s="20"/>
      <c r="G1334" s="21" t="s">
        <v>2893</v>
      </c>
      <c r="H1334" s="21"/>
      <c r="I1334" s="21"/>
      <c r="J1334" s="3" t="s">
        <v>35</v>
      </c>
      <c r="K1334" s="4" t="s">
        <v>133</v>
      </c>
      <c r="L1334" s="4" t="s">
        <v>37</v>
      </c>
      <c r="N1334" s="21" t="s">
        <v>2905</v>
      </c>
      <c r="O1334" s="21"/>
      <c r="P1334" s="21" t="s">
        <v>2906</v>
      </c>
      <c r="Q1334" s="21"/>
      <c r="R1334" s="21"/>
      <c r="S1334" s="3" t="s">
        <v>40</v>
      </c>
      <c r="T1334" s="21" t="s">
        <v>41</v>
      </c>
      <c r="U1334" s="21"/>
      <c r="V1334" s="4" t="s">
        <v>42</v>
      </c>
      <c r="W1334" s="4" t="s">
        <v>776</v>
      </c>
      <c r="X1334" s="4" t="s">
        <v>230</v>
      </c>
      <c r="Y1334" s="21" t="s">
        <v>138</v>
      </c>
      <c r="Z1334" s="21"/>
      <c r="AA1334" s="4" t="s">
        <v>46</v>
      </c>
      <c r="AB1334" s="4" t="s">
        <v>47</v>
      </c>
      <c r="AC1334" s="4" t="s">
        <v>139</v>
      </c>
      <c r="AD1334" s="4" t="s">
        <v>140</v>
      </c>
      <c r="AE1334" s="4" t="s">
        <v>48</v>
      </c>
      <c r="AF1334" s="4" t="s">
        <v>41</v>
      </c>
      <c r="AG1334" s="4" t="s">
        <v>2896</v>
      </c>
    </row>
    <row r="1335" spans="1:33" ht="16.5" customHeight="1" x14ac:dyDescent="0.2">
      <c r="A1335" s="2" t="s">
        <v>31</v>
      </c>
      <c r="B1335" s="19" t="s">
        <v>50</v>
      </c>
      <c r="C1335" s="19"/>
      <c r="D1335" s="19"/>
      <c r="E1335" s="20" t="s">
        <v>33</v>
      </c>
      <c r="F1335" s="20"/>
      <c r="G1335" s="21" t="s">
        <v>2893</v>
      </c>
      <c r="H1335" s="21"/>
      <c r="I1335" s="21"/>
      <c r="J1335" s="3" t="s">
        <v>35</v>
      </c>
      <c r="K1335" s="4" t="s">
        <v>99</v>
      </c>
      <c r="L1335" s="4" t="s">
        <v>37</v>
      </c>
      <c r="N1335" s="21" t="s">
        <v>2907</v>
      </c>
      <c r="O1335" s="21"/>
      <c r="P1335" s="21" t="s">
        <v>2908</v>
      </c>
      <c r="Q1335" s="21"/>
      <c r="R1335" s="21"/>
      <c r="S1335" s="3" t="s">
        <v>40</v>
      </c>
      <c r="T1335" s="21" t="s">
        <v>41</v>
      </c>
      <c r="U1335" s="21"/>
      <c r="V1335" s="4" t="s">
        <v>42</v>
      </c>
      <c r="W1335" s="4" t="s">
        <v>261</v>
      </c>
      <c r="X1335" s="4" t="s">
        <v>262</v>
      </c>
      <c r="Y1335" s="21" t="s">
        <v>56</v>
      </c>
      <c r="Z1335" s="21"/>
      <c r="AA1335" s="4" t="s">
        <v>46</v>
      </c>
      <c r="AB1335" s="4" t="s">
        <v>47</v>
      </c>
      <c r="AC1335" s="4" t="s">
        <v>139</v>
      </c>
      <c r="AD1335" s="4" t="s">
        <v>140</v>
      </c>
      <c r="AE1335" s="4" t="s">
        <v>48</v>
      </c>
      <c r="AF1335" s="4" t="s">
        <v>41</v>
      </c>
      <c r="AG1335" s="4" t="s">
        <v>2896</v>
      </c>
    </row>
    <row r="1336" spans="1:33" ht="16.5" customHeight="1" x14ac:dyDescent="0.2">
      <c r="A1336" s="2" t="s">
        <v>31</v>
      </c>
      <c r="B1336" s="19" t="s">
        <v>50</v>
      </c>
      <c r="C1336" s="19"/>
      <c r="D1336" s="19"/>
      <c r="E1336" s="20" t="s">
        <v>33</v>
      </c>
      <c r="F1336" s="20"/>
      <c r="G1336" s="21" t="s">
        <v>2893</v>
      </c>
      <c r="H1336" s="21"/>
      <c r="I1336" s="21"/>
      <c r="J1336" s="3" t="s">
        <v>35</v>
      </c>
      <c r="K1336" s="4" t="s">
        <v>99</v>
      </c>
      <c r="L1336" s="4" t="s">
        <v>37</v>
      </c>
      <c r="N1336" s="21" t="s">
        <v>2909</v>
      </c>
      <c r="O1336" s="21"/>
      <c r="P1336" s="21" t="s">
        <v>2910</v>
      </c>
      <c r="Q1336" s="21"/>
      <c r="R1336" s="21"/>
      <c r="S1336" s="3" t="s">
        <v>40</v>
      </c>
      <c r="T1336" s="21" t="s">
        <v>41</v>
      </c>
      <c r="U1336" s="21"/>
      <c r="V1336" s="4" t="s">
        <v>42</v>
      </c>
      <c r="W1336" s="4" t="s">
        <v>202</v>
      </c>
      <c r="X1336" s="4" t="s">
        <v>203</v>
      </c>
      <c r="Y1336" s="21" t="s">
        <v>56</v>
      </c>
      <c r="Z1336" s="21"/>
      <c r="AA1336" s="4" t="s">
        <v>46</v>
      </c>
      <c r="AB1336" s="4" t="s">
        <v>47</v>
      </c>
      <c r="AC1336" s="4" t="s">
        <v>139</v>
      </c>
      <c r="AD1336" s="4" t="s">
        <v>140</v>
      </c>
      <c r="AE1336" s="4" t="s">
        <v>48</v>
      </c>
      <c r="AF1336" s="4" t="s">
        <v>41</v>
      </c>
      <c r="AG1336" s="4" t="s">
        <v>2896</v>
      </c>
    </row>
    <row r="1337" spans="1:33" ht="16.5" customHeight="1" x14ac:dyDescent="0.2">
      <c r="A1337" s="2" t="s">
        <v>31</v>
      </c>
      <c r="B1337" s="19" t="s">
        <v>50</v>
      </c>
      <c r="C1337" s="19"/>
      <c r="D1337" s="19"/>
      <c r="E1337" s="20" t="s">
        <v>33</v>
      </c>
      <c r="F1337" s="20"/>
      <c r="G1337" s="21" t="s">
        <v>2893</v>
      </c>
      <c r="H1337" s="21"/>
      <c r="I1337" s="21"/>
      <c r="J1337" s="3" t="s">
        <v>35</v>
      </c>
      <c r="K1337" s="4" t="s">
        <v>133</v>
      </c>
      <c r="L1337" s="4" t="s">
        <v>37</v>
      </c>
      <c r="N1337" s="21" t="s">
        <v>2911</v>
      </c>
      <c r="O1337" s="21"/>
      <c r="P1337" s="21" t="s">
        <v>2912</v>
      </c>
      <c r="Q1337" s="21"/>
      <c r="R1337" s="21"/>
      <c r="S1337" s="3" t="s">
        <v>40</v>
      </c>
      <c r="T1337" s="21" t="s">
        <v>41</v>
      </c>
      <c r="U1337" s="21"/>
      <c r="V1337" s="4" t="s">
        <v>42</v>
      </c>
      <c r="W1337" s="4" t="s">
        <v>276</v>
      </c>
      <c r="X1337" s="4" t="s">
        <v>277</v>
      </c>
      <c r="Y1337" s="21" t="s">
        <v>138</v>
      </c>
      <c r="Z1337" s="21"/>
      <c r="AA1337" s="4" t="s">
        <v>46</v>
      </c>
      <c r="AB1337" s="4" t="s">
        <v>47</v>
      </c>
      <c r="AC1337" s="4" t="s">
        <v>139</v>
      </c>
      <c r="AD1337" s="4" t="s">
        <v>140</v>
      </c>
      <c r="AE1337" s="4" t="s">
        <v>48</v>
      </c>
      <c r="AF1337" s="4" t="s">
        <v>41</v>
      </c>
      <c r="AG1337" s="4" t="s">
        <v>2896</v>
      </c>
    </row>
    <row r="1338" spans="1:33" ht="16.5" customHeight="1" x14ac:dyDescent="0.2">
      <c r="A1338" s="2" t="s">
        <v>31</v>
      </c>
      <c r="B1338" s="19" t="s">
        <v>50</v>
      </c>
      <c r="C1338" s="19"/>
      <c r="D1338" s="19"/>
      <c r="E1338" s="20" t="s">
        <v>33</v>
      </c>
      <c r="F1338" s="20"/>
      <c r="G1338" s="21" t="s">
        <v>2893</v>
      </c>
      <c r="H1338" s="21"/>
      <c r="I1338" s="21"/>
      <c r="J1338" s="3" t="s">
        <v>35</v>
      </c>
      <c r="K1338" s="4" t="s">
        <v>74</v>
      </c>
      <c r="L1338" s="4" t="s">
        <v>37</v>
      </c>
      <c r="N1338" s="21" t="s">
        <v>2913</v>
      </c>
      <c r="O1338" s="21"/>
      <c r="P1338" s="21" t="s">
        <v>2914</v>
      </c>
      <c r="Q1338" s="21"/>
      <c r="R1338" s="21"/>
      <c r="S1338" s="3" t="s">
        <v>40</v>
      </c>
      <c r="T1338" s="21" t="s">
        <v>41</v>
      </c>
      <c r="U1338" s="21"/>
      <c r="V1338" s="4" t="s">
        <v>42</v>
      </c>
      <c r="W1338" s="4" t="s">
        <v>828</v>
      </c>
      <c r="X1338" s="4" t="s">
        <v>829</v>
      </c>
      <c r="Y1338" s="21" t="s">
        <v>65</v>
      </c>
      <c r="Z1338" s="21"/>
      <c r="AA1338" s="4" t="s">
        <v>46</v>
      </c>
      <c r="AB1338" s="4" t="s">
        <v>47</v>
      </c>
      <c r="AC1338" s="4" t="s">
        <v>57</v>
      </c>
      <c r="AD1338" s="4" t="s">
        <v>58</v>
      </c>
      <c r="AE1338" s="4" t="s">
        <v>48</v>
      </c>
      <c r="AF1338" s="4" t="s">
        <v>41</v>
      </c>
      <c r="AG1338" s="4" t="s">
        <v>2896</v>
      </c>
    </row>
    <row r="1339" spans="1:33" ht="16.5" customHeight="1" x14ac:dyDescent="0.2">
      <c r="A1339" s="2" t="s">
        <v>31</v>
      </c>
      <c r="B1339" s="19" t="s">
        <v>50</v>
      </c>
      <c r="C1339" s="19"/>
      <c r="D1339" s="19"/>
      <c r="E1339" s="20" t="s">
        <v>33</v>
      </c>
      <c r="F1339" s="20"/>
      <c r="G1339" s="21" t="s">
        <v>2893</v>
      </c>
      <c r="H1339" s="21"/>
      <c r="I1339" s="21"/>
      <c r="J1339" s="3" t="s">
        <v>35</v>
      </c>
      <c r="K1339" s="4" t="s">
        <v>413</v>
      </c>
      <c r="L1339" s="4" t="s">
        <v>68</v>
      </c>
      <c r="N1339" s="21" t="s">
        <v>2915</v>
      </c>
      <c r="O1339" s="21"/>
      <c r="P1339" s="21" t="s">
        <v>2916</v>
      </c>
      <c r="Q1339" s="21"/>
      <c r="R1339" s="21"/>
      <c r="S1339" s="3" t="s">
        <v>40</v>
      </c>
      <c r="T1339" s="21" t="s">
        <v>41</v>
      </c>
      <c r="U1339" s="21"/>
      <c r="V1339" s="4" t="s">
        <v>42</v>
      </c>
      <c r="W1339" s="4" t="s">
        <v>854</v>
      </c>
      <c r="X1339" s="4" t="s">
        <v>577</v>
      </c>
      <c r="Y1339" s="21" t="s">
        <v>198</v>
      </c>
      <c r="Z1339" s="21"/>
      <c r="AA1339" s="4" t="s">
        <v>46</v>
      </c>
      <c r="AB1339" s="4" t="s">
        <v>47</v>
      </c>
      <c r="AC1339" s="4" t="s">
        <v>257</v>
      </c>
      <c r="AD1339" s="4" t="s">
        <v>73</v>
      </c>
      <c r="AE1339" s="4" t="s">
        <v>48</v>
      </c>
      <c r="AF1339" s="4" t="s">
        <v>41</v>
      </c>
      <c r="AG1339" s="4" t="s">
        <v>2896</v>
      </c>
    </row>
    <row r="1340" spans="1:33" ht="16.5" customHeight="1" x14ac:dyDescent="0.2">
      <c r="A1340" s="2" t="s">
        <v>31</v>
      </c>
      <c r="B1340" s="19" t="s">
        <v>50</v>
      </c>
      <c r="C1340" s="19"/>
      <c r="D1340" s="19"/>
      <c r="E1340" s="20" t="s">
        <v>33</v>
      </c>
      <c r="F1340" s="20"/>
      <c r="G1340" s="21" t="s">
        <v>2893</v>
      </c>
      <c r="H1340" s="21"/>
      <c r="I1340" s="21"/>
      <c r="J1340" s="3" t="s">
        <v>35</v>
      </c>
      <c r="K1340" s="4" t="s">
        <v>265</v>
      </c>
      <c r="L1340" s="4" t="s">
        <v>37</v>
      </c>
      <c r="N1340" s="21" t="s">
        <v>2917</v>
      </c>
      <c r="O1340" s="21"/>
      <c r="P1340" s="21" t="s">
        <v>2918</v>
      </c>
      <c r="Q1340" s="21"/>
      <c r="R1340" s="21"/>
      <c r="S1340" s="3" t="s">
        <v>40</v>
      </c>
      <c r="T1340" s="21" t="s">
        <v>41</v>
      </c>
      <c r="U1340" s="21"/>
      <c r="V1340" s="4" t="s">
        <v>42</v>
      </c>
      <c r="W1340" s="4" t="s">
        <v>234</v>
      </c>
      <c r="X1340" s="4" t="s">
        <v>235</v>
      </c>
      <c r="Y1340" s="21" t="s">
        <v>56</v>
      </c>
      <c r="Z1340" s="21"/>
      <c r="AA1340" s="4" t="s">
        <v>46</v>
      </c>
      <c r="AB1340" s="4" t="s">
        <v>47</v>
      </c>
      <c r="AC1340" s="4" t="s">
        <v>139</v>
      </c>
      <c r="AD1340" s="4" t="s">
        <v>140</v>
      </c>
      <c r="AE1340" s="4" t="s">
        <v>48</v>
      </c>
      <c r="AF1340" s="4" t="s">
        <v>41</v>
      </c>
      <c r="AG1340" s="4" t="s">
        <v>2896</v>
      </c>
    </row>
    <row r="1341" spans="1:33" ht="16.5" customHeight="1" x14ac:dyDescent="0.2">
      <c r="A1341" s="2" t="s">
        <v>31</v>
      </c>
      <c r="B1341" s="19" t="s">
        <v>50</v>
      </c>
      <c r="C1341" s="19"/>
      <c r="D1341" s="19"/>
      <c r="E1341" s="20" t="s">
        <v>33</v>
      </c>
      <c r="F1341" s="20"/>
      <c r="G1341" s="21" t="s">
        <v>2893</v>
      </c>
      <c r="H1341" s="21"/>
      <c r="I1341" s="21"/>
      <c r="J1341" s="3" t="s">
        <v>35</v>
      </c>
      <c r="K1341" s="4" t="s">
        <v>204</v>
      </c>
      <c r="L1341" s="4" t="s">
        <v>37</v>
      </c>
      <c r="N1341" s="21" t="s">
        <v>2919</v>
      </c>
      <c r="O1341" s="21"/>
      <c r="P1341" s="21" t="s">
        <v>2920</v>
      </c>
      <c r="Q1341" s="21"/>
      <c r="R1341" s="21"/>
      <c r="S1341" s="3" t="s">
        <v>40</v>
      </c>
      <c r="T1341" s="21" t="s">
        <v>41</v>
      </c>
      <c r="U1341" s="21"/>
      <c r="V1341" s="4" t="s">
        <v>42</v>
      </c>
      <c r="W1341" s="4" t="s">
        <v>234</v>
      </c>
      <c r="X1341" s="4" t="s">
        <v>235</v>
      </c>
      <c r="Y1341" s="21" t="s">
        <v>198</v>
      </c>
      <c r="Z1341" s="21"/>
      <c r="AA1341" s="4" t="s">
        <v>46</v>
      </c>
      <c r="AB1341" s="4" t="s">
        <v>47</v>
      </c>
      <c r="AC1341" s="4" t="s">
        <v>257</v>
      </c>
      <c r="AD1341" s="4" t="s">
        <v>258</v>
      </c>
      <c r="AE1341" s="4" t="s">
        <v>48</v>
      </c>
      <c r="AF1341" s="4" t="s">
        <v>41</v>
      </c>
      <c r="AG1341" s="4" t="s">
        <v>2896</v>
      </c>
    </row>
    <row r="1342" spans="1:33" ht="16.5" customHeight="1" x14ac:dyDescent="0.2">
      <c r="A1342" s="2" t="s">
        <v>31</v>
      </c>
      <c r="B1342" s="19" t="s">
        <v>50</v>
      </c>
      <c r="C1342" s="19"/>
      <c r="D1342" s="19"/>
      <c r="E1342" s="20" t="s">
        <v>33</v>
      </c>
      <c r="F1342" s="20"/>
      <c r="G1342" s="21" t="s">
        <v>2893</v>
      </c>
      <c r="H1342" s="21"/>
      <c r="I1342" s="21"/>
      <c r="J1342" s="3" t="s">
        <v>35</v>
      </c>
      <c r="K1342" s="4" t="s">
        <v>204</v>
      </c>
      <c r="L1342" s="4" t="s">
        <v>37</v>
      </c>
      <c r="N1342" s="21" t="s">
        <v>2921</v>
      </c>
      <c r="O1342" s="21"/>
      <c r="P1342" s="21" t="s">
        <v>2922</v>
      </c>
      <c r="Q1342" s="21"/>
      <c r="R1342" s="21"/>
      <c r="S1342" s="3" t="s">
        <v>40</v>
      </c>
      <c r="T1342" s="21" t="s">
        <v>41</v>
      </c>
      <c r="U1342" s="21"/>
      <c r="V1342" s="4" t="s">
        <v>42</v>
      </c>
      <c r="W1342" s="4" t="s">
        <v>130</v>
      </c>
      <c r="X1342" s="4" t="s">
        <v>60</v>
      </c>
      <c r="Y1342" s="21" t="s">
        <v>198</v>
      </c>
      <c r="Z1342" s="21"/>
      <c r="AA1342" s="4" t="s">
        <v>46</v>
      </c>
      <c r="AB1342" s="4" t="s">
        <v>47</v>
      </c>
      <c r="AC1342" s="4" t="s">
        <v>139</v>
      </c>
      <c r="AD1342" s="4" t="s">
        <v>140</v>
      </c>
      <c r="AE1342" s="4" t="s">
        <v>48</v>
      </c>
      <c r="AF1342" s="4" t="s">
        <v>41</v>
      </c>
      <c r="AG1342" s="4" t="s">
        <v>2896</v>
      </c>
    </row>
    <row r="1343" spans="1:33" ht="16.5" customHeight="1" x14ac:dyDescent="0.2">
      <c r="A1343" s="2" t="s">
        <v>31</v>
      </c>
      <c r="B1343" s="19" t="s">
        <v>110</v>
      </c>
      <c r="C1343" s="19"/>
      <c r="D1343" s="19"/>
      <c r="E1343" s="20" t="s">
        <v>33</v>
      </c>
      <c r="F1343" s="20"/>
      <c r="G1343" s="21" t="s">
        <v>2893</v>
      </c>
      <c r="H1343" s="21"/>
      <c r="I1343" s="21"/>
      <c r="J1343" s="3" t="s">
        <v>35</v>
      </c>
      <c r="K1343" s="4" t="s">
        <v>394</v>
      </c>
      <c r="N1343" s="21" t="s">
        <v>2923</v>
      </c>
      <c r="O1343" s="21"/>
      <c r="P1343" s="21" t="s">
        <v>2924</v>
      </c>
      <c r="Q1343" s="21"/>
      <c r="R1343" s="21"/>
      <c r="S1343" s="3" t="s">
        <v>40</v>
      </c>
      <c r="T1343" s="21" t="s">
        <v>2925</v>
      </c>
      <c r="U1343" s="21"/>
      <c r="V1343" s="4" t="s">
        <v>59</v>
      </c>
      <c r="W1343" s="4" t="s">
        <v>54</v>
      </c>
      <c r="X1343" s="4" t="s">
        <v>60</v>
      </c>
      <c r="Y1343" s="21" t="s">
        <v>2926</v>
      </c>
      <c r="Z1343" s="21"/>
      <c r="AA1343" s="4" t="s">
        <v>46</v>
      </c>
      <c r="AB1343" s="4" t="s">
        <v>117</v>
      </c>
      <c r="AC1343" s="4" t="s">
        <v>925</v>
      </c>
      <c r="AD1343" s="4" t="s">
        <v>2927</v>
      </c>
      <c r="AE1343" s="4" t="s">
        <v>48</v>
      </c>
      <c r="AF1343" s="4" t="s">
        <v>41</v>
      </c>
      <c r="AG1343" s="4" t="s">
        <v>2896</v>
      </c>
    </row>
    <row r="1344" spans="1:33" ht="16.5" customHeight="1" x14ac:dyDescent="0.2">
      <c r="A1344" s="2" t="s">
        <v>31</v>
      </c>
      <c r="B1344" s="19" t="s">
        <v>32</v>
      </c>
      <c r="C1344" s="19"/>
      <c r="D1344" s="19"/>
      <c r="E1344" s="20" t="s">
        <v>33</v>
      </c>
      <c r="F1344" s="20"/>
      <c r="G1344" s="21" t="s">
        <v>2928</v>
      </c>
      <c r="H1344" s="21"/>
      <c r="I1344" s="21"/>
      <c r="J1344" s="3" t="s">
        <v>35</v>
      </c>
      <c r="K1344" s="4" t="s">
        <v>665</v>
      </c>
      <c r="L1344" s="4" t="s">
        <v>37</v>
      </c>
      <c r="N1344" s="21" t="s">
        <v>2929</v>
      </c>
      <c r="O1344" s="21"/>
      <c r="P1344" s="21" t="s">
        <v>2930</v>
      </c>
      <c r="Q1344" s="21"/>
      <c r="R1344" s="21"/>
      <c r="S1344" s="3" t="s">
        <v>40</v>
      </c>
      <c r="T1344" s="21" t="s">
        <v>2931</v>
      </c>
      <c r="U1344" s="21"/>
      <c r="V1344" s="4" t="s">
        <v>59</v>
      </c>
      <c r="W1344" s="4" t="s">
        <v>108</v>
      </c>
      <c r="X1344" s="4" t="s">
        <v>382</v>
      </c>
      <c r="Y1344" s="21" t="s">
        <v>669</v>
      </c>
      <c r="Z1344" s="21"/>
      <c r="AA1344" s="4" t="s">
        <v>46</v>
      </c>
      <c r="AB1344" s="4" t="s">
        <v>47</v>
      </c>
      <c r="AD1344" s="4" t="s">
        <v>41</v>
      </c>
      <c r="AE1344" s="4" t="s">
        <v>48</v>
      </c>
      <c r="AF1344" s="4" t="s">
        <v>41</v>
      </c>
      <c r="AG1344" s="4" t="s">
        <v>2932</v>
      </c>
    </row>
    <row r="1345" spans="1:33" ht="16.5" customHeight="1" x14ac:dyDescent="0.2">
      <c r="A1345" s="2" t="s">
        <v>31</v>
      </c>
      <c r="B1345" s="19" t="s">
        <v>32</v>
      </c>
      <c r="C1345" s="19"/>
      <c r="D1345" s="19"/>
      <c r="E1345" s="20" t="s">
        <v>33</v>
      </c>
      <c r="F1345" s="20"/>
      <c r="G1345" s="21" t="s">
        <v>2928</v>
      </c>
      <c r="H1345" s="21"/>
      <c r="I1345" s="21"/>
      <c r="J1345" s="3" t="s">
        <v>35</v>
      </c>
      <c r="K1345" s="4" t="s">
        <v>665</v>
      </c>
      <c r="L1345" s="4" t="s">
        <v>37</v>
      </c>
      <c r="N1345" s="21" t="s">
        <v>2929</v>
      </c>
      <c r="O1345" s="21"/>
      <c r="P1345" s="21" t="s">
        <v>2930</v>
      </c>
      <c r="Q1345" s="21"/>
      <c r="R1345" s="21"/>
      <c r="S1345" s="3" t="s">
        <v>40</v>
      </c>
      <c r="T1345" s="21" t="s">
        <v>2933</v>
      </c>
      <c r="U1345" s="21"/>
      <c r="V1345" s="4" t="s">
        <v>130</v>
      </c>
      <c r="W1345" s="4" t="s">
        <v>108</v>
      </c>
      <c r="X1345" s="4" t="s">
        <v>55</v>
      </c>
      <c r="Y1345" s="21" t="s">
        <v>669</v>
      </c>
      <c r="Z1345" s="21"/>
      <c r="AA1345" s="4" t="s">
        <v>46</v>
      </c>
      <c r="AB1345" s="4" t="s">
        <v>47</v>
      </c>
      <c r="AD1345" s="4" t="s">
        <v>41</v>
      </c>
      <c r="AE1345" s="4" t="s">
        <v>48</v>
      </c>
      <c r="AF1345" s="4" t="s">
        <v>41</v>
      </c>
      <c r="AG1345" s="4" t="s">
        <v>2932</v>
      </c>
    </row>
    <row r="1346" spans="1:33" ht="16.5" customHeight="1" x14ac:dyDescent="0.2">
      <c r="A1346" s="2" t="s">
        <v>31</v>
      </c>
      <c r="B1346" s="19" t="s">
        <v>32</v>
      </c>
      <c r="C1346" s="19"/>
      <c r="D1346" s="19"/>
      <c r="E1346" s="20" t="s">
        <v>33</v>
      </c>
      <c r="F1346" s="20"/>
      <c r="G1346" s="21" t="s">
        <v>2928</v>
      </c>
      <c r="H1346" s="21"/>
      <c r="I1346" s="21"/>
      <c r="J1346" s="3" t="s">
        <v>35</v>
      </c>
      <c r="K1346" s="4" t="s">
        <v>665</v>
      </c>
      <c r="L1346" s="4" t="s">
        <v>37</v>
      </c>
      <c r="N1346" s="21" t="s">
        <v>2929</v>
      </c>
      <c r="O1346" s="21"/>
      <c r="P1346" s="21" t="s">
        <v>2930</v>
      </c>
      <c r="Q1346" s="21"/>
      <c r="R1346" s="21"/>
      <c r="S1346" s="3" t="s">
        <v>40</v>
      </c>
      <c r="T1346" s="21" t="s">
        <v>2934</v>
      </c>
      <c r="U1346" s="21"/>
      <c r="V1346" s="4" t="s">
        <v>54</v>
      </c>
      <c r="W1346" s="4" t="s">
        <v>108</v>
      </c>
      <c r="X1346" s="4" t="s">
        <v>60</v>
      </c>
      <c r="Y1346" s="21" t="s">
        <v>669</v>
      </c>
      <c r="Z1346" s="21"/>
      <c r="AA1346" s="4" t="s">
        <v>46</v>
      </c>
      <c r="AB1346" s="4" t="s">
        <v>47</v>
      </c>
      <c r="AD1346" s="4" t="s">
        <v>41</v>
      </c>
      <c r="AE1346" s="4" t="s">
        <v>48</v>
      </c>
      <c r="AF1346" s="4" t="s">
        <v>41</v>
      </c>
      <c r="AG1346" s="4" t="s">
        <v>2932</v>
      </c>
    </row>
    <row r="1347" spans="1:33" ht="16.5" customHeight="1" x14ac:dyDescent="0.2">
      <c r="A1347" s="2" t="s">
        <v>31</v>
      </c>
      <c r="B1347" s="19" t="s">
        <v>50</v>
      </c>
      <c r="C1347" s="19"/>
      <c r="D1347" s="19"/>
      <c r="E1347" s="20" t="s">
        <v>33</v>
      </c>
      <c r="F1347" s="20"/>
      <c r="G1347" s="21" t="s">
        <v>2928</v>
      </c>
      <c r="H1347" s="21"/>
      <c r="I1347" s="21"/>
      <c r="J1347" s="3" t="s">
        <v>35</v>
      </c>
      <c r="K1347" s="4" t="s">
        <v>152</v>
      </c>
      <c r="L1347" s="4" t="s">
        <v>68</v>
      </c>
      <c r="N1347" s="21" t="s">
        <v>2935</v>
      </c>
      <c r="O1347" s="21"/>
      <c r="P1347" s="21" t="s">
        <v>2936</v>
      </c>
      <c r="Q1347" s="21"/>
      <c r="R1347" s="21"/>
      <c r="S1347" s="3" t="s">
        <v>40</v>
      </c>
      <c r="T1347" s="21" t="s">
        <v>41</v>
      </c>
      <c r="U1347" s="21"/>
      <c r="V1347" s="4" t="s">
        <v>42</v>
      </c>
      <c r="W1347" s="4" t="s">
        <v>130</v>
      </c>
      <c r="X1347" s="4" t="s">
        <v>60</v>
      </c>
      <c r="Y1347" s="21" t="s">
        <v>56</v>
      </c>
      <c r="Z1347" s="21"/>
      <c r="AA1347" s="4" t="s">
        <v>46</v>
      </c>
      <c r="AB1347" s="4" t="s">
        <v>47</v>
      </c>
      <c r="AC1347" s="4" t="s">
        <v>57</v>
      </c>
      <c r="AD1347" s="4" t="s">
        <v>98</v>
      </c>
      <c r="AE1347" s="4" t="s">
        <v>48</v>
      </c>
      <c r="AF1347" s="4" t="s">
        <v>41</v>
      </c>
      <c r="AG1347" s="4" t="s">
        <v>2932</v>
      </c>
    </row>
    <row r="1348" spans="1:33" ht="16.5" customHeight="1" x14ac:dyDescent="0.2">
      <c r="A1348" s="2" t="s">
        <v>31</v>
      </c>
      <c r="B1348" s="19" t="s">
        <v>110</v>
      </c>
      <c r="C1348" s="19"/>
      <c r="D1348" s="19"/>
      <c r="E1348" s="20" t="s">
        <v>33</v>
      </c>
      <c r="F1348" s="20"/>
      <c r="G1348" s="21" t="s">
        <v>2928</v>
      </c>
      <c r="H1348" s="21"/>
      <c r="I1348" s="21"/>
      <c r="J1348" s="3" t="s">
        <v>35</v>
      </c>
      <c r="K1348" s="4" t="s">
        <v>1301</v>
      </c>
      <c r="N1348" s="21" t="s">
        <v>2937</v>
      </c>
      <c r="O1348" s="21"/>
      <c r="P1348" s="21" t="s">
        <v>2938</v>
      </c>
      <c r="Q1348" s="21"/>
      <c r="R1348" s="21"/>
      <c r="S1348" s="3" t="s">
        <v>40</v>
      </c>
      <c r="T1348" s="21" t="s">
        <v>2939</v>
      </c>
      <c r="U1348" s="21"/>
      <c r="V1348" s="4" t="s">
        <v>59</v>
      </c>
      <c r="W1348" s="4" t="s">
        <v>54</v>
      </c>
      <c r="X1348" s="4" t="s">
        <v>60</v>
      </c>
      <c r="Y1348" s="21" t="s">
        <v>959</v>
      </c>
      <c r="Z1348" s="21"/>
      <c r="AA1348" s="4" t="s">
        <v>46</v>
      </c>
      <c r="AB1348" s="4" t="s">
        <v>117</v>
      </c>
      <c r="AC1348" s="4" t="s">
        <v>960</v>
      </c>
      <c r="AD1348" s="4" t="s">
        <v>2940</v>
      </c>
      <c r="AE1348" s="4" t="s">
        <v>48</v>
      </c>
      <c r="AF1348" s="4" t="s">
        <v>41</v>
      </c>
      <c r="AG1348" s="4" t="s">
        <v>2932</v>
      </c>
    </row>
    <row r="1349" spans="1:33" ht="16.5" customHeight="1" x14ac:dyDescent="0.2">
      <c r="A1349" s="2" t="s">
        <v>31</v>
      </c>
      <c r="B1349" s="19" t="s">
        <v>110</v>
      </c>
      <c r="C1349" s="19"/>
      <c r="D1349" s="19"/>
      <c r="E1349" s="20" t="s">
        <v>33</v>
      </c>
      <c r="F1349" s="20"/>
      <c r="G1349" s="21" t="s">
        <v>2928</v>
      </c>
      <c r="H1349" s="21"/>
      <c r="I1349" s="21"/>
      <c r="J1349" s="3" t="s">
        <v>35</v>
      </c>
      <c r="K1349" s="4" t="s">
        <v>394</v>
      </c>
      <c r="N1349" s="21" t="s">
        <v>2941</v>
      </c>
      <c r="O1349" s="21"/>
      <c r="P1349" s="21" t="s">
        <v>2942</v>
      </c>
      <c r="Q1349" s="21"/>
      <c r="R1349" s="21"/>
      <c r="S1349" s="3" t="s">
        <v>40</v>
      </c>
      <c r="T1349" s="21" t="s">
        <v>1281</v>
      </c>
      <c r="U1349" s="21"/>
      <c r="V1349" s="4" t="s">
        <v>59</v>
      </c>
      <c r="W1349" s="4" t="s">
        <v>108</v>
      </c>
      <c r="X1349" s="4" t="s">
        <v>382</v>
      </c>
      <c r="Y1349" s="21" t="s">
        <v>398</v>
      </c>
      <c r="Z1349" s="21"/>
      <c r="AA1349" s="4" t="s">
        <v>46</v>
      </c>
      <c r="AB1349" s="4" t="s">
        <v>117</v>
      </c>
      <c r="AC1349" s="4" t="s">
        <v>399</v>
      </c>
      <c r="AD1349" s="4" t="s">
        <v>1282</v>
      </c>
      <c r="AE1349" s="4" t="s">
        <v>48</v>
      </c>
      <c r="AF1349" s="4" t="s">
        <v>41</v>
      </c>
      <c r="AG1349" s="4" t="s">
        <v>2932</v>
      </c>
    </row>
    <row r="1350" spans="1:33" ht="16.5" customHeight="1" x14ac:dyDescent="0.2">
      <c r="A1350" s="2" t="s">
        <v>31</v>
      </c>
      <c r="B1350" s="19" t="s">
        <v>110</v>
      </c>
      <c r="C1350" s="19"/>
      <c r="D1350" s="19"/>
      <c r="E1350" s="20" t="s">
        <v>33</v>
      </c>
      <c r="F1350" s="20"/>
      <c r="G1350" s="21" t="s">
        <v>2928</v>
      </c>
      <c r="H1350" s="21"/>
      <c r="I1350" s="21"/>
      <c r="J1350" s="3" t="s">
        <v>35</v>
      </c>
      <c r="K1350" s="4" t="s">
        <v>937</v>
      </c>
      <c r="N1350" s="21" t="s">
        <v>2943</v>
      </c>
      <c r="O1350" s="21"/>
      <c r="P1350" s="21" t="s">
        <v>2944</v>
      </c>
      <c r="Q1350" s="21"/>
      <c r="R1350" s="21"/>
      <c r="S1350" s="3" t="s">
        <v>40</v>
      </c>
      <c r="T1350" s="21" t="s">
        <v>2945</v>
      </c>
      <c r="U1350" s="21"/>
      <c r="V1350" s="4" t="s">
        <v>59</v>
      </c>
      <c r="W1350" s="4" t="s">
        <v>381</v>
      </c>
      <c r="X1350" s="4" t="s">
        <v>55</v>
      </c>
      <c r="Y1350" s="21" t="s">
        <v>398</v>
      </c>
      <c r="Z1350" s="21"/>
      <c r="AA1350" s="4" t="s">
        <v>46</v>
      </c>
      <c r="AB1350" s="4" t="s">
        <v>117</v>
      </c>
      <c r="AC1350" s="4" t="s">
        <v>399</v>
      </c>
      <c r="AD1350" s="4" t="s">
        <v>2946</v>
      </c>
      <c r="AE1350" s="4" t="s">
        <v>48</v>
      </c>
      <c r="AF1350" s="4" t="s">
        <v>41</v>
      </c>
      <c r="AG1350" s="4" t="s">
        <v>2932</v>
      </c>
    </row>
    <row r="1351" spans="1:33" ht="16.5" customHeight="1" x14ac:dyDescent="0.2">
      <c r="A1351" s="2" t="s">
        <v>31</v>
      </c>
      <c r="B1351" s="19" t="s">
        <v>32</v>
      </c>
      <c r="C1351" s="19"/>
      <c r="D1351" s="19"/>
      <c r="E1351" s="20" t="s">
        <v>33</v>
      </c>
      <c r="F1351" s="20"/>
      <c r="G1351" s="21" t="s">
        <v>2947</v>
      </c>
      <c r="H1351" s="21"/>
      <c r="I1351" s="21"/>
      <c r="J1351" s="3" t="s">
        <v>35</v>
      </c>
      <c r="K1351" s="4" t="s">
        <v>2948</v>
      </c>
      <c r="L1351" s="4" t="s">
        <v>37</v>
      </c>
      <c r="N1351" s="21" t="s">
        <v>2949</v>
      </c>
      <c r="O1351" s="21"/>
      <c r="P1351" s="21" t="s">
        <v>2950</v>
      </c>
      <c r="Q1351" s="21"/>
      <c r="R1351" s="21"/>
      <c r="S1351" s="3" t="s">
        <v>40</v>
      </c>
      <c r="T1351" s="21" t="s">
        <v>41</v>
      </c>
      <c r="U1351" s="21"/>
      <c r="V1351" s="4" t="s">
        <v>42</v>
      </c>
      <c r="W1351" s="4" t="s">
        <v>54</v>
      </c>
      <c r="X1351" s="4" t="s">
        <v>55</v>
      </c>
      <c r="Y1351" s="21" t="s">
        <v>1935</v>
      </c>
      <c r="Z1351" s="21"/>
      <c r="AA1351" s="4" t="s">
        <v>46</v>
      </c>
      <c r="AB1351" s="4" t="s">
        <v>47</v>
      </c>
      <c r="AD1351" s="4" t="s">
        <v>41</v>
      </c>
      <c r="AE1351" s="4" t="s">
        <v>48</v>
      </c>
      <c r="AF1351" s="4" t="s">
        <v>41</v>
      </c>
      <c r="AG1351" s="4" t="s">
        <v>2951</v>
      </c>
    </row>
    <row r="1352" spans="1:33" ht="16.5" customHeight="1" x14ac:dyDescent="0.2">
      <c r="A1352" s="2" t="s">
        <v>31</v>
      </c>
      <c r="B1352" s="19" t="s">
        <v>32</v>
      </c>
      <c r="C1352" s="19"/>
      <c r="D1352" s="19"/>
      <c r="E1352" s="20" t="s">
        <v>33</v>
      </c>
      <c r="F1352" s="20"/>
      <c r="G1352" s="21" t="s">
        <v>2947</v>
      </c>
      <c r="H1352" s="21"/>
      <c r="I1352" s="21"/>
      <c r="J1352" s="3" t="s">
        <v>35</v>
      </c>
      <c r="K1352" s="4" t="s">
        <v>646</v>
      </c>
      <c r="L1352" s="4" t="s">
        <v>37</v>
      </c>
      <c r="N1352" s="21" t="s">
        <v>2952</v>
      </c>
      <c r="O1352" s="21"/>
      <c r="P1352" s="21" t="s">
        <v>2953</v>
      </c>
      <c r="Q1352" s="21"/>
      <c r="R1352" s="21"/>
      <c r="S1352" s="3" t="s">
        <v>40</v>
      </c>
      <c r="T1352" s="21" t="s">
        <v>41</v>
      </c>
      <c r="U1352" s="21"/>
      <c r="V1352" s="4" t="s">
        <v>42</v>
      </c>
      <c r="W1352" s="4" t="s">
        <v>54</v>
      </c>
      <c r="X1352" s="4" t="s">
        <v>55</v>
      </c>
      <c r="Y1352" s="21" t="s">
        <v>45</v>
      </c>
      <c r="Z1352" s="21"/>
      <c r="AA1352" s="4" t="s">
        <v>46</v>
      </c>
      <c r="AB1352" s="4" t="s">
        <v>47</v>
      </c>
      <c r="AD1352" s="4" t="s">
        <v>41</v>
      </c>
      <c r="AE1352" s="4" t="s">
        <v>48</v>
      </c>
      <c r="AF1352" s="4" t="s">
        <v>41</v>
      </c>
      <c r="AG1352" s="4" t="s">
        <v>2951</v>
      </c>
    </row>
    <row r="1353" spans="1:33" ht="16.5" customHeight="1" x14ac:dyDescent="0.2">
      <c r="A1353" s="2" t="s">
        <v>31</v>
      </c>
      <c r="B1353" s="19" t="s">
        <v>32</v>
      </c>
      <c r="C1353" s="19"/>
      <c r="D1353" s="19"/>
      <c r="E1353" s="20" t="s">
        <v>33</v>
      </c>
      <c r="F1353" s="20"/>
      <c r="G1353" s="21" t="s">
        <v>2947</v>
      </c>
      <c r="H1353" s="21"/>
      <c r="I1353" s="21"/>
      <c r="J1353" s="3" t="s">
        <v>35</v>
      </c>
      <c r="K1353" s="4" t="s">
        <v>646</v>
      </c>
      <c r="L1353" s="4" t="s">
        <v>37</v>
      </c>
      <c r="N1353" s="21" t="s">
        <v>2954</v>
      </c>
      <c r="O1353" s="21"/>
      <c r="P1353" s="21" t="s">
        <v>2955</v>
      </c>
      <c r="Q1353" s="21"/>
      <c r="R1353" s="21"/>
      <c r="S1353" s="3" t="s">
        <v>40</v>
      </c>
      <c r="T1353" s="21" t="s">
        <v>41</v>
      </c>
      <c r="U1353" s="21"/>
      <c r="V1353" s="4" t="s">
        <v>42</v>
      </c>
      <c r="W1353" s="4" t="s">
        <v>54</v>
      </c>
      <c r="X1353" s="4" t="s">
        <v>55</v>
      </c>
      <c r="Y1353" s="21" t="s">
        <v>45</v>
      </c>
      <c r="Z1353" s="21"/>
      <c r="AA1353" s="4" t="s">
        <v>46</v>
      </c>
      <c r="AB1353" s="4" t="s">
        <v>47</v>
      </c>
      <c r="AD1353" s="4" t="s">
        <v>41</v>
      </c>
      <c r="AE1353" s="4" t="s">
        <v>48</v>
      </c>
      <c r="AF1353" s="4" t="s">
        <v>41</v>
      </c>
      <c r="AG1353" s="4" t="s">
        <v>2951</v>
      </c>
    </row>
    <row r="1354" spans="1:33" ht="16.5" customHeight="1" x14ac:dyDescent="0.2">
      <c r="A1354" s="2" t="s">
        <v>31</v>
      </c>
      <c r="B1354" s="19" t="s">
        <v>32</v>
      </c>
      <c r="C1354" s="19"/>
      <c r="D1354" s="19"/>
      <c r="E1354" s="20" t="s">
        <v>33</v>
      </c>
      <c r="F1354" s="20"/>
      <c r="G1354" s="21" t="s">
        <v>2947</v>
      </c>
      <c r="H1354" s="21"/>
      <c r="I1354" s="21"/>
      <c r="J1354" s="3" t="s">
        <v>35</v>
      </c>
      <c r="K1354" s="4" t="s">
        <v>665</v>
      </c>
      <c r="L1354" s="4" t="s">
        <v>37</v>
      </c>
      <c r="N1354" s="21" t="s">
        <v>2956</v>
      </c>
      <c r="O1354" s="21"/>
      <c r="P1354" s="21" t="s">
        <v>2957</v>
      </c>
      <c r="Q1354" s="21"/>
      <c r="R1354" s="21"/>
      <c r="S1354" s="3" t="s">
        <v>40</v>
      </c>
      <c r="T1354" s="21" t="s">
        <v>668</v>
      </c>
      <c r="U1354" s="21"/>
      <c r="V1354" s="4" t="s">
        <v>59</v>
      </c>
      <c r="W1354" s="4" t="s">
        <v>54</v>
      </c>
      <c r="X1354" s="4" t="s">
        <v>60</v>
      </c>
      <c r="Y1354" s="21" t="s">
        <v>669</v>
      </c>
      <c r="Z1354" s="21"/>
      <c r="AA1354" s="4" t="s">
        <v>46</v>
      </c>
      <c r="AB1354" s="4" t="s">
        <v>47</v>
      </c>
      <c r="AD1354" s="4" t="s">
        <v>41</v>
      </c>
      <c r="AE1354" s="4" t="s">
        <v>48</v>
      </c>
      <c r="AF1354" s="4" t="s">
        <v>41</v>
      </c>
      <c r="AG1354" s="4" t="s">
        <v>2951</v>
      </c>
    </row>
    <row r="1355" spans="1:33" ht="16.5" customHeight="1" x14ac:dyDescent="0.2">
      <c r="A1355" s="2" t="s">
        <v>31</v>
      </c>
      <c r="B1355" s="19" t="s">
        <v>50</v>
      </c>
      <c r="C1355" s="19"/>
      <c r="D1355" s="19"/>
      <c r="E1355" s="20" t="s">
        <v>33</v>
      </c>
      <c r="F1355" s="20"/>
      <c r="G1355" s="21" t="s">
        <v>2947</v>
      </c>
      <c r="H1355" s="21"/>
      <c r="I1355" s="21"/>
      <c r="J1355" s="3" t="s">
        <v>35</v>
      </c>
      <c r="K1355" s="4" t="s">
        <v>99</v>
      </c>
      <c r="L1355" s="4" t="s">
        <v>37</v>
      </c>
      <c r="N1355" s="21" t="s">
        <v>2958</v>
      </c>
      <c r="O1355" s="21"/>
      <c r="P1355" s="21" t="s">
        <v>2959</v>
      </c>
      <c r="Q1355" s="21"/>
      <c r="R1355" s="21"/>
      <c r="S1355" s="3" t="s">
        <v>40</v>
      </c>
      <c r="T1355" s="21" t="s">
        <v>41</v>
      </c>
      <c r="U1355" s="21"/>
      <c r="V1355" s="4" t="s">
        <v>42</v>
      </c>
      <c r="W1355" s="4" t="s">
        <v>130</v>
      </c>
      <c r="X1355" s="4" t="s">
        <v>60</v>
      </c>
      <c r="Y1355" s="21" t="s">
        <v>56</v>
      </c>
      <c r="Z1355" s="21"/>
      <c r="AA1355" s="4" t="s">
        <v>46</v>
      </c>
      <c r="AB1355" s="4" t="s">
        <v>47</v>
      </c>
      <c r="AC1355" s="4" t="s">
        <v>57</v>
      </c>
      <c r="AD1355" s="4" t="s">
        <v>58</v>
      </c>
      <c r="AE1355" s="4" t="s">
        <v>48</v>
      </c>
      <c r="AF1355" s="4" t="s">
        <v>41</v>
      </c>
      <c r="AG1355" s="4" t="s">
        <v>2951</v>
      </c>
    </row>
    <row r="1356" spans="1:33" ht="16.5" customHeight="1" x14ac:dyDescent="0.2">
      <c r="A1356" s="2" t="s">
        <v>31</v>
      </c>
      <c r="B1356" s="19" t="s">
        <v>50</v>
      </c>
      <c r="C1356" s="19"/>
      <c r="D1356" s="19"/>
      <c r="E1356" s="20" t="s">
        <v>33</v>
      </c>
      <c r="F1356" s="20"/>
      <c r="G1356" s="21" t="s">
        <v>2947</v>
      </c>
      <c r="H1356" s="21"/>
      <c r="I1356" s="21"/>
      <c r="J1356" s="3" t="s">
        <v>35</v>
      </c>
      <c r="K1356" s="4" t="s">
        <v>1032</v>
      </c>
      <c r="L1356" s="4" t="s">
        <v>37</v>
      </c>
      <c r="N1356" s="21" t="s">
        <v>2960</v>
      </c>
      <c r="O1356" s="21"/>
      <c r="P1356" s="21" t="s">
        <v>2961</v>
      </c>
      <c r="Q1356" s="21"/>
      <c r="R1356" s="21"/>
      <c r="S1356" s="3" t="s">
        <v>40</v>
      </c>
      <c r="T1356" s="21" t="s">
        <v>41</v>
      </c>
      <c r="U1356" s="21"/>
      <c r="V1356" s="4" t="s">
        <v>42</v>
      </c>
      <c r="W1356" s="4" t="s">
        <v>712</v>
      </c>
      <c r="X1356" s="4" t="s">
        <v>713</v>
      </c>
      <c r="Y1356" s="21" t="s">
        <v>56</v>
      </c>
      <c r="Z1356" s="21"/>
      <c r="AA1356" s="4" t="s">
        <v>46</v>
      </c>
      <c r="AB1356" s="4" t="s">
        <v>47</v>
      </c>
      <c r="AC1356" s="4" t="s">
        <v>139</v>
      </c>
      <c r="AD1356" s="4" t="s">
        <v>140</v>
      </c>
      <c r="AE1356" s="4" t="s">
        <v>48</v>
      </c>
      <c r="AF1356" s="4" t="s">
        <v>41</v>
      </c>
      <c r="AG1356" s="4" t="s">
        <v>2951</v>
      </c>
    </row>
    <row r="1357" spans="1:33" ht="16.5" customHeight="1" x14ac:dyDescent="0.2">
      <c r="A1357" s="2" t="s">
        <v>31</v>
      </c>
      <c r="B1357" s="19" t="s">
        <v>110</v>
      </c>
      <c r="C1357" s="19"/>
      <c r="D1357" s="19"/>
      <c r="E1357" s="20" t="s">
        <v>33</v>
      </c>
      <c r="F1357" s="20"/>
      <c r="G1357" s="21" t="s">
        <v>2947</v>
      </c>
      <c r="H1357" s="21"/>
      <c r="I1357" s="21"/>
      <c r="J1357" s="3" t="s">
        <v>111</v>
      </c>
      <c r="K1357" s="4" t="s">
        <v>561</v>
      </c>
      <c r="N1357" s="21" t="s">
        <v>2960</v>
      </c>
      <c r="O1357" s="21"/>
      <c r="P1357" s="21" t="s">
        <v>2961</v>
      </c>
      <c r="Q1357" s="21"/>
      <c r="R1357" s="21"/>
      <c r="S1357" s="3" t="s">
        <v>40</v>
      </c>
      <c r="T1357" s="21" t="s">
        <v>1943</v>
      </c>
      <c r="U1357" s="21"/>
      <c r="V1357" s="4" t="s">
        <v>42</v>
      </c>
      <c r="W1357" s="4" t="s">
        <v>59</v>
      </c>
      <c r="X1357" s="4" t="s">
        <v>131</v>
      </c>
      <c r="Y1357" s="21" t="s">
        <v>116</v>
      </c>
      <c r="Z1357" s="21"/>
      <c r="AA1357" s="4" t="s">
        <v>46</v>
      </c>
      <c r="AB1357" s="4" t="s">
        <v>117</v>
      </c>
      <c r="AC1357" s="4" t="s">
        <v>118</v>
      </c>
      <c r="AD1357" s="4" t="s">
        <v>2962</v>
      </c>
      <c r="AE1357" s="4" t="s">
        <v>48</v>
      </c>
      <c r="AF1357" s="4" t="s">
        <v>41</v>
      </c>
      <c r="AG1357" s="4" t="s">
        <v>2951</v>
      </c>
    </row>
    <row r="1358" spans="1:33" ht="16.5" customHeight="1" x14ac:dyDescent="0.2">
      <c r="A1358" s="2" t="s">
        <v>31</v>
      </c>
      <c r="B1358" s="19" t="s">
        <v>50</v>
      </c>
      <c r="C1358" s="19"/>
      <c r="D1358" s="19"/>
      <c r="E1358" s="20" t="s">
        <v>33</v>
      </c>
      <c r="F1358" s="20"/>
      <c r="G1358" s="21" t="s">
        <v>2947</v>
      </c>
      <c r="H1358" s="21"/>
      <c r="I1358" s="21"/>
      <c r="J1358" s="3" t="s">
        <v>35</v>
      </c>
      <c r="K1358" s="4" t="s">
        <v>82</v>
      </c>
      <c r="L1358" s="4" t="s">
        <v>37</v>
      </c>
      <c r="N1358" s="21" t="s">
        <v>2963</v>
      </c>
      <c r="O1358" s="21"/>
      <c r="P1358" s="21" t="s">
        <v>2964</v>
      </c>
      <c r="Q1358" s="21"/>
      <c r="R1358" s="21"/>
      <c r="S1358" s="3" t="s">
        <v>40</v>
      </c>
      <c r="T1358" s="21" t="s">
        <v>41</v>
      </c>
      <c r="U1358" s="21"/>
      <c r="V1358" s="4" t="s">
        <v>42</v>
      </c>
      <c r="W1358" s="4" t="s">
        <v>54</v>
      </c>
      <c r="X1358" s="4" t="s">
        <v>55</v>
      </c>
      <c r="Y1358" s="21" t="s">
        <v>56</v>
      </c>
      <c r="Z1358" s="21"/>
      <c r="AA1358" s="4" t="s">
        <v>46</v>
      </c>
      <c r="AB1358" s="4" t="s">
        <v>47</v>
      </c>
      <c r="AC1358" s="4" t="s">
        <v>57</v>
      </c>
      <c r="AD1358" s="4" t="s">
        <v>58</v>
      </c>
      <c r="AE1358" s="4" t="s">
        <v>48</v>
      </c>
      <c r="AF1358" s="4" t="s">
        <v>41</v>
      </c>
      <c r="AG1358" s="4" t="s">
        <v>2951</v>
      </c>
    </row>
    <row r="1359" spans="1:33" ht="16.5" customHeight="1" x14ac:dyDescent="0.2">
      <c r="A1359" s="2" t="s">
        <v>31</v>
      </c>
      <c r="B1359" s="19" t="s">
        <v>50</v>
      </c>
      <c r="C1359" s="19"/>
      <c r="D1359" s="19"/>
      <c r="E1359" s="20" t="s">
        <v>33</v>
      </c>
      <c r="F1359" s="20"/>
      <c r="G1359" s="21" t="s">
        <v>2947</v>
      </c>
      <c r="H1359" s="21"/>
      <c r="I1359" s="21"/>
      <c r="J1359" s="3" t="s">
        <v>35</v>
      </c>
      <c r="K1359" s="4" t="s">
        <v>82</v>
      </c>
      <c r="L1359" s="4" t="s">
        <v>68</v>
      </c>
      <c r="N1359" s="21" t="s">
        <v>2965</v>
      </c>
      <c r="O1359" s="21"/>
      <c r="P1359" s="21" t="s">
        <v>2966</v>
      </c>
      <c r="Q1359" s="21"/>
      <c r="R1359" s="21"/>
      <c r="S1359" s="3" t="s">
        <v>40</v>
      </c>
      <c r="T1359" s="21" t="s">
        <v>41</v>
      </c>
      <c r="U1359" s="21"/>
      <c r="V1359" s="4" t="s">
        <v>42</v>
      </c>
      <c r="W1359" s="4" t="s">
        <v>54</v>
      </c>
      <c r="X1359" s="4" t="s">
        <v>55</v>
      </c>
      <c r="Y1359" s="21" t="s">
        <v>56</v>
      </c>
      <c r="Z1359" s="21"/>
      <c r="AA1359" s="4" t="s">
        <v>46</v>
      </c>
      <c r="AB1359" s="4" t="s">
        <v>47</v>
      </c>
      <c r="AC1359" s="4" t="s">
        <v>57</v>
      </c>
      <c r="AD1359" s="4" t="s">
        <v>98</v>
      </c>
      <c r="AE1359" s="4" t="s">
        <v>48</v>
      </c>
      <c r="AF1359" s="4" t="s">
        <v>41</v>
      </c>
      <c r="AG1359" s="4" t="s">
        <v>2951</v>
      </c>
    </row>
    <row r="1360" spans="1:33" ht="16.5" customHeight="1" x14ac:dyDescent="0.2">
      <c r="A1360" s="2" t="s">
        <v>31</v>
      </c>
      <c r="B1360" s="19" t="s">
        <v>50</v>
      </c>
      <c r="C1360" s="19"/>
      <c r="D1360" s="19"/>
      <c r="E1360" s="20" t="s">
        <v>33</v>
      </c>
      <c r="F1360" s="20"/>
      <c r="G1360" s="21" t="s">
        <v>2947</v>
      </c>
      <c r="H1360" s="21"/>
      <c r="I1360" s="21"/>
      <c r="J1360" s="3" t="s">
        <v>35</v>
      </c>
      <c r="K1360" s="4" t="s">
        <v>82</v>
      </c>
      <c r="L1360" s="4" t="s">
        <v>37</v>
      </c>
      <c r="N1360" s="21" t="s">
        <v>2967</v>
      </c>
      <c r="O1360" s="21"/>
      <c r="P1360" s="21" t="s">
        <v>2968</v>
      </c>
      <c r="Q1360" s="21"/>
      <c r="R1360" s="21"/>
      <c r="S1360" s="3" t="s">
        <v>40</v>
      </c>
      <c r="T1360" s="21" t="s">
        <v>41</v>
      </c>
      <c r="U1360" s="21"/>
      <c r="V1360" s="4" t="s">
        <v>42</v>
      </c>
      <c r="W1360" s="4" t="s">
        <v>54</v>
      </c>
      <c r="X1360" s="4" t="s">
        <v>55</v>
      </c>
      <c r="Y1360" s="21" t="s">
        <v>56</v>
      </c>
      <c r="Z1360" s="21"/>
      <c r="AA1360" s="4" t="s">
        <v>46</v>
      </c>
      <c r="AB1360" s="4" t="s">
        <v>47</v>
      </c>
      <c r="AC1360" s="4" t="s">
        <v>57</v>
      </c>
      <c r="AD1360" s="4" t="s">
        <v>58</v>
      </c>
      <c r="AE1360" s="4" t="s">
        <v>48</v>
      </c>
      <c r="AF1360" s="4" t="s">
        <v>41</v>
      </c>
      <c r="AG1360" s="4" t="s">
        <v>2951</v>
      </c>
    </row>
    <row r="1361" spans="1:33" ht="16.5" customHeight="1" x14ac:dyDescent="0.2">
      <c r="A1361" s="2" t="s">
        <v>31</v>
      </c>
      <c r="B1361" s="19" t="s">
        <v>50</v>
      </c>
      <c r="C1361" s="19"/>
      <c r="D1361" s="19"/>
      <c r="E1361" s="20" t="s">
        <v>33</v>
      </c>
      <c r="F1361" s="20"/>
      <c r="G1361" s="21" t="s">
        <v>2947</v>
      </c>
      <c r="H1361" s="21"/>
      <c r="I1361" s="21"/>
      <c r="J1361" s="3" t="s">
        <v>35</v>
      </c>
      <c r="K1361" s="4" t="s">
        <v>82</v>
      </c>
      <c r="L1361" s="4" t="s">
        <v>37</v>
      </c>
      <c r="N1361" s="21" t="s">
        <v>2969</v>
      </c>
      <c r="O1361" s="21"/>
      <c r="P1361" s="21" t="s">
        <v>2970</v>
      </c>
      <c r="Q1361" s="21"/>
      <c r="R1361" s="21"/>
      <c r="S1361" s="3" t="s">
        <v>40</v>
      </c>
      <c r="T1361" s="21" t="s">
        <v>41</v>
      </c>
      <c r="U1361" s="21"/>
      <c r="V1361" s="4" t="s">
        <v>42</v>
      </c>
      <c r="W1361" s="4" t="s">
        <v>54</v>
      </c>
      <c r="X1361" s="4" t="s">
        <v>55</v>
      </c>
      <c r="Y1361" s="21" t="s">
        <v>56</v>
      </c>
      <c r="Z1361" s="21"/>
      <c r="AA1361" s="4" t="s">
        <v>46</v>
      </c>
      <c r="AB1361" s="4" t="s">
        <v>47</v>
      </c>
      <c r="AC1361" s="4" t="s">
        <v>57</v>
      </c>
      <c r="AD1361" s="4" t="s">
        <v>58</v>
      </c>
      <c r="AE1361" s="4" t="s">
        <v>48</v>
      </c>
      <c r="AF1361" s="4" t="s">
        <v>41</v>
      </c>
      <c r="AG1361" s="4" t="s">
        <v>2951</v>
      </c>
    </row>
    <row r="1362" spans="1:33" ht="16.5" customHeight="1" x14ac:dyDescent="0.2">
      <c r="A1362" s="2" t="s">
        <v>31</v>
      </c>
      <c r="B1362" s="19" t="s">
        <v>50</v>
      </c>
      <c r="C1362" s="19"/>
      <c r="D1362" s="19"/>
      <c r="E1362" s="20" t="s">
        <v>33</v>
      </c>
      <c r="F1362" s="20"/>
      <c r="G1362" s="21" t="s">
        <v>2947</v>
      </c>
      <c r="H1362" s="21"/>
      <c r="I1362" s="21"/>
      <c r="J1362" s="3" t="s">
        <v>35</v>
      </c>
      <c r="K1362" s="4" t="s">
        <v>82</v>
      </c>
      <c r="L1362" s="4" t="s">
        <v>231</v>
      </c>
      <c r="N1362" s="21" t="s">
        <v>2971</v>
      </c>
      <c r="O1362" s="21"/>
      <c r="P1362" s="21" t="s">
        <v>2972</v>
      </c>
      <c r="Q1362" s="21"/>
      <c r="R1362" s="21"/>
      <c r="S1362" s="3" t="s">
        <v>40</v>
      </c>
      <c r="T1362" s="21" t="s">
        <v>41</v>
      </c>
      <c r="U1362" s="21"/>
      <c r="V1362" s="4" t="s">
        <v>42</v>
      </c>
      <c r="W1362" s="4" t="s">
        <v>54</v>
      </c>
      <c r="X1362" s="4" t="s">
        <v>55</v>
      </c>
      <c r="Y1362" s="21" t="s">
        <v>56</v>
      </c>
      <c r="Z1362" s="21"/>
      <c r="AA1362" s="4" t="s">
        <v>46</v>
      </c>
      <c r="AB1362" s="4" t="s">
        <v>47</v>
      </c>
      <c r="AC1362" s="4" t="s">
        <v>57</v>
      </c>
      <c r="AD1362" s="4" t="s">
        <v>236</v>
      </c>
      <c r="AE1362" s="4" t="s">
        <v>48</v>
      </c>
      <c r="AF1362" s="4" t="s">
        <v>41</v>
      </c>
      <c r="AG1362" s="4" t="s">
        <v>2951</v>
      </c>
    </row>
    <row r="1363" spans="1:33" ht="16.5" customHeight="1" x14ac:dyDescent="0.2">
      <c r="A1363" s="2" t="s">
        <v>31</v>
      </c>
      <c r="B1363" s="19" t="s">
        <v>50</v>
      </c>
      <c r="C1363" s="19"/>
      <c r="D1363" s="19"/>
      <c r="E1363" s="20" t="s">
        <v>33</v>
      </c>
      <c r="F1363" s="20"/>
      <c r="G1363" s="21" t="s">
        <v>2947</v>
      </c>
      <c r="H1363" s="21"/>
      <c r="I1363" s="21"/>
      <c r="J1363" s="3" t="s">
        <v>35</v>
      </c>
      <c r="K1363" s="4" t="s">
        <v>82</v>
      </c>
      <c r="L1363" s="4" t="s">
        <v>68</v>
      </c>
      <c r="N1363" s="21" t="s">
        <v>2971</v>
      </c>
      <c r="O1363" s="21"/>
      <c r="P1363" s="21" t="s">
        <v>2972</v>
      </c>
      <c r="Q1363" s="21"/>
      <c r="R1363" s="21"/>
      <c r="S1363" s="3" t="s">
        <v>40</v>
      </c>
      <c r="T1363" s="21" t="s">
        <v>41</v>
      </c>
      <c r="U1363" s="21"/>
      <c r="V1363" s="4" t="s">
        <v>59</v>
      </c>
      <c r="W1363" s="4" t="s">
        <v>54</v>
      </c>
      <c r="X1363" s="4" t="s">
        <v>60</v>
      </c>
      <c r="Y1363" s="21" t="s">
        <v>56</v>
      </c>
      <c r="Z1363" s="21"/>
      <c r="AA1363" s="4" t="s">
        <v>46</v>
      </c>
      <c r="AB1363" s="4" t="s">
        <v>47</v>
      </c>
      <c r="AC1363" s="4" t="s">
        <v>57</v>
      </c>
      <c r="AD1363" s="4" t="s">
        <v>98</v>
      </c>
      <c r="AE1363" s="4" t="s">
        <v>48</v>
      </c>
      <c r="AF1363" s="4" t="s">
        <v>41</v>
      </c>
      <c r="AG1363" s="4" t="s">
        <v>2951</v>
      </c>
    </row>
    <row r="1364" spans="1:33" ht="16.5" customHeight="1" x14ac:dyDescent="0.2">
      <c r="A1364" s="2" t="s">
        <v>31</v>
      </c>
      <c r="B1364" s="19" t="s">
        <v>50</v>
      </c>
      <c r="C1364" s="19"/>
      <c r="D1364" s="19"/>
      <c r="E1364" s="20" t="s">
        <v>33</v>
      </c>
      <c r="F1364" s="20"/>
      <c r="G1364" s="21" t="s">
        <v>2947</v>
      </c>
      <c r="H1364" s="21"/>
      <c r="I1364" s="21"/>
      <c r="J1364" s="3" t="s">
        <v>35</v>
      </c>
      <c r="K1364" s="4" t="s">
        <v>82</v>
      </c>
      <c r="L1364" s="4" t="s">
        <v>37</v>
      </c>
      <c r="N1364" s="21" t="s">
        <v>2973</v>
      </c>
      <c r="O1364" s="21"/>
      <c r="P1364" s="21" t="s">
        <v>2974</v>
      </c>
      <c r="Q1364" s="21"/>
      <c r="R1364" s="21"/>
      <c r="S1364" s="3" t="s">
        <v>40</v>
      </c>
      <c r="T1364" s="21" t="s">
        <v>41</v>
      </c>
      <c r="U1364" s="21"/>
      <c r="V1364" s="4" t="s">
        <v>42</v>
      </c>
      <c r="W1364" s="4" t="s">
        <v>130</v>
      </c>
      <c r="X1364" s="4" t="s">
        <v>60</v>
      </c>
      <c r="Y1364" s="21" t="s">
        <v>56</v>
      </c>
      <c r="Z1364" s="21"/>
      <c r="AA1364" s="4" t="s">
        <v>46</v>
      </c>
      <c r="AB1364" s="4" t="s">
        <v>47</v>
      </c>
      <c r="AC1364" s="4" t="s">
        <v>57</v>
      </c>
      <c r="AD1364" s="4" t="s">
        <v>58</v>
      </c>
      <c r="AE1364" s="4" t="s">
        <v>48</v>
      </c>
      <c r="AF1364" s="4" t="s">
        <v>41</v>
      </c>
      <c r="AG1364" s="4" t="s">
        <v>2951</v>
      </c>
    </row>
    <row r="1365" spans="1:33" ht="16.5" customHeight="1" x14ac:dyDescent="0.2">
      <c r="A1365" s="2" t="s">
        <v>31</v>
      </c>
      <c r="B1365" s="19" t="s">
        <v>50</v>
      </c>
      <c r="C1365" s="19"/>
      <c r="D1365" s="19"/>
      <c r="E1365" s="20" t="s">
        <v>33</v>
      </c>
      <c r="F1365" s="20"/>
      <c r="G1365" s="21" t="s">
        <v>2947</v>
      </c>
      <c r="H1365" s="21"/>
      <c r="I1365" s="21"/>
      <c r="J1365" s="3" t="s">
        <v>35</v>
      </c>
      <c r="K1365" s="4" t="s">
        <v>152</v>
      </c>
      <c r="L1365" s="4" t="s">
        <v>37</v>
      </c>
      <c r="N1365" s="21" t="s">
        <v>2975</v>
      </c>
      <c r="O1365" s="21"/>
      <c r="P1365" s="21" t="s">
        <v>2976</v>
      </c>
      <c r="Q1365" s="21"/>
      <c r="R1365" s="21"/>
      <c r="S1365" s="3" t="s">
        <v>40</v>
      </c>
      <c r="T1365" s="21" t="s">
        <v>41</v>
      </c>
      <c r="U1365" s="21"/>
      <c r="V1365" s="4" t="s">
        <v>42</v>
      </c>
      <c r="W1365" s="4" t="s">
        <v>130</v>
      </c>
      <c r="X1365" s="4" t="s">
        <v>60</v>
      </c>
      <c r="Y1365" s="21" t="s">
        <v>56</v>
      </c>
      <c r="Z1365" s="21"/>
      <c r="AA1365" s="4" t="s">
        <v>46</v>
      </c>
      <c r="AB1365" s="4" t="s">
        <v>47</v>
      </c>
      <c r="AC1365" s="4" t="s">
        <v>57</v>
      </c>
      <c r="AD1365" s="4" t="s">
        <v>58</v>
      </c>
      <c r="AE1365" s="4" t="s">
        <v>48</v>
      </c>
      <c r="AF1365" s="4" t="s">
        <v>41</v>
      </c>
      <c r="AG1365" s="4" t="s">
        <v>2951</v>
      </c>
    </row>
    <row r="1366" spans="1:33" ht="16.5" customHeight="1" x14ac:dyDescent="0.2">
      <c r="A1366" s="2" t="s">
        <v>31</v>
      </c>
      <c r="B1366" s="19" t="s">
        <v>50</v>
      </c>
      <c r="C1366" s="19"/>
      <c r="D1366" s="19"/>
      <c r="E1366" s="20" t="s">
        <v>33</v>
      </c>
      <c r="F1366" s="20"/>
      <c r="G1366" s="21" t="s">
        <v>2947</v>
      </c>
      <c r="H1366" s="21"/>
      <c r="I1366" s="21"/>
      <c r="J1366" s="3" t="s">
        <v>35</v>
      </c>
      <c r="K1366" s="4" t="s">
        <v>82</v>
      </c>
      <c r="L1366" s="4" t="s">
        <v>37</v>
      </c>
      <c r="N1366" s="21" t="s">
        <v>2977</v>
      </c>
      <c r="O1366" s="21"/>
      <c r="P1366" s="21" t="s">
        <v>2978</v>
      </c>
      <c r="Q1366" s="21"/>
      <c r="R1366" s="21"/>
      <c r="S1366" s="3" t="s">
        <v>40</v>
      </c>
      <c r="T1366" s="21" t="s">
        <v>41</v>
      </c>
      <c r="U1366" s="21"/>
      <c r="V1366" s="4" t="s">
        <v>42</v>
      </c>
      <c r="W1366" s="4" t="s">
        <v>130</v>
      </c>
      <c r="X1366" s="4" t="s">
        <v>60</v>
      </c>
      <c r="Y1366" s="21" t="s">
        <v>56</v>
      </c>
      <c r="Z1366" s="21"/>
      <c r="AA1366" s="4" t="s">
        <v>46</v>
      </c>
      <c r="AB1366" s="4" t="s">
        <v>47</v>
      </c>
      <c r="AC1366" s="4" t="s">
        <v>57</v>
      </c>
      <c r="AD1366" s="4" t="s">
        <v>58</v>
      </c>
      <c r="AE1366" s="4" t="s">
        <v>48</v>
      </c>
      <c r="AF1366" s="4" t="s">
        <v>41</v>
      </c>
      <c r="AG1366" s="4" t="s">
        <v>2951</v>
      </c>
    </row>
    <row r="1367" spans="1:33" ht="16.5" customHeight="1" x14ac:dyDescent="0.2">
      <c r="A1367" s="2" t="s">
        <v>31</v>
      </c>
      <c r="B1367" s="19" t="s">
        <v>50</v>
      </c>
      <c r="C1367" s="19"/>
      <c r="D1367" s="19"/>
      <c r="E1367" s="20" t="s">
        <v>33</v>
      </c>
      <c r="F1367" s="20"/>
      <c r="G1367" s="21" t="s">
        <v>2947</v>
      </c>
      <c r="H1367" s="21"/>
      <c r="I1367" s="21"/>
      <c r="J1367" s="3" t="s">
        <v>35</v>
      </c>
      <c r="K1367" s="4" t="s">
        <v>51</v>
      </c>
      <c r="L1367" s="4" t="s">
        <v>37</v>
      </c>
      <c r="N1367" s="21" t="s">
        <v>2979</v>
      </c>
      <c r="O1367" s="21"/>
      <c r="P1367" s="21" t="s">
        <v>2980</v>
      </c>
      <c r="Q1367" s="21"/>
      <c r="R1367" s="21"/>
      <c r="S1367" s="3" t="s">
        <v>40</v>
      </c>
      <c r="T1367" s="21" t="s">
        <v>41</v>
      </c>
      <c r="U1367" s="21"/>
      <c r="V1367" s="4" t="s">
        <v>42</v>
      </c>
      <c r="W1367" s="4" t="s">
        <v>130</v>
      </c>
      <c r="X1367" s="4" t="s">
        <v>60</v>
      </c>
      <c r="Y1367" s="21" t="s">
        <v>56</v>
      </c>
      <c r="Z1367" s="21"/>
      <c r="AA1367" s="4" t="s">
        <v>46</v>
      </c>
      <c r="AB1367" s="4" t="s">
        <v>47</v>
      </c>
      <c r="AC1367" s="4" t="s">
        <v>57</v>
      </c>
      <c r="AD1367" s="4" t="s">
        <v>58</v>
      </c>
      <c r="AE1367" s="4" t="s">
        <v>48</v>
      </c>
      <c r="AF1367" s="4" t="s">
        <v>41</v>
      </c>
      <c r="AG1367" s="4" t="s">
        <v>2951</v>
      </c>
    </row>
    <row r="1368" spans="1:33" ht="16.5" customHeight="1" x14ac:dyDescent="0.2">
      <c r="A1368" s="2" t="s">
        <v>31</v>
      </c>
      <c r="B1368" s="19" t="s">
        <v>50</v>
      </c>
      <c r="C1368" s="19"/>
      <c r="D1368" s="19"/>
      <c r="E1368" s="20" t="s">
        <v>33</v>
      </c>
      <c r="F1368" s="20"/>
      <c r="G1368" s="21" t="s">
        <v>2947</v>
      </c>
      <c r="H1368" s="21"/>
      <c r="I1368" s="21"/>
      <c r="J1368" s="3" t="s">
        <v>35</v>
      </c>
      <c r="K1368" s="4" t="s">
        <v>82</v>
      </c>
      <c r="L1368" s="4" t="s">
        <v>37</v>
      </c>
      <c r="N1368" s="21" t="s">
        <v>2981</v>
      </c>
      <c r="O1368" s="21"/>
      <c r="P1368" s="21" t="s">
        <v>2982</v>
      </c>
      <c r="Q1368" s="21"/>
      <c r="R1368" s="21"/>
      <c r="S1368" s="3" t="s">
        <v>40</v>
      </c>
      <c r="T1368" s="21" t="s">
        <v>41</v>
      </c>
      <c r="U1368" s="21"/>
      <c r="V1368" s="4" t="s">
        <v>42</v>
      </c>
      <c r="W1368" s="4" t="s">
        <v>130</v>
      </c>
      <c r="X1368" s="4" t="s">
        <v>60</v>
      </c>
      <c r="Y1368" s="21" t="s">
        <v>56</v>
      </c>
      <c r="Z1368" s="21"/>
      <c r="AA1368" s="4" t="s">
        <v>46</v>
      </c>
      <c r="AB1368" s="4" t="s">
        <v>47</v>
      </c>
      <c r="AC1368" s="4" t="s">
        <v>57</v>
      </c>
      <c r="AD1368" s="4" t="s">
        <v>58</v>
      </c>
      <c r="AE1368" s="4" t="s">
        <v>48</v>
      </c>
      <c r="AF1368" s="4" t="s">
        <v>41</v>
      </c>
      <c r="AG1368" s="4" t="s">
        <v>2951</v>
      </c>
    </row>
    <row r="1369" spans="1:33" ht="16.5" customHeight="1" x14ac:dyDescent="0.2">
      <c r="A1369" s="2" t="s">
        <v>31</v>
      </c>
      <c r="B1369" s="19" t="s">
        <v>50</v>
      </c>
      <c r="C1369" s="19"/>
      <c r="D1369" s="19"/>
      <c r="E1369" s="20" t="s">
        <v>33</v>
      </c>
      <c r="F1369" s="20"/>
      <c r="G1369" s="21" t="s">
        <v>2947</v>
      </c>
      <c r="H1369" s="21"/>
      <c r="I1369" s="21"/>
      <c r="J1369" s="3" t="s">
        <v>35</v>
      </c>
      <c r="K1369" s="4" t="s">
        <v>265</v>
      </c>
      <c r="L1369" s="4" t="s">
        <v>37</v>
      </c>
      <c r="N1369" s="21" t="s">
        <v>2983</v>
      </c>
      <c r="O1369" s="21"/>
      <c r="P1369" s="21" t="s">
        <v>2984</v>
      </c>
      <c r="Q1369" s="21"/>
      <c r="R1369" s="21"/>
      <c r="S1369" s="3" t="s">
        <v>40</v>
      </c>
      <c r="T1369" s="21" t="s">
        <v>41</v>
      </c>
      <c r="U1369" s="21"/>
      <c r="V1369" s="4" t="s">
        <v>42</v>
      </c>
      <c r="W1369" s="4" t="s">
        <v>130</v>
      </c>
      <c r="X1369" s="4" t="s">
        <v>60</v>
      </c>
      <c r="Y1369" s="21" t="s">
        <v>56</v>
      </c>
      <c r="Z1369" s="21"/>
      <c r="AA1369" s="4" t="s">
        <v>46</v>
      </c>
      <c r="AB1369" s="4" t="s">
        <v>47</v>
      </c>
      <c r="AC1369" s="4" t="s">
        <v>57</v>
      </c>
      <c r="AD1369" s="4" t="s">
        <v>58</v>
      </c>
      <c r="AE1369" s="4" t="s">
        <v>48</v>
      </c>
      <c r="AF1369" s="4" t="s">
        <v>41</v>
      </c>
      <c r="AG1369" s="4" t="s">
        <v>2951</v>
      </c>
    </row>
    <row r="1370" spans="1:33" ht="16.5" customHeight="1" x14ac:dyDescent="0.2">
      <c r="A1370" s="2" t="s">
        <v>31</v>
      </c>
      <c r="B1370" s="19" t="s">
        <v>50</v>
      </c>
      <c r="C1370" s="19"/>
      <c r="D1370" s="19"/>
      <c r="E1370" s="20" t="s">
        <v>33</v>
      </c>
      <c r="F1370" s="20"/>
      <c r="G1370" s="21" t="s">
        <v>2947</v>
      </c>
      <c r="H1370" s="21"/>
      <c r="I1370" s="21"/>
      <c r="J1370" s="3" t="s">
        <v>35</v>
      </c>
      <c r="K1370" s="4" t="s">
        <v>265</v>
      </c>
      <c r="L1370" s="4" t="s">
        <v>37</v>
      </c>
      <c r="N1370" s="21" t="s">
        <v>2985</v>
      </c>
      <c r="O1370" s="21"/>
      <c r="P1370" s="21" t="s">
        <v>2986</v>
      </c>
      <c r="Q1370" s="21"/>
      <c r="R1370" s="21"/>
      <c r="S1370" s="3" t="s">
        <v>40</v>
      </c>
      <c r="T1370" s="21" t="s">
        <v>41</v>
      </c>
      <c r="U1370" s="21"/>
      <c r="V1370" s="4" t="s">
        <v>42</v>
      </c>
      <c r="W1370" s="4" t="s">
        <v>130</v>
      </c>
      <c r="X1370" s="4" t="s">
        <v>60</v>
      </c>
      <c r="Y1370" s="21" t="s">
        <v>56</v>
      </c>
      <c r="Z1370" s="21"/>
      <c r="AA1370" s="4" t="s">
        <v>46</v>
      </c>
      <c r="AB1370" s="4" t="s">
        <v>47</v>
      </c>
      <c r="AC1370" s="4" t="s">
        <v>57</v>
      </c>
      <c r="AD1370" s="4" t="s">
        <v>58</v>
      </c>
      <c r="AE1370" s="4" t="s">
        <v>48</v>
      </c>
      <c r="AF1370" s="4" t="s">
        <v>41</v>
      </c>
      <c r="AG1370" s="4" t="s">
        <v>2951</v>
      </c>
    </row>
    <row r="1371" spans="1:33" ht="16.5" customHeight="1" x14ac:dyDescent="0.2">
      <c r="A1371" s="2" t="s">
        <v>31</v>
      </c>
      <c r="B1371" s="19" t="s">
        <v>50</v>
      </c>
      <c r="C1371" s="19"/>
      <c r="D1371" s="19"/>
      <c r="E1371" s="20" t="s">
        <v>33</v>
      </c>
      <c r="F1371" s="20"/>
      <c r="G1371" s="21" t="s">
        <v>2947</v>
      </c>
      <c r="H1371" s="21"/>
      <c r="I1371" s="21"/>
      <c r="J1371" s="3" t="s">
        <v>35</v>
      </c>
      <c r="K1371" s="4" t="s">
        <v>265</v>
      </c>
      <c r="L1371" s="4" t="s">
        <v>37</v>
      </c>
      <c r="N1371" s="21" t="s">
        <v>2985</v>
      </c>
      <c r="O1371" s="21"/>
      <c r="P1371" s="21" t="s">
        <v>2986</v>
      </c>
      <c r="Q1371" s="21"/>
      <c r="R1371" s="21"/>
      <c r="S1371" s="3" t="s">
        <v>40</v>
      </c>
      <c r="T1371" s="21" t="s">
        <v>41</v>
      </c>
      <c r="U1371" s="21"/>
      <c r="V1371" s="4" t="s">
        <v>59</v>
      </c>
      <c r="W1371" s="4" t="s">
        <v>130</v>
      </c>
      <c r="X1371" s="4" t="s">
        <v>131</v>
      </c>
      <c r="Y1371" s="21" t="s">
        <v>56</v>
      </c>
      <c r="Z1371" s="21"/>
      <c r="AA1371" s="4" t="s">
        <v>46</v>
      </c>
      <c r="AB1371" s="4" t="s">
        <v>47</v>
      </c>
      <c r="AC1371" s="4" t="s">
        <v>57</v>
      </c>
      <c r="AD1371" s="4" t="s">
        <v>58</v>
      </c>
      <c r="AE1371" s="4" t="s">
        <v>48</v>
      </c>
      <c r="AF1371" s="4" t="s">
        <v>41</v>
      </c>
      <c r="AG1371" s="4" t="s">
        <v>2951</v>
      </c>
    </row>
    <row r="1372" spans="1:33" ht="16.5" customHeight="1" x14ac:dyDescent="0.2">
      <c r="A1372" s="2" t="s">
        <v>31</v>
      </c>
      <c r="B1372" s="19" t="s">
        <v>50</v>
      </c>
      <c r="C1372" s="19"/>
      <c r="D1372" s="19"/>
      <c r="E1372" s="20" t="s">
        <v>33</v>
      </c>
      <c r="F1372" s="20"/>
      <c r="G1372" s="21" t="s">
        <v>2947</v>
      </c>
      <c r="H1372" s="21"/>
      <c r="I1372" s="21"/>
      <c r="J1372" s="3" t="s">
        <v>35</v>
      </c>
      <c r="K1372" s="4" t="s">
        <v>82</v>
      </c>
      <c r="L1372" s="4" t="s">
        <v>37</v>
      </c>
      <c r="N1372" s="21" t="s">
        <v>2987</v>
      </c>
      <c r="O1372" s="21"/>
      <c r="P1372" s="21" t="s">
        <v>2988</v>
      </c>
      <c r="Q1372" s="21"/>
      <c r="R1372" s="21"/>
      <c r="S1372" s="3" t="s">
        <v>40</v>
      </c>
      <c r="T1372" s="21" t="s">
        <v>41</v>
      </c>
      <c r="U1372" s="21"/>
      <c r="V1372" s="4" t="s">
        <v>59</v>
      </c>
      <c r="W1372" s="4" t="s">
        <v>130</v>
      </c>
      <c r="X1372" s="4" t="s">
        <v>131</v>
      </c>
      <c r="Y1372" s="21" t="s">
        <v>56</v>
      </c>
      <c r="Z1372" s="21"/>
      <c r="AA1372" s="4" t="s">
        <v>46</v>
      </c>
      <c r="AB1372" s="4" t="s">
        <v>47</v>
      </c>
      <c r="AC1372" s="4" t="s">
        <v>57</v>
      </c>
      <c r="AD1372" s="4" t="s">
        <v>58</v>
      </c>
      <c r="AE1372" s="4" t="s">
        <v>48</v>
      </c>
      <c r="AF1372" s="4" t="s">
        <v>41</v>
      </c>
      <c r="AG1372" s="4" t="s">
        <v>2951</v>
      </c>
    </row>
    <row r="1373" spans="1:33" ht="16.5" customHeight="1" x14ac:dyDescent="0.2">
      <c r="A1373" s="2" t="s">
        <v>31</v>
      </c>
      <c r="B1373" s="19" t="s">
        <v>50</v>
      </c>
      <c r="C1373" s="19"/>
      <c r="D1373" s="19"/>
      <c r="E1373" s="20" t="s">
        <v>33</v>
      </c>
      <c r="F1373" s="20"/>
      <c r="G1373" s="21" t="s">
        <v>2947</v>
      </c>
      <c r="H1373" s="21"/>
      <c r="I1373" s="21"/>
      <c r="J1373" s="3" t="s">
        <v>35</v>
      </c>
      <c r="K1373" s="4" t="s">
        <v>82</v>
      </c>
      <c r="L1373" s="4" t="s">
        <v>37</v>
      </c>
      <c r="N1373" s="21" t="s">
        <v>2989</v>
      </c>
      <c r="O1373" s="21"/>
      <c r="P1373" s="21" t="s">
        <v>2990</v>
      </c>
      <c r="Q1373" s="21"/>
      <c r="R1373" s="21"/>
      <c r="S1373" s="3" t="s">
        <v>40</v>
      </c>
      <c r="T1373" s="21" t="s">
        <v>41</v>
      </c>
      <c r="U1373" s="21"/>
      <c r="V1373" s="4" t="s">
        <v>42</v>
      </c>
      <c r="W1373" s="4" t="s">
        <v>130</v>
      </c>
      <c r="X1373" s="4" t="s">
        <v>60</v>
      </c>
      <c r="Y1373" s="21" t="s">
        <v>56</v>
      </c>
      <c r="Z1373" s="21"/>
      <c r="AA1373" s="4" t="s">
        <v>46</v>
      </c>
      <c r="AB1373" s="4" t="s">
        <v>47</v>
      </c>
      <c r="AC1373" s="4" t="s">
        <v>57</v>
      </c>
      <c r="AD1373" s="4" t="s">
        <v>58</v>
      </c>
      <c r="AE1373" s="4" t="s">
        <v>48</v>
      </c>
      <c r="AF1373" s="4" t="s">
        <v>41</v>
      </c>
      <c r="AG1373" s="4" t="s">
        <v>2951</v>
      </c>
    </row>
    <row r="1374" spans="1:33" ht="16.5" customHeight="1" x14ac:dyDescent="0.2">
      <c r="A1374" s="2" t="s">
        <v>31</v>
      </c>
      <c r="B1374" s="19" t="s">
        <v>50</v>
      </c>
      <c r="C1374" s="19"/>
      <c r="D1374" s="19"/>
      <c r="E1374" s="20" t="s">
        <v>33</v>
      </c>
      <c r="F1374" s="20"/>
      <c r="G1374" s="21" t="s">
        <v>2947</v>
      </c>
      <c r="H1374" s="21"/>
      <c r="I1374" s="21"/>
      <c r="J1374" s="3" t="s">
        <v>35</v>
      </c>
      <c r="K1374" s="4" t="s">
        <v>82</v>
      </c>
      <c r="L1374" s="4" t="s">
        <v>37</v>
      </c>
      <c r="N1374" s="21" t="s">
        <v>2989</v>
      </c>
      <c r="O1374" s="21"/>
      <c r="P1374" s="21" t="s">
        <v>2990</v>
      </c>
      <c r="Q1374" s="21"/>
      <c r="R1374" s="21"/>
      <c r="S1374" s="3" t="s">
        <v>40</v>
      </c>
      <c r="T1374" s="21" t="s">
        <v>41</v>
      </c>
      <c r="U1374" s="21"/>
      <c r="V1374" s="4" t="s">
        <v>59</v>
      </c>
      <c r="W1374" s="4" t="s">
        <v>130</v>
      </c>
      <c r="X1374" s="4" t="s">
        <v>131</v>
      </c>
      <c r="Y1374" s="21" t="s">
        <v>56</v>
      </c>
      <c r="Z1374" s="21"/>
      <c r="AA1374" s="4" t="s">
        <v>46</v>
      </c>
      <c r="AB1374" s="4" t="s">
        <v>47</v>
      </c>
      <c r="AC1374" s="4" t="s">
        <v>57</v>
      </c>
      <c r="AD1374" s="4" t="s">
        <v>58</v>
      </c>
      <c r="AE1374" s="4" t="s">
        <v>48</v>
      </c>
      <c r="AF1374" s="4" t="s">
        <v>41</v>
      </c>
      <c r="AG1374" s="4" t="s">
        <v>2951</v>
      </c>
    </row>
    <row r="1375" spans="1:33" ht="16.5" customHeight="1" x14ac:dyDescent="0.2">
      <c r="A1375" s="2" t="s">
        <v>31</v>
      </c>
      <c r="B1375" s="19" t="s">
        <v>50</v>
      </c>
      <c r="C1375" s="19"/>
      <c r="D1375" s="19"/>
      <c r="E1375" s="20" t="s">
        <v>33</v>
      </c>
      <c r="F1375" s="20"/>
      <c r="G1375" s="21" t="s">
        <v>2947</v>
      </c>
      <c r="H1375" s="21"/>
      <c r="I1375" s="21"/>
      <c r="J1375" s="3" t="s">
        <v>35</v>
      </c>
      <c r="K1375" s="4" t="s">
        <v>87</v>
      </c>
      <c r="L1375" s="4" t="s">
        <v>37</v>
      </c>
      <c r="N1375" s="21" t="s">
        <v>2991</v>
      </c>
      <c r="O1375" s="21"/>
      <c r="P1375" s="21" t="s">
        <v>2992</v>
      </c>
      <c r="Q1375" s="21"/>
      <c r="R1375" s="21"/>
      <c r="S1375" s="3" t="s">
        <v>40</v>
      </c>
      <c r="T1375" s="21" t="s">
        <v>41</v>
      </c>
      <c r="U1375" s="21"/>
      <c r="V1375" s="4" t="s">
        <v>59</v>
      </c>
      <c r="W1375" s="4" t="s">
        <v>130</v>
      </c>
      <c r="X1375" s="4" t="s">
        <v>131</v>
      </c>
      <c r="Y1375" s="21" t="s">
        <v>56</v>
      </c>
      <c r="Z1375" s="21"/>
      <c r="AA1375" s="4" t="s">
        <v>46</v>
      </c>
      <c r="AB1375" s="4" t="s">
        <v>47</v>
      </c>
      <c r="AC1375" s="4" t="s">
        <v>57</v>
      </c>
      <c r="AD1375" s="4" t="s">
        <v>58</v>
      </c>
      <c r="AE1375" s="4" t="s">
        <v>48</v>
      </c>
      <c r="AF1375" s="4" t="s">
        <v>41</v>
      </c>
      <c r="AG1375" s="4" t="s">
        <v>2951</v>
      </c>
    </row>
    <row r="1376" spans="1:33" ht="16.5" customHeight="1" x14ac:dyDescent="0.2">
      <c r="A1376" s="2" t="s">
        <v>31</v>
      </c>
      <c r="B1376" s="19" t="s">
        <v>50</v>
      </c>
      <c r="C1376" s="19"/>
      <c r="D1376" s="19"/>
      <c r="E1376" s="20" t="s">
        <v>33</v>
      </c>
      <c r="F1376" s="20"/>
      <c r="G1376" s="21" t="s">
        <v>2947</v>
      </c>
      <c r="H1376" s="21"/>
      <c r="I1376" s="21"/>
      <c r="J1376" s="3" t="s">
        <v>35</v>
      </c>
      <c r="K1376" s="4" t="s">
        <v>82</v>
      </c>
      <c r="L1376" s="4" t="s">
        <v>68</v>
      </c>
      <c r="N1376" s="21" t="s">
        <v>2993</v>
      </c>
      <c r="O1376" s="21"/>
      <c r="P1376" s="21" t="s">
        <v>2994</v>
      </c>
      <c r="Q1376" s="21"/>
      <c r="R1376" s="21"/>
      <c r="S1376" s="3" t="s">
        <v>40</v>
      </c>
      <c r="T1376" s="21" t="s">
        <v>41</v>
      </c>
      <c r="U1376" s="21"/>
      <c r="V1376" s="4" t="s">
        <v>42</v>
      </c>
      <c r="W1376" s="4" t="s">
        <v>59</v>
      </c>
      <c r="X1376" s="4" t="s">
        <v>131</v>
      </c>
      <c r="Y1376" s="21" t="s">
        <v>56</v>
      </c>
      <c r="Z1376" s="21"/>
      <c r="AA1376" s="4" t="s">
        <v>46</v>
      </c>
      <c r="AB1376" s="4" t="s">
        <v>47</v>
      </c>
      <c r="AC1376" s="4" t="s">
        <v>57</v>
      </c>
      <c r="AD1376" s="4" t="s">
        <v>98</v>
      </c>
      <c r="AE1376" s="4" t="s">
        <v>48</v>
      </c>
      <c r="AF1376" s="4" t="s">
        <v>41</v>
      </c>
      <c r="AG1376" s="4" t="s">
        <v>2951</v>
      </c>
    </row>
    <row r="1377" spans="1:33" ht="16.5" customHeight="1" x14ac:dyDescent="0.2">
      <c r="A1377" s="2" t="s">
        <v>31</v>
      </c>
      <c r="B1377" s="19" t="s">
        <v>50</v>
      </c>
      <c r="C1377" s="19"/>
      <c r="D1377" s="19"/>
      <c r="E1377" s="20" t="s">
        <v>33</v>
      </c>
      <c r="F1377" s="20"/>
      <c r="G1377" s="21" t="s">
        <v>2947</v>
      </c>
      <c r="H1377" s="21"/>
      <c r="I1377" s="21"/>
      <c r="J1377" s="3" t="s">
        <v>35</v>
      </c>
      <c r="K1377" s="4" t="s">
        <v>82</v>
      </c>
      <c r="L1377" s="4" t="s">
        <v>37</v>
      </c>
      <c r="N1377" s="21" t="s">
        <v>2995</v>
      </c>
      <c r="O1377" s="21"/>
      <c r="P1377" s="21" t="s">
        <v>2996</v>
      </c>
      <c r="Q1377" s="21"/>
      <c r="R1377" s="21"/>
      <c r="S1377" s="3" t="s">
        <v>40</v>
      </c>
      <c r="T1377" s="21" t="s">
        <v>41</v>
      </c>
      <c r="U1377" s="21"/>
      <c r="V1377" s="4" t="s">
        <v>42</v>
      </c>
      <c r="W1377" s="4" t="s">
        <v>59</v>
      </c>
      <c r="X1377" s="4" t="s">
        <v>131</v>
      </c>
      <c r="Y1377" s="21" t="s">
        <v>56</v>
      </c>
      <c r="Z1377" s="21"/>
      <c r="AA1377" s="4" t="s">
        <v>46</v>
      </c>
      <c r="AB1377" s="4" t="s">
        <v>47</v>
      </c>
      <c r="AC1377" s="4" t="s">
        <v>57</v>
      </c>
      <c r="AD1377" s="4" t="s">
        <v>58</v>
      </c>
      <c r="AE1377" s="4" t="s">
        <v>48</v>
      </c>
      <c r="AF1377" s="4" t="s">
        <v>41</v>
      </c>
      <c r="AG1377" s="4" t="s">
        <v>2951</v>
      </c>
    </row>
    <row r="1378" spans="1:33" ht="16.5" customHeight="1" x14ac:dyDescent="0.2">
      <c r="A1378" s="2" t="s">
        <v>31</v>
      </c>
      <c r="B1378" s="19" t="s">
        <v>50</v>
      </c>
      <c r="C1378" s="19"/>
      <c r="D1378" s="19"/>
      <c r="E1378" s="20" t="s">
        <v>33</v>
      </c>
      <c r="F1378" s="20"/>
      <c r="G1378" s="21" t="s">
        <v>2947</v>
      </c>
      <c r="H1378" s="21"/>
      <c r="I1378" s="21"/>
      <c r="J1378" s="3" t="s">
        <v>35</v>
      </c>
      <c r="K1378" s="4" t="s">
        <v>82</v>
      </c>
      <c r="L1378" s="4" t="s">
        <v>37</v>
      </c>
      <c r="N1378" s="21" t="s">
        <v>2997</v>
      </c>
      <c r="O1378" s="21"/>
      <c r="P1378" s="21" t="s">
        <v>2998</v>
      </c>
      <c r="Q1378" s="21"/>
      <c r="R1378" s="21"/>
      <c r="S1378" s="3" t="s">
        <v>40</v>
      </c>
      <c r="T1378" s="21" t="s">
        <v>41</v>
      </c>
      <c r="U1378" s="21"/>
      <c r="V1378" s="4" t="s">
        <v>42</v>
      </c>
      <c r="W1378" s="4" t="s">
        <v>59</v>
      </c>
      <c r="X1378" s="4" t="s">
        <v>131</v>
      </c>
      <c r="Y1378" s="21" t="s">
        <v>56</v>
      </c>
      <c r="Z1378" s="21"/>
      <c r="AA1378" s="4" t="s">
        <v>46</v>
      </c>
      <c r="AB1378" s="4" t="s">
        <v>47</v>
      </c>
      <c r="AC1378" s="4" t="s">
        <v>57</v>
      </c>
      <c r="AD1378" s="4" t="s">
        <v>58</v>
      </c>
      <c r="AE1378" s="4" t="s">
        <v>48</v>
      </c>
      <c r="AF1378" s="4" t="s">
        <v>41</v>
      </c>
      <c r="AG1378" s="4" t="s">
        <v>2951</v>
      </c>
    </row>
    <row r="1379" spans="1:33" ht="16.5" customHeight="1" x14ac:dyDescent="0.2">
      <c r="A1379" s="2" t="s">
        <v>31</v>
      </c>
      <c r="B1379" s="19" t="s">
        <v>50</v>
      </c>
      <c r="C1379" s="19"/>
      <c r="D1379" s="19"/>
      <c r="E1379" s="20" t="s">
        <v>33</v>
      </c>
      <c r="F1379" s="20"/>
      <c r="G1379" s="21" t="s">
        <v>2947</v>
      </c>
      <c r="H1379" s="21"/>
      <c r="I1379" s="21"/>
      <c r="J1379" s="3" t="s">
        <v>35</v>
      </c>
      <c r="K1379" s="4" t="s">
        <v>82</v>
      </c>
      <c r="L1379" s="4" t="s">
        <v>37</v>
      </c>
      <c r="N1379" s="21" t="s">
        <v>2999</v>
      </c>
      <c r="O1379" s="21"/>
      <c r="P1379" s="21" t="s">
        <v>3000</v>
      </c>
      <c r="Q1379" s="21"/>
      <c r="R1379" s="21"/>
      <c r="S1379" s="3" t="s">
        <v>40</v>
      </c>
      <c r="T1379" s="21" t="s">
        <v>41</v>
      </c>
      <c r="U1379" s="21"/>
      <c r="V1379" s="4" t="s">
        <v>42</v>
      </c>
      <c r="W1379" s="4" t="s">
        <v>59</v>
      </c>
      <c r="X1379" s="4" t="s">
        <v>131</v>
      </c>
      <c r="Y1379" s="21" t="s">
        <v>56</v>
      </c>
      <c r="Z1379" s="21"/>
      <c r="AA1379" s="4" t="s">
        <v>46</v>
      </c>
      <c r="AB1379" s="4" t="s">
        <v>47</v>
      </c>
      <c r="AC1379" s="4" t="s">
        <v>57</v>
      </c>
      <c r="AD1379" s="4" t="s">
        <v>58</v>
      </c>
      <c r="AE1379" s="4" t="s">
        <v>48</v>
      </c>
      <c r="AF1379" s="4" t="s">
        <v>41</v>
      </c>
      <c r="AG1379" s="4" t="s">
        <v>2951</v>
      </c>
    </row>
    <row r="1380" spans="1:33" ht="16.5" customHeight="1" x14ac:dyDescent="0.2">
      <c r="A1380" s="2" t="s">
        <v>31</v>
      </c>
      <c r="B1380" s="19" t="s">
        <v>50</v>
      </c>
      <c r="C1380" s="19"/>
      <c r="D1380" s="19"/>
      <c r="E1380" s="20" t="s">
        <v>33</v>
      </c>
      <c r="F1380" s="20"/>
      <c r="G1380" s="21" t="s">
        <v>2947</v>
      </c>
      <c r="H1380" s="21"/>
      <c r="I1380" s="21"/>
      <c r="J1380" s="3" t="s">
        <v>35</v>
      </c>
      <c r="K1380" s="4" t="s">
        <v>1032</v>
      </c>
      <c r="L1380" s="4" t="s">
        <v>278</v>
      </c>
      <c r="N1380" s="21" t="s">
        <v>3001</v>
      </c>
      <c r="O1380" s="21"/>
      <c r="P1380" s="21" t="s">
        <v>3002</v>
      </c>
      <c r="Q1380" s="21"/>
      <c r="R1380" s="21"/>
      <c r="S1380" s="3" t="s">
        <v>40</v>
      </c>
      <c r="T1380" s="21" t="s">
        <v>41</v>
      </c>
      <c r="U1380" s="21"/>
      <c r="V1380" s="4" t="s">
        <v>42</v>
      </c>
      <c r="W1380" s="4" t="s">
        <v>59</v>
      </c>
      <c r="X1380" s="4" t="s">
        <v>131</v>
      </c>
      <c r="Y1380" s="21" t="s">
        <v>56</v>
      </c>
      <c r="Z1380" s="21"/>
      <c r="AA1380" s="4" t="s">
        <v>46</v>
      </c>
      <c r="AB1380" s="4" t="s">
        <v>47</v>
      </c>
      <c r="AC1380" s="4" t="s">
        <v>57</v>
      </c>
      <c r="AD1380" s="4" t="s">
        <v>283</v>
      </c>
      <c r="AE1380" s="4" t="s">
        <v>48</v>
      </c>
      <c r="AF1380" s="4" t="s">
        <v>41</v>
      </c>
      <c r="AG1380" s="4" t="s">
        <v>2951</v>
      </c>
    </row>
    <row r="1381" spans="1:33" ht="16.5" customHeight="1" x14ac:dyDescent="0.2">
      <c r="A1381" s="2" t="s">
        <v>31</v>
      </c>
      <c r="B1381" s="19" t="s">
        <v>110</v>
      </c>
      <c r="C1381" s="19"/>
      <c r="D1381" s="19"/>
      <c r="E1381" s="20" t="s">
        <v>33</v>
      </c>
      <c r="F1381" s="20"/>
      <c r="G1381" s="21" t="s">
        <v>2947</v>
      </c>
      <c r="H1381" s="21"/>
      <c r="I1381" s="21"/>
      <c r="J1381" s="3" t="s">
        <v>35</v>
      </c>
      <c r="K1381" s="4" t="s">
        <v>1301</v>
      </c>
      <c r="N1381" s="21" t="s">
        <v>3003</v>
      </c>
      <c r="O1381" s="21"/>
      <c r="P1381" s="21" t="s">
        <v>3004</v>
      </c>
      <c r="Q1381" s="21"/>
      <c r="R1381" s="21"/>
      <c r="S1381" s="3" t="s">
        <v>40</v>
      </c>
      <c r="T1381" s="21" t="s">
        <v>1757</v>
      </c>
      <c r="U1381" s="21"/>
      <c r="V1381" s="4" t="s">
        <v>59</v>
      </c>
      <c r="W1381" s="4" t="s">
        <v>310</v>
      </c>
      <c r="X1381" s="4" t="s">
        <v>86</v>
      </c>
      <c r="Y1381" s="21" t="s">
        <v>980</v>
      </c>
      <c r="Z1381" s="21"/>
      <c r="AA1381" s="4" t="s">
        <v>46</v>
      </c>
      <c r="AB1381" s="4" t="s">
        <v>117</v>
      </c>
      <c r="AC1381" s="4" t="s">
        <v>1305</v>
      </c>
      <c r="AD1381" s="4" t="s">
        <v>1758</v>
      </c>
      <c r="AE1381" s="4" t="s">
        <v>48</v>
      </c>
      <c r="AF1381" s="4" t="s">
        <v>41</v>
      </c>
      <c r="AG1381" s="4" t="s">
        <v>2951</v>
      </c>
    </row>
    <row r="1382" spans="1:33" ht="0.75" customHeight="1" x14ac:dyDescent="0.2"/>
    <row r="1383" spans="1:33" ht="12" customHeight="1" x14ac:dyDescent="0.2"/>
    <row r="1384" spans="1:33" ht="16.5" customHeight="1" x14ac:dyDescent="0.2">
      <c r="A1384" s="2" t="s">
        <v>31</v>
      </c>
      <c r="B1384" s="19" t="s">
        <v>110</v>
      </c>
      <c r="C1384" s="19"/>
      <c r="D1384" s="19"/>
      <c r="E1384" s="20" t="s">
        <v>33</v>
      </c>
      <c r="F1384" s="20"/>
      <c r="G1384" s="21" t="s">
        <v>2947</v>
      </c>
      <c r="H1384" s="21"/>
      <c r="I1384" s="21"/>
      <c r="J1384" s="3" t="s">
        <v>35</v>
      </c>
      <c r="K1384" s="4" t="s">
        <v>1301</v>
      </c>
      <c r="N1384" s="21" t="s">
        <v>3005</v>
      </c>
      <c r="O1384" s="21"/>
      <c r="P1384" s="21" t="s">
        <v>3006</v>
      </c>
      <c r="Q1384" s="21"/>
      <c r="R1384" s="21"/>
      <c r="S1384" s="3" t="s">
        <v>40</v>
      </c>
      <c r="T1384" s="21" t="s">
        <v>1757</v>
      </c>
      <c r="U1384" s="21"/>
      <c r="V1384" s="4" t="s">
        <v>59</v>
      </c>
      <c r="W1384" s="4" t="s">
        <v>94</v>
      </c>
      <c r="X1384" s="4" t="s">
        <v>105</v>
      </c>
      <c r="Y1384" s="21" t="s">
        <v>980</v>
      </c>
      <c r="Z1384" s="21"/>
      <c r="AA1384" s="4" t="s">
        <v>46</v>
      </c>
      <c r="AB1384" s="4" t="s">
        <v>117</v>
      </c>
      <c r="AC1384" s="4" t="s">
        <v>1305</v>
      </c>
      <c r="AD1384" s="4" t="s">
        <v>1758</v>
      </c>
      <c r="AE1384" s="4" t="s">
        <v>48</v>
      </c>
      <c r="AF1384" s="4" t="s">
        <v>41</v>
      </c>
      <c r="AG1384" s="4" t="s">
        <v>2951</v>
      </c>
    </row>
    <row r="1385" spans="1:33" ht="16.5" customHeight="1" x14ac:dyDescent="0.2">
      <c r="A1385" s="2" t="s">
        <v>31</v>
      </c>
      <c r="B1385" s="19" t="s">
        <v>110</v>
      </c>
      <c r="C1385" s="19"/>
      <c r="D1385" s="19"/>
      <c r="E1385" s="20" t="s">
        <v>33</v>
      </c>
      <c r="F1385" s="20"/>
      <c r="G1385" s="21" t="s">
        <v>2947</v>
      </c>
      <c r="H1385" s="21"/>
      <c r="I1385" s="21"/>
      <c r="J1385" s="3" t="s">
        <v>35</v>
      </c>
      <c r="K1385" s="4" t="s">
        <v>394</v>
      </c>
      <c r="N1385" s="21" t="s">
        <v>3007</v>
      </c>
      <c r="O1385" s="21"/>
      <c r="P1385" s="21" t="s">
        <v>3008</v>
      </c>
      <c r="Q1385" s="21"/>
      <c r="R1385" s="21"/>
      <c r="S1385" s="3" t="s">
        <v>40</v>
      </c>
      <c r="T1385" s="21" t="s">
        <v>1281</v>
      </c>
      <c r="U1385" s="21"/>
      <c r="V1385" s="4" t="s">
        <v>59</v>
      </c>
      <c r="W1385" s="4" t="s">
        <v>94</v>
      </c>
      <c r="X1385" s="4" t="s">
        <v>105</v>
      </c>
      <c r="Y1385" s="21" t="s">
        <v>398</v>
      </c>
      <c r="Z1385" s="21"/>
      <c r="AA1385" s="4" t="s">
        <v>46</v>
      </c>
      <c r="AB1385" s="4" t="s">
        <v>117</v>
      </c>
      <c r="AC1385" s="4" t="s">
        <v>399</v>
      </c>
      <c r="AD1385" s="4" t="s">
        <v>1282</v>
      </c>
      <c r="AE1385" s="4" t="s">
        <v>48</v>
      </c>
      <c r="AF1385" s="4" t="s">
        <v>41</v>
      </c>
      <c r="AG1385" s="4" t="s">
        <v>2951</v>
      </c>
    </row>
    <row r="1386" spans="1:33" ht="16.5" customHeight="1" x14ac:dyDescent="0.2">
      <c r="A1386" s="2" t="s">
        <v>31</v>
      </c>
      <c r="B1386" s="19" t="s">
        <v>110</v>
      </c>
      <c r="C1386" s="19"/>
      <c r="D1386" s="19"/>
      <c r="E1386" s="20" t="s">
        <v>33</v>
      </c>
      <c r="F1386" s="20"/>
      <c r="G1386" s="21" t="s">
        <v>2947</v>
      </c>
      <c r="H1386" s="21"/>
      <c r="I1386" s="21"/>
      <c r="J1386" s="3" t="s">
        <v>35</v>
      </c>
      <c r="K1386" s="4" t="s">
        <v>394</v>
      </c>
      <c r="N1386" s="21" t="s">
        <v>3009</v>
      </c>
      <c r="O1386" s="21"/>
      <c r="P1386" s="21" t="s">
        <v>3010</v>
      </c>
      <c r="Q1386" s="21"/>
      <c r="R1386" s="21"/>
      <c r="S1386" s="3" t="s">
        <v>40</v>
      </c>
      <c r="T1386" s="21" t="s">
        <v>3011</v>
      </c>
      <c r="U1386" s="21"/>
      <c r="V1386" s="4" t="s">
        <v>59</v>
      </c>
      <c r="W1386" s="4" t="s">
        <v>108</v>
      </c>
      <c r="X1386" s="4" t="s">
        <v>382</v>
      </c>
      <c r="Y1386" s="21" t="s">
        <v>398</v>
      </c>
      <c r="Z1386" s="21"/>
      <c r="AA1386" s="4" t="s">
        <v>46</v>
      </c>
      <c r="AB1386" s="4" t="s">
        <v>117</v>
      </c>
      <c r="AC1386" s="4" t="s">
        <v>399</v>
      </c>
      <c r="AD1386" s="4" t="s">
        <v>3012</v>
      </c>
      <c r="AE1386" s="4" t="s">
        <v>48</v>
      </c>
      <c r="AF1386" s="4" t="s">
        <v>41</v>
      </c>
      <c r="AG1386" s="4" t="s">
        <v>2951</v>
      </c>
    </row>
    <row r="1387" spans="1:33" ht="16.5" customHeight="1" x14ac:dyDescent="0.2">
      <c r="A1387" s="2" t="s">
        <v>31</v>
      </c>
      <c r="B1387" s="19" t="s">
        <v>110</v>
      </c>
      <c r="C1387" s="19"/>
      <c r="D1387" s="19"/>
      <c r="E1387" s="20" t="s">
        <v>33</v>
      </c>
      <c r="F1387" s="20"/>
      <c r="G1387" s="21" t="s">
        <v>2947</v>
      </c>
      <c r="H1387" s="21"/>
      <c r="I1387" s="21"/>
      <c r="J1387" s="3" t="s">
        <v>35</v>
      </c>
      <c r="K1387" s="4" t="s">
        <v>394</v>
      </c>
      <c r="N1387" s="21" t="s">
        <v>3013</v>
      </c>
      <c r="O1387" s="21"/>
      <c r="P1387" s="21" t="s">
        <v>3014</v>
      </c>
      <c r="Q1387" s="21"/>
      <c r="R1387" s="21"/>
      <c r="S1387" s="3" t="s">
        <v>40</v>
      </c>
      <c r="T1387" s="21" t="s">
        <v>3015</v>
      </c>
      <c r="U1387" s="21"/>
      <c r="V1387" s="4" t="s">
        <v>59</v>
      </c>
      <c r="W1387" s="4" t="s">
        <v>104</v>
      </c>
      <c r="X1387" s="4" t="s">
        <v>109</v>
      </c>
      <c r="Y1387" s="21" t="s">
        <v>398</v>
      </c>
      <c r="Z1387" s="21"/>
      <c r="AA1387" s="4" t="s">
        <v>46</v>
      </c>
      <c r="AB1387" s="4" t="s">
        <v>117</v>
      </c>
      <c r="AC1387" s="4" t="s">
        <v>399</v>
      </c>
      <c r="AD1387" s="4" t="s">
        <v>3016</v>
      </c>
      <c r="AE1387" s="4" t="s">
        <v>48</v>
      </c>
      <c r="AF1387" s="4" t="s">
        <v>41</v>
      </c>
      <c r="AG1387" s="4" t="s">
        <v>2951</v>
      </c>
    </row>
    <row r="1388" spans="1:33" ht="16.5" customHeight="1" x14ac:dyDescent="0.2">
      <c r="A1388" s="2" t="s">
        <v>31</v>
      </c>
      <c r="B1388" s="19" t="s">
        <v>110</v>
      </c>
      <c r="C1388" s="19"/>
      <c r="D1388" s="19"/>
      <c r="E1388" s="20" t="s">
        <v>33</v>
      </c>
      <c r="F1388" s="20"/>
      <c r="G1388" s="21" t="s">
        <v>2947</v>
      </c>
      <c r="H1388" s="21"/>
      <c r="I1388" s="21"/>
      <c r="J1388" s="3" t="s">
        <v>35</v>
      </c>
      <c r="K1388" s="4" t="s">
        <v>394</v>
      </c>
      <c r="N1388" s="21" t="s">
        <v>3017</v>
      </c>
      <c r="O1388" s="21"/>
      <c r="P1388" s="21" t="s">
        <v>3018</v>
      </c>
      <c r="Q1388" s="21"/>
      <c r="R1388" s="21"/>
      <c r="S1388" s="3" t="s">
        <v>40</v>
      </c>
      <c r="T1388" s="21" t="s">
        <v>1795</v>
      </c>
      <c r="U1388" s="21"/>
      <c r="V1388" s="4" t="s">
        <v>3019</v>
      </c>
      <c r="W1388" s="4" t="s">
        <v>3020</v>
      </c>
      <c r="X1388" s="4" t="s">
        <v>105</v>
      </c>
      <c r="Y1388" s="21" t="s">
        <v>398</v>
      </c>
      <c r="Z1388" s="21"/>
      <c r="AA1388" s="4" t="s">
        <v>46</v>
      </c>
      <c r="AB1388" s="4" t="s">
        <v>117</v>
      </c>
      <c r="AC1388" s="4" t="s">
        <v>399</v>
      </c>
      <c r="AD1388" s="4" t="s">
        <v>1796</v>
      </c>
      <c r="AE1388" s="4" t="s">
        <v>48</v>
      </c>
      <c r="AF1388" s="4" t="s">
        <v>41</v>
      </c>
      <c r="AG1388" s="4" t="s">
        <v>2951</v>
      </c>
    </row>
    <row r="1389" spans="1:33" ht="16.5" customHeight="1" x14ac:dyDescent="0.2">
      <c r="A1389" s="2" t="s">
        <v>31</v>
      </c>
      <c r="B1389" s="19" t="s">
        <v>110</v>
      </c>
      <c r="C1389" s="19"/>
      <c r="D1389" s="19"/>
      <c r="E1389" s="20" t="s">
        <v>33</v>
      </c>
      <c r="F1389" s="20"/>
      <c r="G1389" s="21" t="s">
        <v>2947</v>
      </c>
      <c r="H1389" s="21"/>
      <c r="I1389" s="21"/>
      <c r="J1389" s="3" t="s">
        <v>35</v>
      </c>
      <c r="K1389" s="4" t="s">
        <v>394</v>
      </c>
      <c r="N1389" s="21" t="s">
        <v>3021</v>
      </c>
      <c r="O1389" s="21"/>
      <c r="P1389" s="21" t="s">
        <v>3022</v>
      </c>
      <c r="Q1389" s="21"/>
      <c r="R1389" s="21"/>
      <c r="S1389" s="3" t="s">
        <v>40</v>
      </c>
      <c r="T1389" s="21" t="s">
        <v>3023</v>
      </c>
      <c r="U1389" s="21"/>
      <c r="V1389" s="4" t="s">
        <v>59</v>
      </c>
      <c r="W1389" s="4" t="s">
        <v>54</v>
      </c>
      <c r="X1389" s="4" t="s">
        <v>60</v>
      </c>
      <c r="Y1389" s="21" t="s">
        <v>398</v>
      </c>
      <c r="Z1389" s="21"/>
      <c r="AA1389" s="4" t="s">
        <v>46</v>
      </c>
      <c r="AB1389" s="4" t="s">
        <v>117</v>
      </c>
      <c r="AC1389" s="4" t="s">
        <v>399</v>
      </c>
      <c r="AD1389" s="4" t="s">
        <v>3024</v>
      </c>
      <c r="AE1389" s="4" t="s">
        <v>48</v>
      </c>
      <c r="AF1389" s="4" t="s">
        <v>41</v>
      </c>
      <c r="AG1389" s="4" t="s">
        <v>2951</v>
      </c>
    </row>
    <row r="1390" spans="1:33" ht="16.5" customHeight="1" x14ac:dyDescent="0.2">
      <c r="A1390" s="2" t="s">
        <v>31</v>
      </c>
      <c r="B1390" s="19" t="s">
        <v>110</v>
      </c>
      <c r="C1390" s="19"/>
      <c r="D1390" s="19"/>
      <c r="E1390" s="20" t="s">
        <v>33</v>
      </c>
      <c r="F1390" s="20"/>
      <c r="G1390" s="21" t="s">
        <v>2947</v>
      </c>
      <c r="H1390" s="21"/>
      <c r="I1390" s="21"/>
      <c r="J1390" s="3" t="s">
        <v>35</v>
      </c>
      <c r="K1390" s="4" t="s">
        <v>394</v>
      </c>
      <c r="N1390" s="21" t="s">
        <v>3025</v>
      </c>
      <c r="O1390" s="21"/>
      <c r="P1390" s="21" t="s">
        <v>3026</v>
      </c>
      <c r="Q1390" s="21"/>
      <c r="R1390" s="21"/>
      <c r="S1390" s="3" t="s">
        <v>40</v>
      </c>
      <c r="T1390" s="21" t="s">
        <v>3023</v>
      </c>
      <c r="U1390" s="21"/>
      <c r="V1390" s="4" t="s">
        <v>59</v>
      </c>
      <c r="W1390" s="4" t="s">
        <v>54</v>
      </c>
      <c r="X1390" s="4" t="s">
        <v>60</v>
      </c>
      <c r="Y1390" s="21" t="s">
        <v>398</v>
      </c>
      <c r="Z1390" s="21"/>
      <c r="AA1390" s="4" t="s">
        <v>46</v>
      </c>
      <c r="AB1390" s="4" t="s">
        <v>117</v>
      </c>
      <c r="AC1390" s="4" t="s">
        <v>399</v>
      </c>
      <c r="AD1390" s="4" t="s">
        <v>3024</v>
      </c>
      <c r="AE1390" s="4" t="s">
        <v>48</v>
      </c>
      <c r="AF1390" s="4" t="s">
        <v>41</v>
      </c>
      <c r="AG1390" s="4" t="s">
        <v>2951</v>
      </c>
    </row>
    <row r="1391" spans="1:33" ht="16.5" customHeight="1" x14ac:dyDescent="0.2">
      <c r="A1391" s="2" t="s">
        <v>31</v>
      </c>
      <c r="B1391" s="19" t="s">
        <v>110</v>
      </c>
      <c r="C1391" s="19"/>
      <c r="D1391" s="19"/>
      <c r="E1391" s="20" t="s">
        <v>33</v>
      </c>
      <c r="F1391" s="20"/>
      <c r="G1391" s="21" t="s">
        <v>2947</v>
      </c>
      <c r="H1391" s="21"/>
      <c r="I1391" s="21"/>
      <c r="J1391" s="3" t="s">
        <v>35</v>
      </c>
      <c r="K1391" s="4" t="s">
        <v>394</v>
      </c>
      <c r="N1391" s="21" t="s">
        <v>3027</v>
      </c>
      <c r="O1391" s="21"/>
      <c r="P1391" s="21" t="s">
        <v>3028</v>
      </c>
      <c r="Q1391" s="21"/>
      <c r="R1391" s="21"/>
      <c r="S1391" s="3" t="s">
        <v>40</v>
      </c>
      <c r="T1391" s="21" t="s">
        <v>3029</v>
      </c>
      <c r="U1391" s="21"/>
      <c r="V1391" s="4" t="s">
        <v>3030</v>
      </c>
      <c r="W1391" s="4" t="s">
        <v>3031</v>
      </c>
      <c r="X1391" s="4" t="s">
        <v>109</v>
      </c>
      <c r="Y1391" s="21" t="s">
        <v>398</v>
      </c>
      <c r="Z1391" s="21"/>
      <c r="AA1391" s="4" t="s">
        <v>46</v>
      </c>
      <c r="AB1391" s="4" t="s">
        <v>117</v>
      </c>
      <c r="AC1391" s="4" t="s">
        <v>399</v>
      </c>
      <c r="AD1391" s="4" t="s">
        <v>3032</v>
      </c>
      <c r="AE1391" s="4" t="s">
        <v>48</v>
      </c>
      <c r="AF1391" s="4" t="s">
        <v>41</v>
      </c>
      <c r="AG1391" s="4" t="s">
        <v>2951</v>
      </c>
    </row>
    <row r="1392" spans="1:33" ht="16.5" customHeight="1" x14ac:dyDescent="0.2">
      <c r="A1392" s="2" t="s">
        <v>31</v>
      </c>
      <c r="B1392" s="19" t="s">
        <v>110</v>
      </c>
      <c r="C1392" s="19"/>
      <c r="D1392" s="19"/>
      <c r="E1392" s="20" t="s">
        <v>33</v>
      </c>
      <c r="F1392" s="20"/>
      <c r="G1392" s="21" t="s">
        <v>2947</v>
      </c>
      <c r="H1392" s="21"/>
      <c r="I1392" s="21"/>
      <c r="J1392" s="3" t="s">
        <v>35</v>
      </c>
      <c r="K1392" s="4" t="s">
        <v>1301</v>
      </c>
      <c r="N1392" s="21" t="s">
        <v>3033</v>
      </c>
      <c r="O1392" s="21"/>
      <c r="P1392" s="21" t="s">
        <v>3034</v>
      </c>
      <c r="Q1392" s="21"/>
      <c r="R1392" s="21"/>
      <c r="S1392" s="3" t="s">
        <v>40</v>
      </c>
      <c r="T1392" s="21" t="s">
        <v>3035</v>
      </c>
      <c r="U1392" s="21"/>
      <c r="V1392" s="4" t="s">
        <v>59</v>
      </c>
      <c r="W1392" s="4" t="s">
        <v>54</v>
      </c>
      <c r="X1392" s="4" t="s">
        <v>60</v>
      </c>
      <c r="Y1392" s="21" t="s">
        <v>980</v>
      </c>
      <c r="Z1392" s="21"/>
      <c r="AA1392" s="4" t="s">
        <v>46</v>
      </c>
      <c r="AB1392" s="4" t="s">
        <v>117</v>
      </c>
      <c r="AC1392" s="4" t="s">
        <v>1305</v>
      </c>
      <c r="AD1392" s="4" t="s">
        <v>3036</v>
      </c>
      <c r="AE1392" s="4" t="s">
        <v>48</v>
      </c>
      <c r="AF1392" s="4" t="s">
        <v>41</v>
      </c>
      <c r="AG1392" s="4" t="s">
        <v>2951</v>
      </c>
    </row>
    <row r="1393" spans="1:33" ht="16.5" customHeight="1" x14ac:dyDescent="0.2">
      <c r="A1393" s="2" t="s">
        <v>31</v>
      </c>
      <c r="B1393" s="19" t="s">
        <v>110</v>
      </c>
      <c r="C1393" s="19"/>
      <c r="D1393" s="19"/>
      <c r="E1393" s="20" t="s">
        <v>33</v>
      </c>
      <c r="F1393" s="20"/>
      <c r="G1393" s="21" t="s">
        <v>2947</v>
      </c>
      <c r="H1393" s="21"/>
      <c r="I1393" s="21"/>
      <c r="J1393" s="3" t="s">
        <v>35</v>
      </c>
      <c r="K1393" s="4" t="s">
        <v>394</v>
      </c>
      <c r="N1393" s="21" t="s">
        <v>3037</v>
      </c>
      <c r="O1393" s="21"/>
      <c r="P1393" s="21" t="s">
        <v>3038</v>
      </c>
      <c r="Q1393" s="21"/>
      <c r="R1393" s="21"/>
      <c r="S1393" s="3" t="s">
        <v>40</v>
      </c>
      <c r="T1393" s="21" t="s">
        <v>3039</v>
      </c>
      <c r="U1393" s="21"/>
      <c r="V1393" s="4" t="s">
        <v>59</v>
      </c>
      <c r="W1393" s="4" t="s">
        <v>54</v>
      </c>
      <c r="X1393" s="4" t="s">
        <v>60</v>
      </c>
      <c r="Y1393" s="21" t="s">
        <v>398</v>
      </c>
      <c r="Z1393" s="21"/>
      <c r="AA1393" s="4" t="s">
        <v>46</v>
      </c>
      <c r="AB1393" s="4" t="s">
        <v>117</v>
      </c>
      <c r="AC1393" s="4" t="s">
        <v>399</v>
      </c>
      <c r="AD1393" s="4" t="s">
        <v>3040</v>
      </c>
      <c r="AE1393" s="4" t="s">
        <v>48</v>
      </c>
      <c r="AF1393" s="4" t="s">
        <v>41</v>
      </c>
      <c r="AG1393" s="4" t="s">
        <v>2951</v>
      </c>
    </row>
    <row r="1394" spans="1:33" ht="16.5" customHeight="1" x14ac:dyDescent="0.2">
      <c r="A1394" s="2" t="s">
        <v>31</v>
      </c>
      <c r="B1394" s="19" t="s">
        <v>110</v>
      </c>
      <c r="C1394" s="19"/>
      <c r="D1394" s="19"/>
      <c r="E1394" s="20" t="s">
        <v>33</v>
      </c>
      <c r="F1394" s="20"/>
      <c r="G1394" s="21" t="s">
        <v>2947</v>
      </c>
      <c r="H1394" s="21"/>
      <c r="I1394" s="21"/>
      <c r="J1394" s="3" t="s">
        <v>35</v>
      </c>
      <c r="K1394" s="4" t="s">
        <v>394</v>
      </c>
      <c r="N1394" s="21" t="s">
        <v>3041</v>
      </c>
      <c r="O1394" s="21"/>
      <c r="P1394" s="21" t="s">
        <v>3042</v>
      </c>
      <c r="Q1394" s="21"/>
      <c r="R1394" s="21"/>
      <c r="S1394" s="3" t="s">
        <v>40</v>
      </c>
      <c r="T1394" s="21" t="s">
        <v>3043</v>
      </c>
      <c r="U1394" s="21"/>
      <c r="V1394" s="4" t="s">
        <v>59</v>
      </c>
      <c r="W1394" s="4" t="s">
        <v>54</v>
      </c>
      <c r="X1394" s="4" t="s">
        <v>60</v>
      </c>
      <c r="Y1394" s="21" t="s">
        <v>924</v>
      </c>
      <c r="Z1394" s="21"/>
      <c r="AA1394" s="4" t="s">
        <v>46</v>
      </c>
      <c r="AB1394" s="4" t="s">
        <v>117</v>
      </c>
      <c r="AC1394" s="4" t="s">
        <v>925</v>
      </c>
      <c r="AD1394" s="4" t="s">
        <v>3044</v>
      </c>
      <c r="AE1394" s="4" t="s">
        <v>48</v>
      </c>
      <c r="AF1394" s="4" t="s">
        <v>41</v>
      </c>
      <c r="AG1394" s="4" t="s">
        <v>2951</v>
      </c>
    </row>
    <row r="1395" spans="1:33" ht="16.5" customHeight="1" x14ac:dyDescent="0.2">
      <c r="A1395" s="2" t="s">
        <v>31</v>
      </c>
      <c r="B1395" s="19" t="s">
        <v>110</v>
      </c>
      <c r="C1395" s="19"/>
      <c r="D1395" s="19"/>
      <c r="E1395" s="20" t="s">
        <v>33</v>
      </c>
      <c r="F1395" s="20"/>
      <c r="G1395" s="21" t="s">
        <v>2947</v>
      </c>
      <c r="H1395" s="21"/>
      <c r="I1395" s="21"/>
      <c r="J1395" s="3" t="s">
        <v>35</v>
      </c>
      <c r="K1395" s="4" t="s">
        <v>394</v>
      </c>
      <c r="N1395" s="21" t="s">
        <v>3045</v>
      </c>
      <c r="O1395" s="21"/>
      <c r="P1395" s="21" t="s">
        <v>3046</v>
      </c>
      <c r="Q1395" s="21"/>
      <c r="R1395" s="21"/>
      <c r="S1395" s="3" t="s">
        <v>40</v>
      </c>
      <c r="T1395" s="21" t="s">
        <v>3047</v>
      </c>
      <c r="U1395" s="21"/>
      <c r="V1395" s="4" t="s">
        <v>42</v>
      </c>
      <c r="W1395" s="4" t="s">
        <v>54</v>
      </c>
      <c r="X1395" s="4" t="s">
        <v>55</v>
      </c>
      <c r="Y1395" s="21" t="s">
        <v>924</v>
      </c>
      <c r="Z1395" s="21"/>
      <c r="AA1395" s="4" t="s">
        <v>46</v>
      </c>
      <c r="AB1395" s="4" t="s">
        <v>117</v>
      </c>
      <c r="AC1395" s="4" t="s">
        <v>925</v>
      </c>
      <c r="AD1395" s="4" t="s">
        <v>3048</v>
      </c>
      <c r="AE1395" s="4" t="s">
        <v>48</v>
      </c>
      <c r="AF1395" s="4" t="s">
        <v>41</v>
      </c>
      <c r="AG1395" s="4" t="s">
        <v>2951</v>
      </c>
    </row>
    <row r="1396" spans="1:33" ht="16.5" customHeight="1" x14ac:dyDescent="0.2">
      <c r="A1396" s="2" t="s">
        <v>31</v>
      </c>
      <c r="B1396" s="19" t="s">
        <v>110</v>
      </c>
      <c r="C1396" s="19"/>
      <c r="D1396" s="19"/>
      <c r="E1396" s="20" t="s">
        <v>33</v>
      </c>
      <c r="F1396" s="20"/>
      <c r="G1396" s="21" t="s">
        <v>2947</v>
      </c>
      <c r="H1396" s="21"/>
      <c r="I1396" s="21"/>
      <c r="J1396" s="3" t="s">
        <v>35</v>
      </c>
      <c r="K1396" s="4" t="s">
        <v>394</v>
      </c>
      <c r="N1396" s="21" t="s">
        <v>3049</v>
      </c>
      <c r="O1396" s="21"/>
      <c r="P1396" s="21" t="s">
        <v>3050</v>
      </c>
      <c r="Q1396" s="21"/>
      <c r="R1396" s="21"/>
      <c r="S1396" s="3" t="s">
        <v>40</v>
      </c>
      <c r="T1396" s="21" t="s">
        <v>3051</v>
      </c>
      <c r="U1396" s="21"/>
      <c r="V1396" s="4" t="s">
        <v>59</v>
      </c>
      <c r="W1396" s="4" t="s">
        <v>54</v>
      </c>
      <c r="X1396" s="4" t="s">
        <v>60</v>
      </c>
      <c r="Y1396" s="21" t="s">
        <v>398</v>
      </c>
      <c r="Z1396" s="21"/>
      <c r="AA1396" s="4" t="s">
        <v>46</v>
      </c>
      <c r="AB1396" s="4" t="s">
        <v>117</v>
      </c>
      <c r="AC1396" s="4" t="s">
        <v>399</v>
      </c>
      <c r="AD1396" s="4" t="s">
        <v>3052</v>
      </c>
      <c r="AE1396" s="4" t="s">
        <v>48</v>
      </c>
      <c r="AF1396" s="4" t="s">
        <v>41</v>
      </c>
      <c r="AG1396" s="4" t="s">
        <v>2951</v>
      </c>
    </row>
    <row r="1397" spans="1:33" ht="16.5" customHeight="1" x14ac:dyDescent="0.2">
      <c r="A1397" s="2" t="s">
        <v>31</v>
      </c>
      <c r="B1397" s="19" t="s">
        <v>110</v>
      </c>
      <c r="C1397" s="19"/>
      <c r="D1397" s="19"/>
      <c r="E1397" s="20" t="s">
        <v>33</v>
      </c>
      <c r="F1397" s="20"/>
      <c r="G1397" s="21" t="s">
        <v>2947</v>
      </c>
      <c r="H1397" s="21"/>
      <c r="I1397" s="21"/>
      <c r="J1397" s="3" t="s">
        <v>35</v>
      </c>
      <c r="K1397" s="4" t="s">
        <v>394</v>
      </c>
      <c r="N1397" s="21" t="s">
        <v>3053</v>
      </c>
      <c r="O1397" s="21"/>
      <c r="P1397" s="21" t="s">
        <v>3054</v>
      </c>
      <c r="Q1397" s="21"/>
      <c r="R1397" s="21"/>
      <c r="S1397" s="3" t="s">
        <v>40</v>
      </c>
      <c r="T1397" s="21" t="s">
        <v>3055</v>
      </c>
      <c r="U1397" s="21"/>
      <c r="V1397" s="4" t="s">
        <v>42</v>
      </c>
      <c r="W1397" s="4" t="s">
        <v>54</v>
      </c>
      <c r="X1397" s="4" t="s">
        <v>55</v>
      </c>
      <c r="Y1397" s="21" t="s">
        <v>924</v>
      </c>
      <c r="Z1397" s="21"/>
      <c r="AA1397" s="4" t="s">
        <v>46</v>
      </c>
      <c r="AB1397" s="4" t="s">
        <v>117</v>
      </c>
      <c r="AC1397" s="4" t="s">
        <v>925</v>
      </c>
      <c r="AD1397" s="4" t="s">
        <v>3056</v>
      </c>
      <c r="AE1397" s="4" t="s">
        <v>48</v>
      </c>
      <c r="AF1397" s="4" t="s">
        <v>41</v>
      </c>
      <c r="AG1397" s="4" t="s">
        <v>2951</v>
      </c>
    </row>
    <row r="1398" spans="1:33" ht="16.5" customHeight="1" x14ac:dyDescent="0.2">
      <c r="A1398" s="2" t="s">
        <v>31</v>
      </c>
      <c r="B1398" s="19" t="s">
        <v>110</v>
      </c>
      <c r="C1398" s="19"/>
      <c r="D1398" s="19"/>
      <c r="E1398" s="20" t="s">
        <v>33</v>
      </c>
      <c r="F1398" s="20"/>
      <c r="G1398" s="21" t="s">
        <v>2947</v>
      </c>
      <c r="H1398" s="21"/>
      <c r="I1398" s="21"/>
      <c r="J1398" s="3" t="s">
        <v>35</v>
      </c>
      <c r="K1398" s="4" t="s">
        <v>394</v>
      </c>
      <c r="N1398" s="21" t="s">
        <v>3057</v>
      </c>
      <c r="O1398" s="21"/>
      <c r="P1398" s="21" t="s">
        <v>3058</v>
      </c>
      <c r="Q1398" s="21"/>
      <c r="R1398" s="21"/>
      <c r="S1398" s="3" t="s">
        <v>40</v>
      </c>
      <c r="T1398" s="21" t="s">
        <v>3059</v>
      </c>
      <c r="U1398" s="21"/>
      <c r="V1398" s="4" t="s">
        <v>59</v>
      </c>
      <c r="W1398" s="4" t="s">
        <v>54</v>
      </c>
      <c r="X1398" s="4" t="s">
        <v>60</v>
      </c>
      <c r="Y1398" s="21" t="s">
        <v>398</v>
      </c>
      <c r="Z1398" s="21"/>
      <c r="AA1398" s="4" t="s">
        <v>46</v>
      </c>
      <c r="AB1398" s="4" t="s">
        <v>117</v>
      </c>
      <c r="AC1398" s="4" t="s">
        <v>399</v>
      </c>
      <c r="AD1398" s="4" t="s">
        <v>3060</v>
      </c>
      <c r="AE1398" s="4" t="s">
        <v>48</v>
      </c>
      <c r="AF1398" s="4" t="s">
        <v>41</v>
      </c>
      <c r="AG1398" s="4" t="s">
        <v>2951</v>
      </c>
    </row>
    <row r="1399" spans="1:33" ht="16.5" customHeight="1" x14ac:dyDescent="0.2">
      <c r="A1399" s="2" t="s">
        <v>31</v>
      </c>
      <c r="B1399" s="19" t="s">
        <v>110</v>
      </c>
      <c r="C1399" s="19"/>
      <c r="D1399" s="19"/>
      <c r="E1399" s="20" t="s">
        <v>33</v>
      </c>
      <c r="F1399" s="20"/>
      <c r="G1399" s="21" t="s">
        <v>2947</v>
      </c>
      <c r="H1399" s="21"/>
      <c r="I1399" s="21"/>
      <c r="J1399" s="3" t="s">
        <v>35</v>
      </c>
      <c r="K1399" s="4" t="s">
        <v>394</v>
      </c>
      <c r="N1399" s="21" t="s">
        <v>3061</v>
      </c>
      <c r="O1399" s="21"/>
      <c r="P1399" s="21" t="s">
        <v>3062</v>
      </c>
      <c r="Q1399" s="21"/>
      <c r="R1399" s="21"/>
      <c r="S1399" s="3" t="s">
        <v>40</v>
      </c>
      <c r="T1399" s="21" t="s">
        <v>3063</v>
      </c>
      <c r="U1399" s="21"/>
      <c r="V1399" s="4" t="s">
        <v>59</v>
      </c>
      <c r="W1399" s="4" t="s">
        <v>54</v>
      </c>
      <c r="X1399" s="4" t="s">
        <v>60</v>
      </c>
      <c r="Y1399" s="21" t="s">
        <v>398</v>
      </c>
      <c r="Z1399" s="21"/>
      <c r="AA1399" s="4" t="s">
        <v>46</v>
      </c>
      <c r="AB1399" s="4" t="s">
        <v>117</v>
      </c>
      <c r="AC1399" s="4" t="s">
        <v>399</v>
      </c>
      <c r="AD1399" s="4" t="s">
        <v>3064</v>
      </c>
      <c r="AE1399" s="4" t="s">
        <v>48</v>
      </c>
      <c r="AF1399" s="4" t="s">
        <v>41</v>
      </c>
      <c r="AG1399" s="4" t="s">
        <v>2951</v>
      </c>
    </row>
    <row r="1400" spans="1:33" ht="16.5" customHeight="1" x14ac:dyDescent="0.2">
      <c r="A1400" s="2" t="s">
        <v>31</v>
      </c>
      <c r="B1400" s="19" t="s">
        <v>32</v>
      </c>
      <c r="C1400" s="19"/>
      <c r="D1400" s="19"/>
      <c r="E1400" s="20" t="s">
        <v>33</v>
      </c>
      <c r="F1400" s="20"/>
      <c r="G1400" s="21" t="s">
        <v>3065</v>
      </c>
      <c r="H1400" s="21"/>
      <c r="I1400" s="21"/>
      <c r="J1400" s="3" t="s">
        <v>35</v>
      </c>
      <c r="K1400" s="4" t="s">
        <v>2488</v>
      </c>
      <c r="L1400" s="4" t="s">
        <v>37</v>
      </c>
      <c r="N1400" s="21" t="s">
        <v>3066</v>
      </c>
      <c r="O1400" s="21"/>
      <c r="P1400" s="21" t="s">
        <v>3067</v>
      </c>
      <c r="Q1400" s="21"/>
      <c r="R1400" s="21"/>
      <c r="S1400" s="3" t="s">
        <v>40</v>
      </c>
      <c r="T1400" s="21" t="s">
        <v>2491</v>
      </c>
      <c r="U1400" s="21"/>
      <c r="V1400" s="4" t="s">
        <v>42</v>
      </c>
      <c r="W1400" s="4" t="s">
        <v>54</v>
      </c>
      <c r="X1400" s="4" t="s">
        <v>55</v>
      </c>
      <c r="Y1400" s="21" t="s">
        <v>669</v>
      </c>
      <c r="Z1400" s="21"/>
      <c r="AA1400" s="4" t="s">
        <v>46</v>
      </c>
      <c r="AB1400" s="4" t="s">
        <v>47</v>
      </c>
      <c r="AD1400" s="4" t="s">
        <v>41</v>
      </c>
      <c r="AE1400" s="4" t="s">
        <v>48</v>
      </c>
      <c r="AF1400" s="4" t="s">
        <v>41</v>
      </c>
      <c r="AG1400" s="4" t="s">
        <v>3068</v>
      </c>
    </row>
    <row r="1401" spans="1:33" ht="16.5" customHeight="1" x14ac:dyDescent="0.2">
      <c r="A1401" s="2" t="s">
        <v>31</v>
      </c>
      <c r="B1401" s="19" t="s">
        <v>50</v>
      </c>
      <c r="C1401" s="19"/>
      <c r="D1401" s="19"/>
      <c r="E1401" s="20" t="s">
        <v>33</v>
      </c>
      <c r="F1401" s="20"/>
      <c r="G1401" s="21" t="s">
        <v>3065</v>
      </c>
      <c r="H1401" s="21"/>
      <c r="I1401" s="21"/>
      <c r="J1401" s="3" t="s">
        <v>35</v>
      </c>
      <c r="K1401" s="4" t="s">
        <v>1094</v>
      </c>
      <c r="L1401" s="4" t="s">
        <v>37</v>
      </c>
      <c r="N1401" s="21" t="s">
        <v>3069</v>
      </c>
      <c r="O1401" s="21"/>
      <c r="P1401" s="21" t="s">
        <v>3070</v>
      </c>
      <c r="Q1401" s="21"/>
      <c r="R1401" s="21"/>
      <c r="S1401" s="3" t="s">
        <v>40</v>
      </c>
      <c r="T1401" s="21" t="s">
        <v>41</v>
      </c>
      <c r="U1401" s="21"/>
      <c r="V1401" s="4" t="s">
        <v>42</v>
      </c>
      <c r="W1401" s="4" t="s">
        <v>43</v>
      </c>
      <c r="X1401" s="4" t="s">
        <v>44</v>
      </c>
      <c r="Y1401" s="21" t="s">
        <v>138</v>
      </c>
      <c r="Z1401" s="21"/>
      <c r="AA1401" s="4" t="s">
        <v>46</v>
      </c>
      <c r="AB1401" s="4" t="s">
        <v>47</v>
      </c>
      <c r="AC1401" s="4" t="s">
        <v>81</v>
      </c>
      <c r="AD1401" s="4" t="s">
        <v>41</v>
      </c>
      <c r="AE1401" s="4" t="s">
        <v>48</v>
      </c>
      <c r="AF1401" s="4" t="s">
        <v>41</v>
      </c>
      <c r="AG1401" s="4" t="s">
        <v>3068</v>
      </c>
    </row>
    <row r="1402" spans="1:33" ht="16.5" customHeight="1" x14ac:dyDescent="0.2">
      <c r="A1402" s="2" t="s">
        <v>31</v>
      </c>
      <c r="B1402" s="19" t="s">
        <v>50</v>
      </c>
      <c r="C1402" s="19"/>
      <c r="D1402" s="19"/>
      <c r="E1402" s="20" t="s">
        <v>33</v>
      </c>
      <c r="F1402" s="20"/>
      <c r="G1402" s="21" t="s">
        <v>3065</v>
      </c>
      <c r="H1402" s="21"/>
      <c r="I1402" s="21"/>
      <c r="J1402" s="3" t="s">
        <v>35</v>
      </c>
      <c r="K1402" s="4" t="s">
        <v>51</v>
      </c>
      <c r="L1402" s="4" t="s">
        <v>37</v>
      </c>
      <c r="N1402" s="21" t="s">
        <v>3071</v>
      </c>
      <c r="O1402" s="21"/>
      <c r="P1402" s="21" t="s">
        <v>3072</v>
      </c>
      <c r="Q1402" s="21"/>
      <c r="R1402" s="21"/>
      <c r="S1402" s="3" t="s">
        <v>40</v>
      </c>
      <c r="T1402" s="21" t="s">
        <v>41</v>
      </c>
      <c r="U1402" s="21"/>
      <c r="V1402" s="4" t="s">
        <v>42</v>
      </c>
      <c r="W1402" s="4" t="s">
        <v>54</v>
      </c>
      <c r="X1402" s="4" t="s">
        <v>55</v>
      </c>
      <c r="Y1402" s="21" t="s">
        <v>56</v>
      </c>
      <c r="Z1402" s="21"/>
      <c r="AA1402" s="4" t="s">
        <v>46</v>
      </c>
      <c r="AB1402" s="4" t="s">
        <v>47</v>
      </c>
      <c r="AC1402" s="4" t="s">
        <v>57</v>
      </c>
      <c r="AD1402" s="4" t="s">
        <v>58</v>
      </c>
      <c r="AE1402" s="4" t="s">
        <v>48</v>
      </c>
      <c r="AF1402" s="4" t="s">
        <v>41</v>
      </c>
      <c r="AG1402" s="4" t="s">
        <v>3068</v>
      </c>
    </row>
    <row r="1403" spans="1:33" ht="16.5" customHeight="1" x14ac:dyDescent="0.2">
      <c r="A1403" s="2" t="s">
        <v>31</v>
      </c>
      <c r="B1403" s="19" t="s">
        <v>50</v>
      </c>
      <c r="C1403" s="19"/>
      <c r="D1403" s="19"/>
      <c r="E1403" s="20" t="s">
        <v>33</v>
      </c>
      <c r="F1403" s="20"/>
      <c r="G1403" s="21" t="s">
        <v>3065</v>
      </c>
      <c r="H1403" s="21"/>
      <c r="I1403" s="21"/>
      <c r="J1403" s="3" t="s">
        <v>35</v>
      </c>
      <c r="K1403" s="4" t="s">
        <v>413</v>
      </c>
      <c r="L1403" s="4" t="s">
        <v>37</v>
      </c>
      <c r="N1403" s="21" t="s">
        <v>3073</v>
      </c>
      <c r="O1403" s="21"/>
      <c r="P1403" s="21" t="s">
        <v>3074</v>
      </c>
      <c r="Q1403" s="21"/>
      <c r="R1403" s="21"/>
      <c r="S1403" s="3" t="s">
        <v>40</v>
      </c>
      <c r="T1403" s="21" t="s">
        <v>41</v>
      </c>
      <c r="U1403" s="21"/>
      <c r="V1403" s="4" t="s">
        <v>42</v>
      </c>
      <c r="W1403" s="4" t="s">
        <v>54</v>
      </c>
      <c r="X1403" s="4" t="s">
        <v>55</v>
      </c>
      <c r="Y1403" s="21" t="s">
        <v>198</v>
      </c>
      <c r="Z1403" s="21"/>
      <c r="AA1403" s="4" t="s">
        <v>46</v>
      </c>
      <c r="AB1403" s="4" t="s">
        <v>47</v>
      </c>
      <c r="AC1403" s="4" t="s">
        <v>139</v>
      </c>
      <c r="AD1403" s="4" t="s">
        <v>140</v>
      </c>
      <c r="AE1403" s="4" t="s">
        <v>48</v>
      </c>
      <c r="AF1403" s="4" t="s">
        <v>41</v>
      </c>
      <c r="AG1403" s="4" t="s">
        <v>3068</v>
      </c>
    </row>
    <row r="1404" spans="1:33" ht="16.5" customHeight="1" x14ac:dyDescent="0.2">
      <c r="A1404" s="2" t="s">
        <v>31</v>
      </c>
      <c r="B1404" s="19" t="s">
        <v>50</v>
      </c>
      <c r="C1404" s="19"/>
      <c r="D1404" s="19"/>
      <c r="E1404" s="20" t="s">
        <v>33</v>
      </c>
      <c r="F1404" s="20"/>
      <c r="G1404" s="21" t="s">
        <v>3065</v>
      </c>
      <c r="H1404" s="21"/>
      <c r="I1404" s="21"/>
      <c r="J1404" s="3" t="s">
        <v>35</v>
      </c>
      <c r="K1404" s="4" t="s">
        <v>413</v>
      </c>
      <c r="L1404" s="4" t="s">
        <v>37</v>
      </c>
      <c r="N1404" s="21" t="s">
        <v>3073</v>
      </c>
      <c r="O1404" s="21"/>
      <c r="P1404" s="21" t="s">
        <v>3074</v>
      </c>
      <c r="Q1404" s="21"/>
      <c r="R1404" s="21"/>
      <c r="S1404" s="3" t="s">
        <v>40</v>
      </c>
      <c r="T1404" s="21" t="s">
        <v>41</v>
      </c>
      <c r="U1404" s="21"/>
      <c r="V1404" s="4" t="s">
        <v>59</v>
      </c>
      <c r="W1404" s="4" t="s">
        <v>54</v>
      </c>
      <c r="X1404" s="4" t="s">
        <v>60</v>
      </c>
      <c r="Y1404" s="21" t="s">
        <v>198</v>
      </c>
      <c r="Z1404" s="21"/>
      <c r="AA1404" s="4" t="s">
        <v>46</v>
      </c>
      <c r="AB1404" s="4" t="s">
        <v>47</v>
      </c>
      <c r="AC1404" s="4" t="s">
        <v>139</v>
      </c>
      <c r="AD1404" s="4" t="s">
        <v>140</v>
      </c>
      <c r="AE1404" s="4" t="s">
        <v>48</v>
      </c>
      <c r="AF1404" s="4" t="s">
        <v>41</v>
      </c>
      <c r="AG1404" s="4" t="s">
        <v>3068</v>
      </c>
    </row>
    <row r="1405" spans="1:33" ht="16.5" customHeight="1" x14ac:dyDescent="0.2">
      <c r="A1405" s="2" t="s">
        <v>31</v>
      </c>
      <c r="B1405" s="19" t="s">
        <v>50</v>
      </c>
      <c r="C1405" s="19"/>
      <c r="D1405" s="19"/>
      <c r="E1405" s="20" t="s">
        <v>33</v>
      </c>
      <c r="F1405" s="20"/>
      <c r="G1405" s="21" t="s">
        <v>3065</v>
      </c>
      <c r="H1405" s="21"/>
      <c r="I1405" s="21"/>
      <c r="J1405" s="3" t="s">
        <v>35</v>
      </c>
      <c r="K1405" s="4" t="s">
        <v>99</v>
      </c>
      <c r="L1405" s="4" t="s">
        <v>37</v>
      </c>
      <c r="N1405" s="21" t="s">
        <v>3075</v>
      </c>
      <c r="O1405" s="21"/>
      <c r="P1405" s="21" t="s">
        <v>3076</v>
      </c>
      <c r="Q1405" s="21"/>
      <c r="R1405" s="21"/>
      <c r="S1405" s="3" t="s">
        <v>40</v>
      </c>
      <c r="T1405" s="21" t="s">
        <v>41</v>
      </c>
      <c r="U1405" s="21"/>
      <c r="V1405" s="4" t="s">
        <v>42</v>
      </c>
      <c r="W1405" s="4" t="s">
        <v>130</v>
      </c>
      <c r="X1405" s="4" t="s">
        <v>60</v>
      </c>
      <c r="Y1405" s="21" t="s">
        <v>56</v>
      </c>
      <c r="Z1405" s="21"/>
      <c r="AA1405" s="4" t="s">
        <v>46</v>
      </c>
      <c r="AB1405" s="4" t="s">
        <v>47</v>
      </c>
      <c r="AC1405" s="4" t="s">
        <v>57</v>
      </c>
      <c r="AD1405" s="4" t="s">
        <v>58</v>
      </c>
      <c r="AE1405" s="4" t="s">
        <v>48</v>
      </c>
      <c r="AF1405" s="4" t="s">
        <v>41</v>
      </c>
      <c r="AG1405" s="4" t="s">
        <v>3068</v>
      </c>
    </row>
    <row r="1406" spans="1:33" ht="16.5" customHeight="1" x14ac:dyDescent="0.2">
      <c r="A1406" s="2" t="s">
        <v>31</v>
      </c>
      <c r="B1406" s="19" t="s">
        <v>50</v>
      </c>
      <c r="C1406" s="19"/>
      <c r="D1406" s="19"/>
      <c r="E1406" s="20" t="s">
        <v>33</v>
      </c>
      <c r="F1406" s="20"/>
      <c r="G1406" s="21" t="s">
        <v>3065</v>
      </c>
      <c r="H1406" s="21"/>
      <c r="I1406" s="21"/>
      <c r="J1406" s="3" t="s">
        <v>35</v>
      </c>
      <c r="K1406" s="4" t="s">
        <v>99</v>
      </c>
      <c r="L1406" s="4" t="s">
        <v>37</v>
      </c>
      <c r="N1406" s="21" t="s">
        <v>3075</v>
      </c>
      <c r="O1406" s="21"/>
      <c r="P1406" s="21" t="s">
        <v>3076</v>
      </c>
      <c r="Q1406" s="21"/>
      <c r="R1406" s="21"/>
      <c r="S1406" s="3" t="s">
        <v>40</v>
      </c>
      <c r="T1406" s="21" t="s">
        <v>41</v>
      </c>
      <c r="U1406" s="21"/>
      <c r="V1406" s="4" t="s">
        <v>59</v>
      </c>
      <c r="W1406" s="4" t="s">
        <v>130</v>
      </c>
      <c r="X1406" s="4" t="s">
        <v>131</v>
      </c>
      <c r="Y1406" s="21" t="s">
        <v>56</v>
      </c>
      <c r="Z1406" s="21"/>
      <c r="AA1406" s="4" t="s">
        <v>46</v>
      </c>
      <c r="AB1406" s="4" t="s">
        <v>47</v>
      </c>
      <c r="AC1406" s="4" t="s">
        <v>57</v>
      </c>
      <c r="AD1406" s="4" t="s">
        <v>58</v>
      </c>
      <c r="AE1406" s="4" t="s">
        <v>48</v>
      </c>
      <c r="AF1406" s="4" t="s">
        <v>41</v>
      </c>
      <c r="AG1406" s="4" t="s">
        <v>3068</v>
      </c>
    </row>
    <row r="1407" spans="1:33" ht="16.5" customHeight="1" x14ac:dyDescent="0.2">
      <c r="A1407" s="2" t="s">
        <v>31</v>
      </c>
      <c r="B1407" s="19" t="s">
        <v>50</v>
      </c>
      <c r="C1407" s="19"/>
      <c r="D1407" s="19"/>
      <c r="E1407" s="20" t="s">
        <v>33</v>
      </c>
      <c r="F1407" s="20"/>
      <c r="G1407" s="21" t="s">
        <v>3065</v>
      </c>
      <c r="H1407" s="21"/>
      <c r="I1407" s="21"/>
      <c r="J1407" s="3" t="s">
        <v>35</v>
      </c>
      <c r="K1407" s="4" t="s">
        <v>74</v>
      </c>
      <c r="L1407" s="4" t="s">
        <v>37</v>
      </c>
      <c r="N1407" s="21" t="s">
        <v>3077</v>
      </c>
      <c r="O1407" s="21"/>
      <c r="P1407" s="21" t="s">
        <v>3078</v>
      </c>
      <c r="Q1407" s="21"/>
      <c r="R1407" s="21"/>
      <c r="S1407" s="3" t="s">
        <v>40</v>
      </c>
      <c r="T1407" s="21" t="s">
        <v>41</v>
      </c>
      <c r="U1407" s="21"/>
      <c r="V1407" s="4" t="s">
        <v>42</v>
      </c>
      <c r="W1407" s="4" t="s">
        <v>54</v>
      </c>
      <c r="X1407" s="4" t="s">
        <v>55</v>
      </c>
      <c r="Y1407" s="21" t="s">
        <v>65</v>
      </c>
      <c r="Z1407" s="21"/>
      <c r="AA1407" s="4" t="s">
        <v>46</v>
      </c>
      <c r="AB1407" s="4" t="s">
        <v>47</v>
      </c>
      <c r="AC1407" s="4" t="s">
        <v>66</v>
      </c>
      <c r="AD1407" s="4" t="s">
        <v>73</v>
      </c>
      <c r="AE1407" s="4" t="s">
        <v>48</v>
      </c>
      <c r="AF1407" s="4" t="s">
        <v>41</v>
      </c>
      <c r="AG1407" s="4" t="s">
        <v>3068</v>
      </c>
    </row>
    <row r="1408" spans="1:33" ht="16.5" customHeight="1" x14ac:dyDescent="0.2">
      <c r="A1408" s="2" t="s">
        <v>31</v>
      </c>
      <c r="B1408" s="19" t="s">
        <v>50</v>
      </c>
      <c r="C1408" s="19"/>
      <c r="D1408" s="19"/>
      <c r="E1408" s="20" t="s">
        <v>33</v>
      </c>
      <c r="F1408" s="20"/>
      <c r="G1408" s="21" t="s">
        <v>3065</v>
      </c>
      <c r="H1408" s="21"/>
      <c r="I1408" s="21"/>
      <c r="J1408" s="3" t="s">
        <v>35</v>
      </c>
      <c r="K1408" s="4" t="s">
        <v>74</v>
      </c>
      <c r="L1408" s="4" t="s">
        <v>37</v>
      </c>
      <c r="N1408" s="21" t="s">
        <v>3077</v>
      </c>
      <c r="O1408" s="21"/>
      <c r="P1408" s="21" t="s">
        <v>3078</v>
      </c>
      <c r="Q1408" s="21"/>
      <c r="R1408" s="21"/>
      <c r="S1408" s="3" t="s">
        <v>40</v>
      </c>
      <c r="T1408" s="21" t="s">
        <v>41</v>
      </c>
      <c r="U1408" s="21"/>
      <c r="V1408" s="4" t="s">
        <v>59</v>
      </c>
      <c r="W1408" s="4" t="s">
        <v>54</v>
      </c>
      <c r="X1408" s="4" t="s">
        <v>60</v>
      </c>
      <c r="Y1408" s="21" t="s">
        <v>65</v>
      </c>
      <c r="Z1408" s="21"/>
      <c r="AA1408" s="4" t="s">
        <v>46</v>
      </c>
      <c r="AB1408" s="4" t="s">
        <v>47</v>
      </c>
      <c r="AC1408" s="4" t="s">
        <v>66</v>
      </c>
      <c r="AD1408" s="4" t="s">
        <v>73</v>
      </c>
      <c r="AE1408" s="4" t="s">
        <v>48</v>
      </c>
      <c r="AF1408" s="4" t="s">
        <v>41</v>
      </c>
      <c r="AG1408" s="4" t="s">
        <v>3068</v>
      </c>
    </row>
    <row r="1409" spans="1:33" ht="16.5" customHeight="1" x14ac:dyDescent="0.2">
      <c r="A1409" s="2" t="s">
        <v>31</v>
      </c>
      <c r="B1409" s="19" t="s">
        <v>50</v>
      </c>
      <c r="C1409" s="19"/>
      <c r="D1409" s="19"/>
      <c r="E1409" s="20" t="s">
        <v>33</v>
      </c>
      <c r="F1409" s="20"/>
      <c r="G1409" s="21" t="s">
        <v>3065</v>
      </c>
      <c r="H1409" s="21"/>
      <c r="I1409" s="21"/>
      <c r="J1409" s="3" t="s">
        <v>35</v>
      </c>
      <c r="K1409" s="4" t="s">
        <v>152</v>
      </c>
      <c r="L1409" s="4" t="s">
        <v>37</v>
      </c>
      <c r="N1409" s="21" t="s">
        <v>3079</v>
      </c>
      <c r="O1409" s="21"/>
      <c r="P1409" s="21" t="s">
        <v>3080</v>
      </c>
      <c r="Q1409" s="21"/>
      <c r="R1409" s="21"/>
      <c r="S1409" s="3" t="s">
        <v>40</v>
      </c>
      <c r="T1409" s="21" t="s">
        <v>41</v>
      </c>
      <c r="U1409" s="21"/>
      <c r="V1409" s="4" t="s">
        <v>42</v>
      </c>
      <c r="W1409" s="4" t="s">
        <v>157</v>
      </c>
      <c r="X1409" s="4" t="s">
        <v>158</v>
      </c>
      <c r="Y1409" s="21" t="s">
        <v>56</v>
      </c>
      <c r="Z1409" s="21"/>
      <c r="AA1409" s="4" t="s">
        <v>46</v>
      </c>
      <c r="AB1409" s="4" t="s">
        <v>47</v>
      </c>
      <c r="AC1409" s="4" t="s">
        <v>139</v>
      </c>
      <c r="AD1409" s="4" t="s">
        <v>140</v>
      </c>
      <c r="AE1409" s="4" t="s">
        <v>48</v>
      </c>
      <c r="AF1409" s="4" t="s">
        <v>41</v>
      </c>
      <c r="AG1409" s="4" t="s">
        <v>3068</v>
      </c>
    </row>
    <row r="1410" spans="1:33" ht="16.5" customHeight="1" x14ac:dyDescent="0.2">
      <c r="A1410" s="2" t="s">
        <v>31</v>
      </c>
      <c r="B1410" s="19" t="s">
        <v>50</v>
      </c>
      <c r="C1410" s="19"/>
      <c r="D1410" s="19"/>
      <c r="E1410" s="20" t="s">
        <v>33</v>
      </c>
      <c r="F1410" s="20"/>
      <c r="G1410" s="21" t="s">
        <v>3065</v>
      </c>
      <c r="H1410" s="21"/>
      <c r="I1410" s="21"/>
      <c r="J1410" s="3" t="s">
        <v>35</v>
      </c>
      <c r="K1410" s="4" t="s">
        <v>133</v>
      </c>
      <c r="L1410" s="4" t="s">
        <v>37</v>
      </c>
      <c r="N1410" s="21" t="s">
        <v>3081</v>
      </c>
      <c r="O1410" s="21"/>
      <c r="P1410" s="21" t="s">
        <v>3082</v>
      </c>
      <c r="Q1410" s="21"/>
      <c r="R1410" s="21"/>
      <c r="S1410" s="3" t="s">
        <v>40</v>
      </c>
      <c r="T1410" s="21" t="s">
        <v>41</v>
      </c>
      <c r="U1410" s="21"/>
      <c r="V1410" s="4" t="s">
        <v>42</v>
      </c>
      <c r="W1410" s="4" t="s">
        <v>484</v>
      </c>
      <c r="X1410" s="4" t="s">
        <v>485</v>
      </c>
      <c r="Y1410" s="21" t="s">
        <v>138</v>
      </c>
      <c r="Z1410" s="21"/>
      <c r="AA1410" s="4" t="s">
        <v>46</v>
      </c>
      <c r="AB1410" s="4" t="s">
        <v>47</v>
      </c>
      <c r="AC1410" s="4" t="s">
        <v>139</v>
      </c>
      <c r="AD1410" s="4" t="s">
        <v>140</v>
      </c>
      <c r="AE1410" s="4" t="s">
        <v>48</v>
      </c>
      <c r="AF1410" s="4" t="s">
        <v>41</v>
      </c>
      <c r="AG1410" s="4" t="s">
        <v>3068</v>
      </c>
    </row>
    <row r="1411" spans="1:33" ht="16.5" customHeight="1" x14ac:dyDescent="0.2">
      <c r="A1411" s="2" t="s">
        <v>31</v>
      </c>
      <c r="B1411" s="19" t="s">
        <v>110</v>
      </c>
      <c r="C1411" s="19"/>
      <c r="D1411" s="19"/>
      <c r="E1411" s="20" t="s">
        <v>33</v>
      </c>
      <c r="F1411" s="20"/>
      <c r="G1411" s="21" t="s">
        <v>3065</v>
      </c>
      <c r="H1411" s="21"/>
      <c r="I1411" s="21"/>
      <c r="J1411" s="3" t="s">
        <v>111</v>
      </c>
      <c r="K1411" s="4" t="s">
        <v>241</v>
      </c>
      <c r="N1411" s="21" t="s">
        <v>3081</v>
      </c>
      <c r="O1411" s="21"/>
      <c r="P1411" s="21" t="s">
        <v>3082</v>
      </c>
      <c r="Q1411" s="21"/>
      <c r="R1411" s="21"/>
      <c r="S1411" s="3" t="s">
        <v>40</v>
      </c>
      <c r="T1411" s="21" t="s">
        <v>242</v>
      </c>
      <c r="U1411" s="21"/>
      <c r="V1411" s="4" t="s">
        <v>42</v>
      </c>
      <c r="W1411" s="4" t="s">
        <v>54</v>
      </c>
      <c r="X1411" s="4" t="s">
        <v>864</v>
      </c>
      <c r="Y1411" s="21" t="s">
        <v>116</v>
      </c>
      <c r="Z1411" s="21"/>
      <c r="AA1411" s="4" t="s">
        <v>46</v>
      </c>
      <c r="AB1411" s="4" t="s">
        <v>117</v>
      </c>
      <c r="AC1411" s="4" t="s">
        <v>118</v>
      </c>
      <c r="AD1411" s="4" t="s">
        <v>3083</v>
      </c>
      <c r="AE1411" s="4" t="s">
        <v>48</v>
      </c>
      <c r="AF1411" s="4" t="s">
        <v>41</v>
      </c>
      <c r="AG1411" s="4" t="s">
        <v>3068</v>
      </c>
    </row>
    <row r="1412" spans="1:33" ht="16.5" customHeight="1" x14ac:dyDescent="0.2">
      <c r="A1412" s="2" t="s">
        <v>31</v>
      </c>
      <c r="B1412" s="19" t="s">
        <v>50</v>
      </c>
      <c r="C1412" s="19"/>
      <c r="D1412" s="19"/>
      <c r="E1412" s="20" t="s">
        <v>33</v>
      </c>
      <c r="F1412" s="20"/>
      <c r="G1412" s="21" t="s">
        <v>3065</v>
      </c>
      <c r="H1412" s="21"/>
      <c r="I1412" s="21"/>
      <c r="J1412" s="3" t="s">
        <v>35</v>
      </c>
      <c r="K1412" s="4" t="s">
        <v>123</v>
      </c>
      <c r="L1412" s="4" t="s">
        <v>37</v>
      </c>
      <c r="N1412" s="21" t="s">
        <v>3084</v>
      </c>
      <c r="O1412" s="21"/>
      <c r="P1412" s="21" t="s">
        <v>3085</v>
      </c>
      <c r="Q1412" s="21"/>
      <c r="R1412" s="21"/>
      <c r="S1412" s="3" t="s">
        <v>40</v>
      </c>
      <c r="T1412" s="21" t="s">
        <v>41</v>
      </c>
      <c r="U1412" s="21"/>
      <c r="V1412" s="4" t="s">
        <v>42</v>
      </c>
      <c r="W1412" s="4" t="s">
        <v>104</v>
      </c>
      <c r="X1412" s="4" t="s">
        <v>105</v>
      </c>
      <c r="Y1412" s="21" t="s">
        <v>65</v>
      </c>
      <c r="Z1412" s="21"/>
      <c r="AA1412" s="4" t="s">
        <v>46</v>
      </c>
      <c r="AB1412" s="4" t="s">
        <v>47</v>
      </c>
      <c r="AC1412" s="4" t="s">
        <v>66</v>
      </c>
      <c r="AD1412" s="4" t="s">
        <v>73</v>
      </c>
      <c r="AE1412" s="4" t="s">
        <v>48</v>
      </c>
      <c r="AF1412" s="4" t="s">
        <v>41</v>
      </c>
      <c r="AG1412" s="4" t="s">
        <v>3068</v>
      </c>
    </row>
    <row r="1413" spans="1:33" ht="16.5" customHeight="1" x14ac:dyDescent="0.2">
      <c r="A1413" s="2" t="s">
        <v>31</v>
      </c>
      <c r="B1413" s="19" t="s">
        <v>50</v>
      </c>
      <c r="C1413" s="19"/>
      <c r="D1413" s="19"/>
      <c r="E1413" s="20" t="s">
        <v>33</v>
      </c>
      <c r="F1413" s="20"/>
      <c r="G1413" s="21" t="s">
        <v>3065</v>
      </c>
      <c r="H1413" s="21"/>
      <c r="I1413" s="21"/>
      <c r="J1413" s="3" t="s">
        <v>35</v>
      </c>
      <c r="K1413" s="4" t="s">
        <v>247</v>
      </c>
      <c r="L1413" s="4" t="s">
        <v>37</v>
      </c>
      <c r="N1413" s="21" t="s">
        <v>3086</v>
      </c>
      <c r="O1413" s="21"/>
      <c r="P1413" s="21" t="s">
        <v>3087</v>
      </c>
      <c r="Q1413" s="21"/>
      <c r="R1413" s="21"/>
      <c r="S1413" s="3" t="s">
        <v>40</v>
      </c>
      <c r="T1413" s="21" t="s">
        <v>41</v>
      </c>
      <c r="U1413" s="21"/>
      <c r="V1413" s="4" t="s">
        <v>42</v>
      </c>
      <c r="W1413" s="4" t="s">
        <v>104</v>
      </c>
      <c r="X1413" s="4" t="s">
        <v>105</v>
      </c>
      <c r="Y1413" s="21" t="s">
        <v>65</v>
      </c>
      <c r="Z1413" s="21"/>
      <c r="AA1413" s="4" t="s">
        <v>46</v>
      </c>
      <c r="AB1413" s="4" t="s">
        <v>47</v>
      </c>
      <c r="AC1413" s="4" t="s">
        <v>66</v>
      </c>
      <c r="AD1413" s="4" t="s">
        <v>73</v>
      </c>
      <c r="AE1413" s="4" t="s">
        <v>48</v>
      </c>
      <c r="AF1413" s="4" t="s">
        <v>41</v>
      </c>
      <c r="AG1413" s="4" t="s">
        <v>3068</v>
      </c>
    </row>
    <row r="1414" spans="1:33" ht="16.5" customHeight="1" x14ac:dyDescent="0.2">
      <c r="A1414" s="2" t="s">
        <v>31</v>
      </c>
      <c r="B1414" s="19" t="s">
        <v>50</v>
      </c>
      <c r="C1414" s="19"/>
      <c r="D1414" s="19"/>
      <c r="E1414" s="20" t="s">
        <v>33</v>
      </c>
      <c r="F1414" s="20"/>
      <c r="G1414" s="21" t="s">
        <v>3065</v>
      </c>
      <c r="H1414" s="21"/>
      <c r="I1414" s="21"/>
      <c r="J1414" s="3" t="s">
        <v>35</v>
      </c>
      <c r="K1414" s="4" t="s">
        <v>247</v>
      </c>
      <c r="L1414" s="4" t="s">
        <v>37</v>
      </c>
      <c r="N1414" s="21" t="s">
        <v>3086</v>
      </c>
      <c r="O1414" s="21"/>
      <c r="P1414" s="21" t="s">
        <v>3087</v>
      </c>
      <c r="Q1414" s="21"/>
      <c r="R1414" s="21"/>
      <c r="S1414" s="3" t="s">
        <v>40</v>
      </c>
      <c r="T1414" s="21" t="s">
        <v>41</v>
      </c>
      <c r="U1414" s="21"/>
      <c r="V1414" s="4" t="s">
        <v>59</v>
      </c>
      <c r="W1414" s="4" t="s">
        <v>104</v>
      </c>
      <c r="X1414" s="4" t="s">
        <v>109</v>
      </c>
      <c r="Y1414" s="21" t="s">
        <v>65</v>
      </c>
      <c r="Z1414" s="21"/>
      <c r="AA1414" s="4" t="s">
        <v>46</v>
      </c>
      <c r="AB1414" s="4" t="s">
        <v>47</v>
      </c>
      <c r="AC1414" s="4" t="s">
        <v>66</v>
      </c>
      <c r="AD1414" s="4" t="s">
        <v>73</v>
      </c>
      <c r="AE1414" s="4" t="s">
        <v>48</v>
      </c>
      <c r="AF1414" s="4" t="s">
        <v>41</v>
      </c>
      <c r="AG1414" s="4" t="s">
        <v>3068</v>
      </c>
    </row>
    <row r="1415" spans="1:33" ht="16.5" customHeight="1" x14ac:dyDescent="0.2">
      <c r="A1415" s="2" t="s">
        <v>31</v>
      </c>
      <c r="B1415" s="19" t="s">
        <v>50</v>
      </c>
      <c r="C1415" s="19"/>
      <c r="D1415" s="19"/>
      <c r="E1415" s="20" t="s">
        <v>33</v>
      </c>
      <c r="F1415" s="20"/>
      <c r="G1415" s="21" t="s">
        <v>3065</v>
      </c>
      <c r="H1415" s="21"/>
      <c r="I1415" s="21"/>
      <c r="J1415" s="3" t="s">
        <v>35</v>
      </c>
      <c r="K1415" s="4" t="s">
        <v>247</v>
      </c>
      <c r="L1415" s="4" t="s">
        <v>37</v>
      </c>
      <c r="N1415" s="21" t="s">
        <v>3086</v>
      </c>
      <c r="O1415" s="21"/>
      <c r="P1415" s="21" t="s">
        <v>3087</v>
      </c>
      <c r="Q1415" s="21"/>
      <c r="R1415" s="21"/>
      <c r="S1415" s="3" t="s">
        <v>40</v>
      </c>
      <c r="T1415" s="21" t="s">
        <v>41</v>
      </c>
      <c r="U1415" s="21"/>
      <c r="V1415" s="4" t="s">
        <v>130</v>
      </c>
      <c r="W1415" s="4" t="s">
        <v>104</v>
      </c>
      <c r="X1415" s="4" t="s">
        <v>382</v>
      </c>
      <c r="Y1415" s="21" t="s">
        <v>65</v>
      </c>
      <c r="Z1415" s="21"/>
      <c r="AA1415" s="4" t="s">
        <v>46</v>
      </c>
      <c r="AB1415" s="4" t="s">
        <v>47</v>
      </c>
      <c r="AC1415" s="4" t="s">
        <v>66</v>
      </c>
      <c r="AD1415" s="4" t="s">
        <v>73</v>
      </c>
      <c r="AE1415" s="4" t="s">
        <v>48</v>
      </c>
      <c r="AF1415" s="4" t="s">
        <v>41</v>
      </c>
      <c r="AG1415" s="4" t="s">
        <v>3068</v>
      </c>
    </row>
    <row r="1416" spans="1:33" ht="16.5" customHeight="1" x14ac:dyDescent="0.2">
      <c r="A1416" s="2" t="s">
        <v>31</v>
      </c>
      <c r="B1416" s="19" t="s">
        <v>50</v>
      </c>
      <c r="C1416" s="19"/>
      <c r="D1416" s="19"/>
      <c r="E1416" s="20" t="s">
        <v>33</v>
      </c>
      <c r="F1416" s="20"/>
      <c r="G1416" s="21" t="s">
        <v>3065</v>
      </c>
      <c r="H1416" s="21"/>
      <c r="I1416" s="21"/>
      <c r="J1416" s="3" t="s">
        <v>35</v>
      </c>
      <c r="K1416" s="4" t="s">
        <v>413</v>
      </c>
      <c r="L1416" s="4" t="s">
        <v>37</v>
      </c>
      <c r="N1416" s="21" t="s">
        <v>3088</v>
      </c>
      <c r="O1416" s="21"/>
      <c r="P1416" s="21" t="s">
        <v>3089</v>
      </c>
      <c r="Q1416" s="21"/>
      <c r="R1416" s="21"/>
      <c r="S1416" s="3" t="s">
        <v>40</v>
      </c>
      <c r="T1416" s="21" t="s">
        <v>41</v>
      </c>
      <c r="U1416" s="21"/>
      <c r="V1416" s="4" t="s">
        <v>59</v>
      </c>
      <c r="W1416" s="4" t="s">
        <v>54</v>
      </c>
      <c r="X1416" s="4" t="s">
        <v>60</v>
      </c>
      <c r="Y1416" s="21" t="s">
        <v>198</v>
      </c>
      <c r="Z1416" s="21"/>
      <c r="AA1416" s="4" t="s">
        <v>46</v>
      </c>
      <c r="AB1416" s="4" t="s">
        <v>47</v>
      </c>
      <c r="AC1416" s="4" t="s">
        <v>139</v>
      </c>
      <c r="AD1416" s="4" t="s">
        <v>140</v>
      </c>
      <c r="AE1416" s="4" t="s">
        <v>48</v>
      </c>
      <c r="AF1416" s="4" t="s">
        <v>41</v>
      </c>
      <c r="AG1416" s="4" t="s">
        <v>3068</v>
      </c>
    </row>
    <row r="1417" spans="1:33" ht="16.5" customHeight="1" x14ac:dyDescent="0.2">
      <c r="A1417" s="2" t="s">
        <v>31</v>
      </c>
      <c r="B1417" s="19" t="s">
        <v>50</v>
      </c>
      <c r="C1417" s="19"/>
      <c r="D1417" s="19"/>
      <c r="E1417" s="20" t="s">
        <v>33</v>
      </c>
      <c r="F1417" s="20"/>
      <c r="G1417" s="21" t="s">
        <v>3065</v>
      </c>
      <c r="H1417" s="21"/>
      <c r="I1417" s="21"/>
      <c r="J1417" s="3" t="s">
        <v>35</v>
      </c>
      <c r="K1417" s="4" t="s">
        <v>82</v>
      </c>
      <c r="L1417" s="4" t="s">
        <v>37</v>
      </c>
      <c r="N1417" s="21" t="s">
        <v>3090</v>
      </c>
      <c r="O1417" s="21"/>
      <c r="P1417" s="21" t="s">
        <v>3091</v>
      </c>
      <c r="Q1417" s="21"/>
      <c r="R1417" s="21"/>
      <c r="S1417" s="3" t="s">
        <v>40</v>
      </c>
      <c r="T1417" s="21" t="s">
        <v>41</v>
      </c>
      <c r="U1417" s="21"/>
      <c r="V1417" s="4" t="s">
        <v>42</v>
      </c>
      <c r="W1417" s="4" t="s">
        <v>130</v>
      </c>
      <c r="X1417" s="4" t="s">
        <v>60</v>
      </c>
      <c r="Y1417" s="21" t="s">
        <v>56</v>
      </c>
      <c r="Z1417" s="21"/>
      <c r="AA1417" s="4" t="s">
        <v>46</v>
      </c>
      <c r="AB1417" s="4" t="s">
        <v>47</v>
      </c>
      <c r="AC1417" s="4" t="s">
        <v>57</v>
      </c>
      <c r="AD1417" s="4" t="s">
        <v>58</v>
      </c>
      <c r="AE1417" s="4" t="s">
        <v>48</v>
      </c>
      <c r="AF1417" s="4" t="s">
        <v>41</v>
      </c>
      <c r="AG1417" s="4" t="s">
        <v>3068</v>
      </c>
    </row>
    <row r="1418" spans="1:33" ht="16.5" customHeight="1" x14ac:dyDescent="0.2">
      <c r="A1418" s="2" t="s">
        <v>31</v>
      </c>
      <c r="B1418" s="19" t="s">
        <v>50</v>
      </c>
      <c r="C1418" s="19"/>
      <c r="D1418" s="19"/>
      <c r="E1418" s="20" t="s">
        <v>33</v>
      </c>
      <c r="F1418" s="20"/>
      <c r="G1418" s="21" t="s">
        <v>3065</v>
      </c>
      <c r="H1418" s="21"/>
      <c r="I1418" s="21"/>
      <c r="J1418" s="3" t="s">
        <v>35</v>
      </c>
      <c r="K1418" s="4" t="s">
        <v>193</v>
      </c>
      <c r="L1418" s="4" t="s">
        <v>37</v>
      </c>
      <c r="N1418" s="21" t="s">
        <v>3092</v>
      </c>
      <c r="O1418" s="21"/>
      <c r="P1418" s="21" t="s">
        <v>3093</v>
      </c>
      <c r="Q1418" s="21"/>
      <c r="R1418" s="21"/>
      <c r="S1418" s="3" t="s">
        <v>40</v>
      </c>
      <c r="T1418" s="21" t="s">
        <v>41</v>
      </c>
      <c r="U1418" s="21"/>
      <c r="V1418" s="4" t="s">
        <v>42</v>
      </c>
      <c r="W1418" s="4" t="s">
        <v>130</v>
      </c>
      <c r="X1418" s="4" t="s">
        <v>60</v>
      </c>
      <c r="Y1418" s="21" t="s">
        <v>198</v>
      </c>
      <c r="Z1418" s="21"/>
      <c r="AA1418" s="4" t="s">
        <v>46</v>
      </c>
      <c r="AB1418" s="4" t="s">
        <v>47</v>
      </c>
      <c r="AC1418" s="4" t="s">
        <v>139</v>
      </c>
      <c r="AD1418" s="4" t="s">
        <v>140</v>
      </c>
      <c r="AE1418" s="4" t="s">
        <v>48</v>
      </c>
      <c r="AF1418" s="4" t="s">
        <v>41</v>
      </c>
      <c r="AG1418" s="4" t="s">
        <v>3068</v>
      </c>
    </row>
    <row r="1419" spans="1:33" ht="16.5" customHeight="1" x14ac:dyDescent="0.2">
      <c r="A1419" s="2" t="s">
        <v>31</v>
      </c>
      <c r="B1419" s="19" t="s">
        <v>50</v>
      </c>
      <c r="C1419" s="19"/>
      <c r="D1419" s="19"/>
      <c r="E1419" s="20" t="s">
        <v>33</v>
      </c>
      <c r="F1419" s="20"/>
      <c r="G1419" s="21" t="s">
        <v>3065</v>
      </c>
      <c r="H1419" s="21"/>
      <c r="I1419" s="21"/>
      <c r="J1419" s="3" t="s">
        <v>35</v>
      </c>
      <c r="K1419" s="4" t="s">
        <v>51</v>
      </c>
      <c r="L1419" s="4" t="s">
        <v>37</v>
      </c>
      <c r="N1419" s="21" t="s">
        <v>3094</v>
      </c>
      <c r="O1419" s="21"/>
      <c r="P1419" s="21" t="s">
        <v>3095</v>
      </c>
      <c r="Q1419" s="21"/>
      <c r="R1419" s="21"/>
      <c r="S1419" s="3" t="s">
        <v>40</v>
      </c>
      <c r="T1419" s="21" t="s">
        <v>41</v>
      </c>
      <c r="U1419" s="21"/>
      <c r="V1419" s="4" t="s">
        <v>42</v>
      </c>
      <c r="W1419" s="4" t="s">
        <v>59</v>
      </c>
      <c r="X1419" s="4" t="s">
        <v>131</v>
      </c>
      <c r="Y1419" s="21" t="s">
        <v>56</v>
      </c>
      <c r="Z1419" s="21"/>
      <c r="AA1419" s="4" t="s">
        <v>46</v>
      </c>
      <c r="AB1419" s="4" t="s">
        <v>47</v>
      </c>
      <c r="AC1419" s="4" t="s">
        <v>57</v>
      </c>
      <c r="AD1419" s="4" t="s">
        <v>58</v>
      </c>
      <c r="AE1419" s="4" t="s">
        <v>48</v>
      </c>
      <c r="AF1419" s="4" t="s">
        <v>41</v>
      </c>
      <c r="AG1419" s="4" t="s">
        <v>3068</v>
      </c>
    </row>
    <row r="1420" spans="1:33" ht="16.5" customHeight="1" x14ac:dyDescent="0.2">
      <c r="A1420" s="2" t="s">
        <v>31</v>
      </c>
      <c r="B1420" s="19" t="s">
        <v>50</v>
      </c>
      <c r="C1420" s="19"/>
      <c r="D1420" s="19"/>
      <c r="E1420" s="20" t="s">
        <v>33</v>
      </c>
      <c r="F1420" s="20"/>
      <c r="G1420" s="21" t="s">
        <v>3065</v>
      </c>
      <c r="H1420" s="21"/>
      <c r="I1420" s="21"/>
      <c r="J1420" s="3" t="s">
        <v>35</v>
      </c>
      <c r="K1420" s="4" t="s">
        <v>74</v>
      </c>
      <c r="L1420" s="4" t="s">
        <v>68</v>
      </c>
      <c r="N1420" s="21" t="s">
        <v>3096</v>
      </c>
      <c r="O1420" s="21"/>
      <c r="P1420" s="21" t="s">
        <v>3097</v>
      </c>
      <c r="Q1420" s="21"/>
      <c r="R1420" s="21"/>
      <c r="S1420" s="3" t="s">
        <v>40</v>
      </c>
      <c r="T1420" s="21" t="s">
        <v>41</v>
      </c>
      <c r="U1420" s="21"/>
      <c r="V1420" s="4" t="s">
        <v>42</v>
      </c>
      <c r="W1420" s="4" t="s">
        <v>59</v>
      </c>
      <c r="X1420" s="4" t="s">
        <v>131</v>
      </c>
      <c r="Y1420" s="21" t="s">
        <v>65</v>
      </c>
      <c r="Z1420" s="21"/>
      <c r="AA1420" s="4" t="s">
        <v>46</v>
      </c>
      <c r="AB1420" s="4" t="s">
        <v>47</v>
      </c>
      <c r="AC1420" s="4" t="s">
        <v>66</v>
      </c>
      <c r="AD1420" s="4" t="s">
        <v>69</v>
      </c>
      <c r="AE1420" s="4" t="s">
        <v>48</v>
      </c>
      <c r="AF1420" s="4" t="s">
        <v>41</v>
      </c>
      <c r="AG1420" s="4" t="s">
        <v>3068</v>
      </c>
    </row>
    <row r="1421" spans="1:33" ht="16.5" customHeight="1" x14ac:dyDescent="0.2">
      <c r="A1421" s="2" t="s">
        <v>31</v>
      </c>
      <c r="B1421" s="19" t="s">
        <v>110</v>
      </c>
      <c r="C1421" s="19"/>
      <c r="D1421" s="19"/>
      <c r="E1421" s="20" t="s">
        <v>33</v>
      </c>
      <c r="F1421" s="20"/>
      <c r="G1421" s="21" t="s">
        <v>3065</v>
      </c>
      <c r="H1421" s="21"/>
      <c r="I1421" s="21"/>
      <c r="J1421" s="3" t="s">
        <v>35</v>
      </c>
      <c r="K1421" s="4" t="s">
        <v>937</v>
      </c>
      <c r="N1421" s="21" t="s">
        <v>3098</v>
      </c>
      <c r="O1421" s="21"/>
      <c r="P1421" s="21" t="s">
        <v>3099</v>
      </c>
      <c r="Q1421" s="21"/>
      <c r="R1421" s="21"/>
      <c r="S1421" s="3" t="s">
        <v>40</v>
      </c>
      <c r="T1421" s="21" t="s">
        <v>3100</v>
      </c>
      <c r="U1421" s="21"/>
      <c r="V1421" s="4" t="s">
        <v>59</v>
      </c>
      <c r="W1421" s="4" t="s">
        <v>54</v>
      </c>
      <c r="X1421" s="4" t="s">
        <v>60</v>
      </c>
      <c r="Y1421" s="21" t="s">
        <v>398</v>
      </c>
      <c r="Z1421" s="21"/>
      <c r="AA1421" s="4" t="s">
        <v>46</v>
      </c>
      <c r="AB1421" s="4" t="s">
        <v>117</v>
      </c>
      <c r="AC1421" s="4" t="s">
        <v>399</v>
      </c>
      <c r="AD1421" s="4" t="s">
        <v>3101</v>
      </c>
      <c r="AE1421" s="4" t="s">
        <v>48</v>
      </c>
      <c r="AF1421" s="4" t="s">
        <v>41</v>
      </c>
      <c r="AG1421" s="4" t="s">
        <v>3068</v>
      </c>
    </row>
    <row r="1422" spans="1:33" ht="16.5" customHeight="1" x14ac:dyDescent="0.2">
      <c r="A1422" s="2" t="s">
        <v>31</v>
      </c>
      <c r="B1422" s="19" t="s">
        <v>50</v>
      </c>
      <c r="C1422" s="19"/>
      <c r="D1422" s="19"/>
      <c r="E1422" s="20" t="s">
        <v>33</v>
      </c>
      <c r="F1422" s="20"/>
      <c r="G1422" s="21" t="s">
        <v>3102</v>
      </c>
      <c r="H1422" s="21"/>
      <c r="I1422" s="21"/>
      <c r="J1422" s="3" t="s">
        <v>35</v>
      </c>
      <c r="K1422" s="4" t="s">
        <v>152</v>
      </c>
      <c r="L1422" s="4" t="s">
        <v>37</v>
      </c>
      <c r="N1422" s="21" t="s">
        <v>3103</v>
      </c>
      <c r="O1422" s="21"/>
      <c r="P1422" s="21" t="s">
        <v>3104</v>
      </c>
      <c r="Q1422" s="21"/>
      <c r="R1422" s="21"/>
      <c r="S1422" s="3" t="s">
        <v>40</v>
      </c>
      <c r="T1422" s="21" t="s">
        <v>41</v>
      </c>
      <c r="U1422" s="21"/>
      <c r="V1422" s="4" t="s">
        <v>42</v>
      </c>
      <c r="W1422" s="4" t="s">
        <v>217</v>
      </c>
      <c r="X1422" s="4" t="s">
        <v>218</v>
      </c>
      <c r="Y1422" s="21" t="s">
        <v>56</v>
      </c>
      <c r="Z1422" s="21"/>
      <c r="AA1422" s="4" t="s">
        <v>46</v>
      </c>
      <c r="AB1422" s="4" t="s">
        <v>47</v>
      </c>
      <c r="AC1422" s="4" t="s">
        <v>81</v>
      </c>
      <c r="AD1422" s="4" t="s">
        <v>41</v>
      </c>
      <c r="AE1422" s="4" t="s">
        <v>48</v>
      </c>
      <c r="AF1422" s="4" t="s">
        <v>41</v>
      </c>
      <c r="AG1422" s="4" t="s">
        <v>3105</v>
      </c>
    </row>
    <row r="1423" spans="1:33" ht="16.5" customHeight="1" x14ac:dyDescent="0.2">
      <c r="A1423" s="2" t="s">
        <v>31</v>
      </c>
      <c r="B1423" s="19" t="s">
        <v>50</v>
      </c>
      <c r="C1423" s="19"/>
      <c r="D1423" s="19"/>
      <c r="E1423" s="20" t="s">
        <v>33</v>
      </c>
      <c r="F1423" s="20"/>
      <c r="G1423" s="21" t="s">
        <v>3102</v>
      </c>
      <c r="H1423" s="21"/>
      <c r="I1423" s="21"/>
      <c r="J1423" s="3" t="s">
        <v>35</v>
      </c>
      <c r="K1423" s="4" t="s">
        <v>152</v>
      </c>
      <c r="L1423" s="4" t="s">
        <v>37</v>
      </c>
      <c r="N1423" s="21" t="s">
        <v>3103</v>
      </c>
      <c r="O1423" s="21"/>
      <c r="P1423" s="21" t="s">
        <v>3104</v>
      </c>
      <c r="Q1423" s="21"/>
      <c r="R1423" s="21"/>
      <c r="S1423" s="3" t="s">
        <v>40</v>
      </c>
      <c r="T1423" s="21" t="s">
        <v>41</v>
      </c>
      <c r="U1423" s="21"/>
      <c r="V1423" s="4" t="s">
        <v>59</v>
      </c>
      <c r="W1423" s="4" t="s">
        <v>217</v>
      </c>
      <c r="X1423" s="4" t="s">
        <v>1463</v>
      </c>
      <c r="Y1423" s="21" t="s">
        <v>56</v>
      </c>
      <c r="Z1423" s="21"/>
      <c r="AA1423" s="4" t="s">
        <v>46</v>
      </c>
      <c r="AB1423" s="4" t="s">
        <v>47</v>
      </c>
      <c r="AC1423" s="4" t="s">
        <v>81</v>
      </c>
      <c r="AD1423" s="4" t="s">
        <v>41</v>
      </c>
      <c r="AE1423" s="4" t="s">
        <v>48</v>
      </c>
      <c r="AF1423" s="4" t="s">
        <v>41</v>
      </c>
      <c r="AG1423" s="4" t="s">
        <v>3105</v>
      </c>
    </row>
    <row r="1424" spans="1:33" ht="16.5" customHeight="1" x14ac:dyDescent="0.2">
      <c r="A1424" s="2" t="s">
        <v>31</v>
      </c>
      <c r="B1424" s="19" t="s">
        <v>50</v>
      </c>
      <c r="C1424" s="19"/>
      <c r="D1424" s="19"/>
      <c r="E1424" s="20" t="s">
        <v>33</v>
      </c>
      <c r="F1424" s="20"/>
      <c r="G1424" s="21" t="s">
        <v>3102</v>
      </c>
      <c r="H1424" s="21"/>
      <c r="I1424" s="21"/>
      <c r="J1424" s="3" t="s">
        <v>35</v>
      </c>
      <c r="K1424" s="4" t="s">
        <v>152</v>
      </c>
      <c r="L1424" s="4" t="s">
        <v>37</v>
      </c>
      <c r="N1424" s="21" t="s">
        <v>3103</v>
      </c>
      <c r="O1424" s="21"/>
      <c r="P1424" s="21" t="s">
        <v>3104</v>
      </c>
      <c r="Q1424" s="21"/>
      <c r="R1424" s="21"/>
      <c r="S1424" s="3" t="s">
        <v>40</v>
      </c>
      <c r="T1424" s="21" t="s">
        <v>41</v>
      </c>
      <c r="U1424" s="21"/>
      <c r="V1424" s="4" t="s">
        <v>130</v>
      </c>
      <c r="W1424" s="4" t="s">
        <v>217</v>
      </c>
      <c r="X1424" s="4" t="s">
        <v>1467</v>
      </c>
      <c r="Y1424" s="21" t="s">
        <v>56</v>
      </c>
      <c r="Z1424" s="21"/>
      <c r="AA1424" s="4" t="s">
        <v>46</v>
      </c>
      <c r="AB1424" s="4" t="s">
        <v>47</v>
      </c>
      <c r="AC1424" s="4" t="s">
        <v>81</v>
      </c>
      <c r="AD1424" s="4" t="s">
        <v>41</v>
      </c>
      <c r="AE1424" s="4" t="s">
        <v>48</v>
      </c>
      <c r="AF1424" s="4" t="s">
        <v>41</v>
      </c>
      <c r="AG1424" s="4" t="s">
        <v>3105</v>
      </c>
    </row>
    <row r="1425" spans="1:33" ht="16.5" customHeight="1" x14ac:dyDescent="0.2">
      <c r="A1425" s="2" t="s">
        <v>31</v>
      </c>
      <c r="B1425" s="19" t="s">
        <v>50</v>
      </c>
      <c r="C1425" s="19"/>
      <c r="D1425" s="19"/>
      <c r="E1425" s="20" t="s">
        <v>33</v>
      </c>
      <c r="F1425" s="20"/>
      <c r="G1425" s="21" t="s">
        <v>3102</v>
      </c>
      <c r="H1425" s="21"/>
      <c r="I1425" s="21"/>
      <c r="J1425" s="3" t="s">
        <v>35</v>
      </c>
      <c r="K1425" s="4" t="s">
        <v>383</v>
      </c>
      <c r="L1425" s="4" t="s">
        <v>37</v>
      </c>
      <c r="N1425" s="21" t="s">
        <v>3106</v>
      </c>
      <c r="O1425" s="21"/>
      <c r="P1425" s="21" t="s">
        <v>3107</v>
      </c>
      <c r="Q1425" s="21"/>
      <c r="R1425" s="21"/>
      <c r="S1425" s="3" t="s">
        <v>40</v>
      </c>
      <c r="T1425" s="21" t="s">
        <v>41</v>
      </c>
      <c r="U1425" s="21"/>
      <c r="V1425" s="4" t="s">
        <v>42</v>
      </c>
      <c r="W1425" s="4" t="s">
        <v>234</v>
      </c>
      <c r="X1425" s="4" t="s">
        <v>235</v>
      </c>
      <c r="Y1425" s="21" t="s">
        <v>198</v>
      </c>
      <c r="Z1425" s="21"/>
      <c r="AA1425" s="4" t="s">
        <v>46</v>
      </c>
      <c r="AB1425" s="4" t="s">
        <v>47</v>
      </c>
      <c r="AC1425" s="4" t="s">
        <v>81</v>
      </c>
      <c r="AD1425" s="4" t="s">
        <v>41</v>
      </c>
      <c r="AE1425" s="4" t="s">
        <v>48</v>
      </c>
      <c r="AF1425" s="4" t="s">
        <v>41</v>
      </c>
      <c r="AG1425" s="4" t="s">
        <v>3105</v>
      </c>
    </row>
    <row r="1426" spans="1:33" ht="16.5" customHeight="1" x14ac:dyDescent="0.2">
      <c r="A1426" s="2" t="s">
        <v>31</v>
      </c>
      <c r="B1426" s="19" t="s">
        <v>50</v>
      </c>
      <c r="C1426" s="19"/>
      <c r="D1426" s="19"/>
      <c r="E1426" s="20" t="s">
        <v>33</v>
      </c>
      <c r="F1426" s="20"/>
      <c r="G1426" s="21" t="s">
        <v>3102</v>
      </c>
      <c r="H1426" s="21"/>
      <c r="I1426" s="21"/>
      <c r="J1426" s="3" t="s">
        <v>35</v>
      </c>
      <c r="K1426" s="4" t="s">
        <v>193</v>
      </c>
      <c r="L1426" s="4" t="s">
        <v>37</v>
      </c>
      <c r="N1426" s="21" t="s">
        <v>3108</v>
      </c>
      <c r="O1426" s="21"/>
      <c r="P1426" s="21" t="s">
        <v>3109</v>
      </c>
      <c r="Q1426" s="21"/>
      <c r="R1426" s="21"/>
      <c r="S1426" s="3" t="s">
        <v>40</v>
      </c>
      <c r="T1426" s="21" t="s">
        <v>41</v>
      </c>
      <c r="U1426" s="21"/>
      <c r="V1426" s="4" t="s">
        <v>42</v>
      </c>
      <c r="W1426" s="4" t="s">
        <v>350</v>
      </c>
      <c r="X1426" s="4" t="s">
        <v>339</v>
      </c>
      <c r="Y1426" s="21" t="s">
        <v>198</v>
      </c>
      <c r="Z1426" s="21"/>
      <c r="AA1426" s="4" t="s">
        <v>46</v>
      </c>
      <c r="AB1426" s="4" t="s">
        <v>47</v>
      </c>
      <c r="AC1426" s="4" t="s">
        <v>81</v>
      </c>
      <c r="AD1426" s="4" t="s">
        <v>41</v>
      </c>
      <c r="AE1426" s="4" t="s">
        <v>48</v>
      </c>
      <c r="AF1426" s="4" t="s">
        <v>41</v>
      </c>
      <c r="AG1426" s="4" t="s">
        <v>3105</v>
      </c>
    </row>
    <row r="1427" spans="1:33" ht="16.5" customHeight="1" x14ac:dyDescent="0.2">
      <c r="A1427" s="2" t="s">
        <v>31</v>
      </c>
      <c r="B1427" s="19" t="s">
        <v>50</v>
      </c>
      <c r="C1427" s="19"/>
      <c r="D1427" s="19"/>
      <c r="E1427" s="20" t="s">
        <v>33</v>
      </c>
      <c r="F1427" s="20"/>
      <c r="G1427" s="21" t="s">
        <v>3102</v>
      </c>
      <c r="H1427" s="21"/>
      <c r="I1427" s="21"/>
      <c r="J1427" s="3" t="s">
        <v>35</v>
      </c>
      <c r="K1427" s="4" t="s">
        <v>123</v>
      </c>
      <c r="L1427" s="4" t="s">
        <v>37</v>
      </c>
      <c r="N1427" s="21" t="s">
        <v>3110</v>
      </c>
      <c r="O1427" s="21"/>
      <c r="P1427" s="21" t="s">
        <v>3111</v>
      </c>
      <c r="Q1427" s="21"/>
      <c r="R1427" s="21"/>
      <c r="S1427" s="3" t="s">
        <v>40</v>
      </c>
      <c r="T1427" s="21" t="s">
        <v>41</v>
      </c>
      <c r="U1427" s="21"/>
      <c r="V1427" s="4" t="s">
        <v>42</v>
      </c>
      <c r="W1427" s="4" t="s">
        <v>94</v>
      </c>
      <c r="X1427" s="4" t="s">
        <v>95</v>
      </c>
      <c r="Y1427" s="21" t="s">
        <v>65</v>
      </c>
      <c r="Z1427" s="21"/>
      <c r="AA1427" s="4" t="s">
        <v>46</v>
      </c>
      <c r="AB1427" s="4" t="s">
        <v>47</v>
      </c>
      <c r="AC1427" s="4" t="s">
        <v>66</v>
      </c>
      <c r="AD1427" s="4" t="s">
        <v>73</v>
      </c>
      <c r="AE1427" s="4" t="s">
        <v>48</v>
      </c>
      <c r="AF1427" s="4" t="s">
        <v>41</v>
      </c>
      <c r="AG1427" s="4" t="s">
        <v>3105</v>
      </c>
    </row>
    <row r="1428" spans="1:33" ht="16.5" customHeight="1" x14ac:dyDescent="0.2">
      <c r="A1428" s="2" t="s">
        <v>31</v>
      </c>
      <c r="B1428" s="19" t="s">
        <v>50</v>
      </c>
      <c r="C1428" s="19"/>
      <c r="D1428" s="19"/>
      <c r="E1428" s="20" t="s">
        <v>33</v>
      </c>
      <c r="F1428" s="20"/>
      <c r="G1428" s="21" t="s">
        <v>3102</v>
      </c>
      <c r="H1428" s="21"/>
      <c r="I1428" s="21"/>
      <c r="J1428" s="3" t="s">
        <v>35</v>
      </c>
      <c r="K1428" s="4" t="s">
        <v>82</v>
      </c>
      <c r="L1428" s="4" t="s">
        <v>37</v>
      </c>
      <c r="N1428" s="21" t="s">
        <v>3112</v>
      </c>
      <c r="O1428" s="21"/>
      <c r="P1428" s="21" t="s">
        <v>3113</v>
      </c>
      <c r="Q1428" s="21"/>
      <c r="R1428" s="21"/>
      <c r="S1428" s="3" t="s">
        <v>40</v>
      </c>
      <c r="T1428" s="21" t="s">
        <v>41</v>
      </c>
      <c r="U1428" s="21"/>
      <c r="V1428" s="4" t="s">
        <v>42</v>
      </c>
      <c r="W1428" s="4" t="s">
        <v>59</v>
      </c>
      <c r="X1428" s="4" t="s">
        <v>131</v>
      </c>
      <c r="Y1428" s="21" t="s">
        <v>56</v>
      </c>
      <c r="Z1428" s="21"/>
      <c r="AA1428" s="4" t="s">
        <v>46</v>
      </c>
      <c r="AB1428" s="4" t="s">
        <v>47</v>
      </c>
      <c r="AC1428" s="4" t="s">
        <v>57</v>
      </c>
      <c r="AD1428" s="4" t="s">
        <v>58</v>
      </c>
      <c r="AE1428" s="4" t="s">
        <v>48</v>
      </c>
      <c r="AF1428" s="4" t="s">
        <v>41</v>
      </c>
      <c r="AG1428" s="4" t="s">
        <v>3105</v>
      </c>
    </row>
    <row r="1429" spans="1:33" ht="16.5" customHeight="1" x14ac:dyDescent="0.2">
      <c r="A1429" s="2" t="s">
        <v>31</v>
      </c>
      <c r="B1429" s="19" t="s">
        <v>50</v>
      </c>
      <c r="C1429" s="19"/>
      <c r="D1429" s="19"/>
      <c r="E1429" s="20" t="s">
        <v>33</v>
      </c>
      <c r="F1429" s="20"/>
      <c r="G1429" s="21" t="s">
        <v>3114</v>
      </c>
      <c r="H1429" s="21"/>
      <c r="I1429" s="21"/>
      <c r="J1429" s="3" t="s">
        <v>35</v>
      </c>
      <c r="K1429" s="4" t="s">
        <v>152</v>
      </c>
      <c r="L1429" s="4" t="s">
        <v>37</v>
      </c>
      <c r="N1429" s="21" t="s">
        <v>3115</v>
      </c>
      <c r="O1429" s="21"/>
      <c r="P1429" s="21" t="s">
        <v>3116</v>
      </c>
      <c r="Q1429" s="21"/>
      <c r="R1429" s="21"/>
      <c r="S1429" s="3" t="s">
        <v>40</v>
      </c>
      <c r="T1429" s="21" t="s">
        <v>41</v>
      </c>
      <c r="U1429" s="21"/>
      <c r="V1429" s="4" t="s">
        <v>42</v>
      </c>
      <c r="W1429" s="4" t="s">
        <v>43</v>
      </c>
      <c r="X1429" s="4" t="s">
        <v>44</v>
      </c>
      <c r="Y1429" s="21" t="s">
        <v>56</v>
      </c>
      <c r="Z1429" s="21"/>
      <c r="AA1429" s="4" t="s">
        <v>46</v>
      </c>
      <c r="AB1429" s="4" t="s">
        <v>47</v>
      </c>
      <c r="AC1429" s="4" t="s">
        <v>139</v>
      </c>
      <c r="AD1429" s="4" t="s">
        <v>140</v>
      </c>
      <c r="AE1429" s="4" t="s">
        <v>48</v>
      </c>
      <c r="AF1429" s="4" t="s">
        <v>41</v>
      </c>
      <c r="AG1429" s="4" t="s">
        <v>3117</v>
      </c>
    </row>
    <row r="1430" spans="1:33" ht="16.5" customHeight="1" x14ac:dyDescent="0.2">
      <c r="A1430" s="2" t="s">
        <v>31</v>
      </c>
      <c r="B1430" s="19" t="s">
        <v>50</v>
      </c>
      <c r="C1430" s="19"/>
      <c r="D1430" s="19"/>
      <c r="E1430" s="20" t="s">
        <v>33</v>
      </c>
      <c r="F1430" s="20"/>
      <c r="G1430" s="21" t="s">
        <v>3114</v>
      </c>
      <c r="H1430" s="21"/>
      <c r="I1430" s="21"/>
      <c r="J1430" s="3" t="s">
        <v>35</v>
      </c>
      <c r="K1430" s="4" t="s">
        <v>169</v>
      </c>
      <c r="L1430" s="4" t="s">
        <v>445</v>
      </c>
      <c r="N1430" s="21" t="s">
        <v>3118</v>
      </c>
      <c r="O1430" s="21"/>
      <c r="P1430" s="21" t="s">
        <v>3119</v>
      </c>
      <c r="Q1430" s="21"/>
      <c r="R1430" s="21"/>
      <c r="S1430" s="3" t="s">
        <v>40</v>
      </c>
      <c r="T1430" s="21" t="s">
        <v>41</v>
      </c>
      <c r="U1430" s="21"/>
      <c r="V1430" s="4" t="s">
        <v>42</v>
      </c>
      <c r="W1430" s="4" t="s">
        <v>43</v>
      </c>
      <c r="X1430" s="4" t="s">
        <v>44</v>
      </c>
      <c r="Y1430" s="21" t="s">
        <v>56</v>
      </c>
      <c r="Z1430" s="21"/>
      <c r="AA1430" s="4" t="s">
        <v>46</v>
      </c>
      <c r="AB1430" s="4" t="s">
        <v>47</v>
      </c>
      <c r="AC1430" s="4" t="s">
        <v>139</v>
      </c>
      <c r="AD1430" s="4" t="s">
        <v>466</v>
      </c>
      <c r="AE1430" s="4" t="s">
        <v>48</v>
      </c>
      <c r="AF1430" s="4" t="s">
        <v>41</v>
      </c>
      <c r="AG1430" s="4" t="s">
        <v>3117</v>
      </c>
    </row>
    <row r="1431" spans="1:33" ht="16.5" customHeight="1" x14ac:dyDescent="0.2">
      <c r="A1431" s="2" t="s">
        <v>31</v>
      </c>
      <c r="B1431" s="19" t="s">
        <v>50</v>
      </c>
      <c r="C1431" s="19"/>
      <c r="D1431" s="19"/>
      <c r="E1431" s="20" t="s">
        <v>33</v>
      </c>
      <c r="F1431" s="20"/>
      <c r="G1431" s="21" t="s">
        <v>3114</v>
      </c>
      <c r="H1431" s="21"/>
      <c r="I1431" s="21"/>
      <c r="J1431" s="3" t="s">
        <v>35</v>
      </c>
      <c r="K1431" s="4" t="s">
        <v>169</v>
      </c>
      <c r="L1431" s="4" t="s">
        <v>445</v>
      </c>
      <c r="N1431" s="21" t="s">
        <v>3118</v>
      </c>
      <c r="O1431" s="21"/>
      <c r="P1431" s="21" t="s">
        <v>3119</v>
      </c>
      <c r="Q1431" s="21"/>
      <c r="R1431" s="21"/>
      <c r="S1431" s="3" t="s">
        <v>40</v>
      </c>
      <c r="T1431" s="21" t="s">
        <v>41</v>
      </c>
      <c r="U1431" s="21"/>
      <c r="V1431" s="4" t="s">
        <v>59</v>
      </c>
      <c r="W1431" s="4" t="s">
        <v>43</v>
      </c>
      <c r="X1431" s="4" t="s">
        <v>319</v>
      </c>
      <c r="Y1431" s="21" t="s">
        <v>56</v>
      </c>
      <c r="Z1431" s="21"/>
      <c r="AA1431" s="4" t="s">
        <v>46</v>
      </c>
      <c r="AB1431" s="4" t="s">
        <v>47</v>
      </c>
      <c r="AC1431" s="4" t="s">
        <v>139</v>
      </c>
      <c r="AD1431" s="4" t="s">
        <v>466</v>
      </c>
      <c r="AE1431" s="4" t="s">
        <v>48</v>
      </c>
      <c r="AF1431" s="4" t="s">
        <v>41</v>
      </c>
      <c r="AG1431" s="4" t="s">
        <v>3117</v>
      </c>
    </row>
    <row r="1432" spans="1:33" ht="16.5" customHeight="1" x14ac:dyDescent="0.2">
      <c r="A1432" s="2" t="s">
        <v>31</v>
      </c>
      <c r="B1432" s="19" t="s">
        <v>50</v>
      </c>
      <c r="C1432" s="19"/>
      <c r="D1432" s="19"/>
      <c r="E1432" s="20" t="s">
        <v>33</v>
      </c>
      <c r="F1432" s="20"/>
      <c r="G1432" s="21" t="s">
        <v>3114</v>
      </c>
      <c r="H1432" s="21"/>
      <c r="I1432" s="21"/>
      <c r="J1432" s="3" t="s">
        <v>35</v>
      </c>
      <c r="K1432" s="4" t="s">
        <v>99</v>
      </c>
      <c r="L1432" s="4" t="s">
        <v>37</v>
      </c>
      <c r="N1432" s="21" t="s">
        <v>3120</v>
      </c>
      <c r="O1432" s="21"/>
      <c r="P1432" s="21" t="s">
        <v>3121</v>
      </c>
      <c r="Q1432" s="21"/>
      <c r="R1432" s="21"/>
      <c r="S1432" s="3" t="s">
        <v>40</v>
      </c>
      <c r="T1432" s="21" t="s">
        <v>41</v>
      </c>
      <c r="U1432" s="21"/>
      <c r="V1432" s="4" t="s">
        <v>42</v>
      </c>
      <c r="W1432" s="4" t="s">
        <v>202</v>
      </c>
      <c r="X1432" s="4" t="s">
        <v>203</v>
      </c>
      <c r="Y1432" s="21" t="s">
        <v>56</v>
      </c>
      <c r="Z1432" s="21"/>
      <c r="AA1432" s="4" t="s">
        <v>46</v>
      </c>
      <c r="AB1432" s="4" t="s">
        <v>47</v>
      </c>
      <c r="AC1432" s="4" t="s">
        <v>81</v>
      </c>
      <c r="AD1432" s="4" t="s">
        <v>41</v>
      </c>
      <c r="AE1432" s="4" t="s">
        <v>48</v>
      </c>
      <c r="AF1432" s="4" t="s">
        <v>41</v>
      </c>
      <c r="AG1432" s="4" t="s">
        <v>3117</v>
      </c>
    </row>
    <row r="1433" spans="1:33" ht="16.5" customHeight="1" x14ac:dyDescent="0.2">
      <c r="A1433" s="2" t="s">
        <v>31</v>
      </c>
      <c r="B1433" s="19" t="s">
        <v>50</v>
      </c>
      <c r="C1433" s="19"/>
      <c r="D1433" s="19"/>
      <c r="E1433" s="20" t="s">
        <v>33</v>
      </c>
      <c r="F1433" s="20"/>
      <c r="G1433" s="21" t="s">
        <v>3114</v>
      </c>
      <c r="H1433" s="21"/>
      <c r="I1433" s="21"/>
      <c r="J1433" s="3" t="s">
        <v>35</v>
      </c>
      <c r="K1433" s="4" t="s">
        <v>61</v>
      </c>
      <c r="L1433" s="4" t="s">
        <v>37</v>
      </c>
      <c r="N1433" s="21" t="s">
        <v>3122</v>
      </c>
      <c r="O1433" s="21"/>
      <c r="P1433" s="21" t="s">
        <v>3123</v>
      </c>
      <c r="Q1433" s="21"/>
      <c r="R1433" s="21"/>
      <c r="S1433" s="3" t="s">
        <v>40</v>
      </c>
      <c r="T1433" s="21" t="s">
        <v>41</v>
      </c>
      <c r="U1433" s="21"/>
      <c r="V1433" s="4" t="s">
        <v>42</v>
      </c>
      <c r="W1433" s="4" t="s">
        <v>355</v>
      </c>
      <c r="X1433" s="4" t="s">
        <v>356</v>
      </c>
      <c r="Y1433" s="21" t="s">
        <v>65</v>
      </c>
      <c r="Z1433" s="21"/>
      <c r="AA1433" s="4" t="s">
        <v>46</v>
      </c>
      <c r="AB1433" s="4" t="s">
        <v>47</v>
      </c>
      <c r="AC1433" s="4" t="s">
        <v>57</v>
      </c>
      <c r="AD1433" s="4" t="s">
        <v>58</v>
      </c>
      <c r="AE1433" s="4" t="s">
        <v>48</v>
      </c>
      <c r="AF1433" s="4" t="s">
        <v>41</v>
      </c>
      <c r="AG1433" s="4" t="s">
        <v>3117</v>
      </c>
    </row>
    <row r="1434" spans="1:33" ht="16.5" customHeight="1" x14ac:dyDescent="0.2">
      <c r="A1434" s="2" t="s">
        <v>31</v>
      </c>
      <c r="B1434" s="19" t="s">
        <v>50</v>
      </c>
      <c r="C1434" s="19"/>
      <c r="D1434" s="19"/>
      <c r="E1434" s="20" t="s">
        <v>33</v>
      </c>
      <c r="F1434" s="20"/>
      <c r="G1434" s="21" t="s">
        <v>3114</v>
      </c>
      <c r="H1434" s="21"/>
      <c r="I1434" s="21"/>
      <c r="J1434" s="3" t="s">
        <v>35</v>
      </c>
      <c r="K1434" s="4" t="s">
        <v>51</v>
      </c>
      <c r="L1434" s="4" t="s">
        <v>37</v>
      </c>
      <c r="N1434" s="21" t="s">
        <v>3124</v>
      </c>
      <c r="O1434" s="21"/>
      <c r="P1434" s="21" t="s">
        <v>3125</v>
      </c>
      <c r="Q1434" s="21"/>
      <c r="R1434" s="21"/>
      <c r="S1434" s="3" t="s">
        <v>40</v>
      </c>
      <c r="T1434" s="21" t="s">
        <v>41</v>
      </c>
      <c r="U1434" s="21"/>
      <c r="V1434" s="4" t="s">
        <v>42</v>
      </c>
      <c r="W1434" s="4" t="s">
        <v>85</v>
      </c>
      <c r="X1434" s="4" t="s">
        <v>86</v>
      </c>
      <c r="Y1434" s="21" t="s">
        <v>56</v>
      </c>
      <c r="Z1434" s="21"/>
      <c r="AA1434" s="4" t="s">
        <v>46</v>
      </c>
      <c r="AB1434" s="4" t="s">
        <v>47</v>
      </c>
      <c r="AC1434" s="4" t="s">
        <v>57</v>
      </c>
      <c r="AD1434" s="4" t="s">
        <v>58</v>
      </c>
      <c r="AE1434" s="4" t="s">
        <v>48</v>
      </c>
      <c r="AF1434" s="4" t="s">
        <v>41</v>
      </c>
      <c r="AG1434" s="4" t="s">
        <v>3117</v>
      </c>
    </row>
    <row r="1435" spans="1:33" ht="16.5" customHeight="1" x14ac:dyDescent="0.2">
      <c r="A1435" s="2" t="s">
        <v>31</v>
      </c>
      <c r="B1435" s="19" t="s">
        <v>50</v>
      </c>
      <c r="C1435" s="19"/>
      <c r="D1435" s="19"/>
      <c r="E1435" s="20" t="s">
        <v>33</v>
      </c>
      <c r="F1435" s="20"/>
      <c r="G1435" s="21" t="s">
        <v>3114</v>
      </c>
      <c r="H1435" s="21"/>
      <c r="I1435" s="21"/>
      <c r="J1435" s="3" t="s">
        <v>35</v>
      </c>
      <c r="K1435" s="4" t="s">
        <v>247</v>
      </c>
      <c r="L1435" s="4" t="s">
        <v>37</v>
      </c>
      <c r="N1435" s="21" t="s">
        <v>3126</v>
      </c>
      <c r="O1435" s="21"/>
      <c r="P1435" s="21" t="s">
        <v>3127</v>
      </c>
      <c r="Q1435" s="21"/>
      <c r="R1435" s="21"/>
      <c r="S1435" s="3" t="s">
        <v>40</v>
      </c>
      <c r="T1435" s="21" t="s">
        <v>41</v>
      </c>
      <c r="U1435" s="21"/>
      <c r="V1435" s="4" t="s">
        <v>42</v>
      </c>
      <c r="W1435" s="4" t="s">
        <v>234</v>
      </c>
      <c r="X1435" s="4" t="s">
        <v>235</v>
      </c>
      <c r="Y1435" s="21" t="s">
        <v>65</v>
      </c>
      <c r="Z1435" s="21"/>
      <c r="AA1435" s="4" t="s">
        <v>46</v>
      </c>
      <c r="AB1435" s="4" t="s">
        <v>47</v>
      </c>
      <c r="AC1435" s="4" t="s">
        <v>57</v>
      </c>
      <c r="AD1435" s="4" t="s">
        <v>58</v>
      </c>
      <c r="AE1435" s="4" t="s">
        <v>48</v>
      </c>
      <c r="AF1435" s="4" t="s">
        <v>41</v>
      </c>
      <c r="AG1435" s="4" t="s">
        <v>3117</v>
      </c>
    </row>
    <row r="1436" spans="1:33" ht="16.5" customHeight="1" x14ac:dyDescent="0.2">
      <c r="A1436" s="2" t="s">
        <v>31</v>
      </c>
      <c r="B1436" s="19" t="s">
        <v>50</v>
      </c>
      <c r="C1436" s="19"/>
      <c r="D1436" s="19"/>
      <c r="E1436" s="20" t="s">
        <v>33</v>
      </c>
      <c r="F1436" s="20"/>
      <c r="G1436" s="21" t="s">
        <v>3114</v>
      </c>
      <c r="H1436" s="21"/>
      <c r="I1436" s="21"/>
      <c r="J1436" s="3" t="s">
        <v>35</v>
      </c>
      <c r="K1436" s="4" t="s">
        <v>61</v>
      </c>
      <c r="L1436" s="4" t="s">
        <v>37</v>
      </c>
      <c r="N1436" s="21" t="s">
        <v>3128</v>
      </c>
      <c r="O1436" s="21"/>
      <c r="P1436" s="21" t="s">
        <v>3129</v>
      </c>
      <c r="Q1436" s="21"/>
      <c r="R1436" s="21"/>
      <c r="S1436" s="3" t="s">
        <v>40</v>
      </c>
      <c r="T1436" s="21" t="s">
        <v>41</v>
      </c>
      <c r="U1436" s="21"/>
      <c r="V1436" s="4" t="s">
        <v>42</v>
      </c>
      <c r="W1436" s="4" t="s">
        <v>573</v>
      </c>
      <c r="X1436" s="4" t="s">
        <v>574</v>
      </c>
      <c r="Y1436" s="21" t="s">
        <v>65</v>
      </c>
      <c r="Z1436" s="21"/>
      <c r="AA1436" s="4" t="s">
        <v>46</v>
      </c>
      <c r="AB1436" s="4" t="s">
        <v>47</v>
      </c>
      <c r="AC1436" s="4" t="s">
        <v>57</v>
      </c>
      <c r="AD1436" s="4" t="s">
        <v>58</v>
      </c>
      <c r="AE1436" s="4" t="s">
        <v>48</v>
      </c>
      <c r="AF1436" s="4" t="s">
        <v>41</v>
      </c>
      <c r="AG1436" s="4" t="s">
        <v>3117</v>
      </c>
    </row>
    <row r="1437" spans="1:33" ht="16.5" customHeight="1" x14ac:dyDescent="0.2">
      <c r="A1437" s="2" t="s">
        <v>31</v>
      </c>
      <c r="B1437" s="19" t="s">
        <v>50</v>
      </c>
      <c r="C1437" s="19"/>
      <c r="D1437" s="19"/>
      <c r="E1437" s="20" t="s">
        <v>33</v>
      </c>
      <c r="F1437" s="20"/>
      <c r="G1437" s="21" t="s">
        <v>3114</v>
      </c>
      <c r="H1437" s="21"/>
      <c r="I1437" s="21"/>
      <c r="J1437" s="3" t="s">
        <v>35</v>
      </c>
      <c r="K1437" s="4" t="s">
        <v>169</v>
      </c>
      <c r="L1437" s="4" t="s">
        <v>37</v>
      </c>
      <c r="N1437" s="21" t="s">
        <v>3130</v>
      </c>
      <c r="O1437" s="21"/>
      <c r="P1437" s="21" t="s">
        <v>3131</v>
      </c>
      <c r="Q1437" s="21"/>
      <c r="R1437" s="21"/>
      <c r="S1437" s="3" t="s">
        <v>40</v>
      </c>
      <c r="T1437" s="21" t="s">
        <v>41</v>
      </c>
      <c r="U1437" s="21"/>
      <c r="V1437" s="4" t="s">
        <v>42</v>
      </c>
      <c r="W1437" s="4" t="s">
        <v>43</v>
      </c>
      <c r="X1437" s="4" t="s">
        <v>44</v>
      </c>
      <c r="Y1437" s="21" t="s">
        <v>56</v>
      </c>
      <c r="Z1437" s="21"/>
      <c r="AA1437" s="4" t="s">
        <v>46</v>
      </c>
      <c r="AB1437" s="4" t="s">
        <v>47</v>
      </c>
      <c r="AC1437" s="4" t="s">
        <v>139</v>
      </c>
      <c r="AD1437" s="4" t="s">
        <v>140</v>
      </c>
      <c r="AE1437" s="4" t="s">
        <v>48</v>
      </c>
      <c r="AF1437" s="4" t="s">
        <v>41</v>
      </c>
      <c r="AG1437" s="4" t="s">
        <v>3117</v>
      </c>
    </row>
    <row r="1438" spans="1:33" ht="16.5" customHeight="1" x14ac:dyDescent="0.2">
      <c r="A1438" s="2" t="s">
        <v>31</v>
      </c>
      <c r="B1438" s="19" t="s">
        <v>50</v>
      </c>
      <c r="C1438" s="19"/>
      <c r="D1438" s="19"/>
      <c r="E1438" s="20" t="s">
        <v>33</v>
      </c>
      <c r="F1438" s="20"/>
      <c r="G1438" s="21" t="s">
        <v>3114</v>
      </c>
      <c r="H1438" s="21"/>
      <c r="I1438" s="21"/>
      <c r="J1438" s="3" t="s">
        <v>35</v>
      </c>
      <c r="K1438" s="4" t="s">
        <v>169</v>
      </c>
      <c r="L1438" s="4" t="s">
        <v>37</v>
      </c>
      <c r="N1438" s="21" t="s">
        <v>3132</v>
      </c>
      <c r="O1438" s="21"/>
      <c r="P1438" s="21" t="s">
        <v>3133</v>
      </c>
      <c r="Q1438" s="21"/>
      <c r="R1438" s="21"/>
      <c r="S1438" s="3" t="s">
        <v>40</v>
      </c>
      <c r="T1438" s="21" t="s">
        <v>41</v>
      </c>
      <c r="U1438" s="21"/>
      <c r="V1438" s="4" t="s">
        <v>42</v>
      </c>
      <c r="W1438" s="4" t="s">
        <v>43</v>
      </c>
      <c r="X1438" s="4" t="s">
        <v>44</v>
      </c>
      <c r="Y1438" s="21" t="s">
        <v>56</v>
      </c>
      <c r="Z1438" s="21"/>
      <c r="AA1438" s="4" t="s">
        <v>46</v>
      </c>
      <c r="AB1438" s="4" t="s">
        <v>47</v>
      </c>
      <c r="AC1438" s="4" t="s">
        <v>139</v>
      </c>
      <c r="AD1438" s="4" t="s">
        <v>140</v>
      </c>
      <c r="AE1438" s="4" t="s">
        <v>48</v>
      </c>
      <c r="AF1438" s="4" t="s">
        <v>41</v>
      </c>
      <c r="AG1438" s="4" t="s">
        <v>3117</v>
      </c>
    </row>
    <row r="1439" spans="1:33" ht="16.5" customHeight="1" x14ac:dyDescent="0.2">
      <c r="A1439" s="2" t="s">
        <v>31</v>
      </c>
      <c r="B1439" s="19" t="s">
        <v>50</v>
      </c>
      <c r="C1439" s="19"/>
      <c r="D1439" s="19"/>
      <c r="E1439" s="20" t="s">
        <v>33</v>
      </c>
      <c r="F1439" s="20"/>
      <c r="G1439" s="21" t="s">
        <v>3114</v>
      </c>
      <c r="H1439" s="21"/>
      <c r="I1439" s="21"/>
      <c r="J1439" s="3" t="s">
        <v>35</v>
      </c>
      <c r="K1439" s="4" t="s">
        <v>1032</v>
      </c>
      <c r="L1439" s="4" t="s">
        <v>68</v>
      </c>
      <c r="N1439" s="21" t="s">
        <v>3134</v>
      </c>
      <c r="O1439" s="21"/>
      <c r="P1439" s="21" t="s">
        <v>3135</v>
      </c>
      <c r="Q1439" s="21"/>
      <c r="R1439" s="21"/>
      <c r="S1439" s="3" t="s">
        <v>40</v>
      </c>
      <c r="T1439" s="21" t="s">
        <v>41</v>
      </c>
      <c r="U1439" s="21"/>
      <c r="V1439" s="4" t="s">
        <v>42</v>
      </c>
      <c r="W1439" s="4" t="s">
        <v>234</v>
      </c>
      <c r="X1439" s="4" t="s">
        <v>235</v>
      </c>
      <c r="Y1439" s="21" t="s">
        <v>56</v>
      </c>
      <c r="Z1439" s="21"/>
      <c r="AA1439" s="4" t="s">
        <v>46</v>
      </c>
      <c r="AB1439" s="4" t="s">
        <v>47</v>
      </c>
      <c r="AC1439" s="4" t="s">
        <v>81</v>
      </c>
      <c r="AD1439" s="4" t="s">
        <v>41</v>
      </c>
      <c r="AE1439" s="4" t="s">
        <v>48</v>
      </c>
      <c r="AF1439" s="4" t="s">
        <v>41</v>
      </c>
      <c r="AG1439" s="4" t="s">
        <v>3117</v>
      </c>
    </row>
    <row r="1440" spans="1:33" ht="16.5" customHeight="1" x14ac:dyDescent="0.2">
      <c r="A1440" s="2" t="s">
        <v>31</v>
      </c>
      <c r="B1440" s="19" t="s">
        <v>50</v>
      </c>
      <c r="C1440" s="19"/>
      <c r="D1440" s="19"/>
      <c r="E1440" s="20" t="s">
        <v>33</v>
      </c>
      <c r="F1440" s="20"/>
      <c r="G1440" s="21" t="s">
        <v>3114</v>
      </c>
      <c r="H1440" s="21"/>
      <c r="I1440" s="21"/>
      <c r="J1440" s="3" t="s">
        <v>35</v>
      </c>
      <c r="K1440" s="4" t="s">
        <v>247</v>
      </c>
      <c r="L1440" s="4" t="s">
        <v>37</v>
      </c>
      <c r="N1440" s="21" t="s">
        <v>3136</v>
      </c>
      <c r="O1440" s="21"/>
      <c r="P1440" s="21" t="s">
        <v>3137</v>
      </c>
      <c r="Q1440" s="21"/>
      <c r="R1440" s="21"/>
      <c r="S1440" s="3" t="s">
        <v>40</v>
      </c>
      <c r="T1440" s="21" t="s">
        <v>41</v>
      </c>
      <c r="U1440" s="21"/>
      <c r="V1440" s="4" t="s">
        <v>42</v>
      </c>
      <c r="W1440" s="4" t="s">
        <v>1008</v>
      </c>
      <c r="X1440" s="4" t="s">
        <v>1009</v>
      </c>
      <c r="Y1440" s="21" t="s">
        <v>65</v>
      </c>
      <c r="Z1440" s="21"/>
      <c r="AA1440" s="4" t="s">
        <v>46</v>
      </c>
      <c r="AB1440" s="4" t="s">
        <v>47</v>
      </c>
      <c r="AC1440" s="4" t="s">
        <v>57</v>
      </c>
      <c r="AD1440" s="4" t="s">
        <v>58</v>
      </c>
      <c r="AE1440" s="4" t="s">
        <v>48</v>
      </c>
      <c r="AF1440" s="4" t="s">
        <v>41</v>
      </c>
      <c r="AG1440" s="4" t="s">
        <v>3117</v>
      </c>
    </row>
    <row r="1441" spans="1:33" ht="16.5" customHeight="1" x14ac:dyDescent="0.2">
      <c r="A1441" s="2" t="s">
        <v>31</v>
      </c>
      <c r="B1441" s="19" t="s">
        <v>32</v>
      </c>
      <c r="C1441" s="19"/>
      <c r="D1441" s="19"/>
      <c r="E1441" s="20" t="s">
        <v>33</v>
      </c>
      <c r="F1441" s="20"/>
      <c r="G1441" s="21" t="s">
        <v>3138</v>
      </c>
      <c r="H1441" s="21"/>
      <c r="I1441" s="21"/>
      <c r="J1441" s="3" t="s">
        <v>35</v>
      </c>
      <c r="K1441" s="4" t="s">
        <v>646</v>
      </c>
      <c r="L1441" s="4" t="s">
        <v>37</v>
      </c>
      <c r="N1441" s="21" t="s">
        <v>3139</v>
      </c>
      <c r="O1441" s="21"/>
      <c r="P1441" s="21" t="s">
        <v>3140</v>
      </c>
      <c r="Q1441" s="21"/>
      <c r="R1441" s="21"/>
      <c r="S1441" s="3" t="s">
        <v>40</v>
      </c>
      <c r="T1441" s="21" t="s">
        <v>41</v>
      </c>
      <c r="U1441" s="21"/>
      <c r="V1441" s="4" t="s">
        <v>42</v>
      </c>
      <c r="W1441" s="4" t="s">
        <v>54</v>
      </c>
      <c r="X1441" s="4" t="s">
        <v>55</v>
      </c>
      <c r="Y1441" s="21" t="s">
        <v>45</v>
      </c>
      <c r="Z1441" s="21"/>
      <c r="AA1441" s="4" t="s">
        <v>46</v>
      </c>
      <c r="AB1441" s="4" t="s">
        <v>47</v>
      </c>
      <c r="AD1441" s="4" t="s">
        <v>41</v>
      </c>
      <c r="AE1441" s="4" t="s">
        <v>48</v>
      </c>
      <c r="AF1441" s="4" t="s">
        <v>41</v>
      </c>
      <c r="AG1441" s="4" t="s">
        <v>3141</v>
      </c>
    </row>
    <row r="1442" spans="1:33" ht="16.5" customHeight="1" x14ac:dyDescent="0.2">
      <c r="A1442" s="2" t="s">
        <v>31</v>
      </c>
      <c r="B1442" s="19" t="s">
        <v>50</v>
      </c>
      <c r="C1442" s="19"/>
      <c r="D1442" s="19"/>
      <c r="E1442" s="20" t="s">
        <v>33</v>
      </c>
      <c r="F1442" s="20"/>
      <c r="G1442" s="21" t="s">
        <v>3138</v>
      </c>
      <c r="H1442" s="21"/>
      <c r="I1442" s="21"/>
      <c r="J1442" s="3" t="s">
        <v>35</v>
      </c>
      <c r="K1442" s="4" t="s">
        <v>152</v>
      </c>
      <c r="L1442" s="4" t="s">
        <v>37</v>
      </c>
      <c r="N1442" s="21" t="s">
        <v>3142</v>
      </c>
      <c r="O1442" s="21"/>
      <c r="P1442" s="21" t="s">
        <v>3143</v>
      </c>
      <c r="Q1442" s="21"/>
      <c r="R1442" s="21"/>
      <c r="S1442" s="3" t="s">
        <v>40</v>
      </c>
      <c r="T1442" s="21" t="s">
        <v>41</v>
      </c>
      <c r="U1442" s="21"/>
      <c r="V1442" s="4" t="s">
        <v>42</v>
      </c>
      <c r="W1442" s="4" t="s">
        <v>54</v>
      </c>
      <c r="X1442" s="4" t="s">
        <v>55</v>
      </c>
      <c r="Y1442" s="21" t="s">
        <v>56</v>
      </c>
      <c r="Z1442" s="21"/>
      <c r="AA1442" s="4" t="s">
        <v>46</v>
      </c>
      <c r="AB1442" s="4" t="s">
        <v>47</v>
      </c>
      <c r="AC1442" s="4" t="s">
        <v>57</v>
      </c>
      <c r="AD1442" s="4" t="s">
        <v>58</v>
      </c>
      <c r="AE1442" s="4" t="s">
        <v>48</v>
      </c>
      <c r="AF1442" s="4" t="s">
        <v>41</v>
      </c>
      <c r="AG1442" s="4" t="s">
        <v>3141</v>
      </c>
    </row>
    <row r="1443" spans="1:33" ht="16.5" customHeight="1" x14ac:dyDescent="0.2">
      <c r="A1443" s="2" t="s">
        <v>31</v>
      </c>
      <c r="B1443" s="19" t="s">
        <v>50</v>
      </c>
      <c r="C1443" s="19"/>
      <c r="D1443" s="19"/>
      <c r="E1443" s="20" t="s">
        <v>33</v>
      </c>
      <c r="F1443" s="20"/>
      <c r="G1443" s="21" t="s">
        <v>3138</v>
      </c>
      <c r="H1443" s="21"/>
      <c r="I1443" s="21"/>
      <c r="J1443" s="3" t="s">
        <v>35</v>
      </c>
      <c r="K1443" s="4" t="s">
        <v>152</v>
      </c>
      <c r="L1443" s="4" t="s">
        <v>37</v>
      </c>
      <c r="N1443" s="21" t="s">
        <v>3144</v>
      </c>
      <c r="O1443" s="21"/>
      <c r="P1443" s="21" t="s">
        <v>3145</v>
      </c>
      <c r="Q1443" s="21"/>
      <c r="R1443" s="21"/>
      <c r="S1443" s="3" t="s">
        <v>40</v>
      </c>
      <c r="T1443" s="21" t="s">
        <v>41</v>
      </c>
      <c r="U1443" s="21"/>
      <c r="V1443" s="4" t="s">
        <v>42</v>
      </c>
      <c r="W1443" s="4" t="s">
        <v>77</v>
      </c>
      <c r="X1443" s="4" t="s">
        <v>78</v>
      </c>
      <c r="Y1443" s="21" t="s">
        <v>56</v>
      </c>
      <c r="Z1443" s="21"/>
      <c r="AA1443" s="4" t="s">
        <v>46</v>
      </c>
      <c r="AB1443" s="4" t="s">
        <v>47</v>
      </c>
      <c r="AC1443" s="4" t="s">
        <v>57</v>
      </c>
      <c r="AD1443" s="4" t="s">
        <v>58</v>
      </c>
      <c r="AE1443" s="4" t="s">
        <v>48</v>
      </c>
      <c r="AF1443" s="4" t="s">
        <v>41</v>
      </c>
      <c r="AG1443" s="4" t="s">
        <v>3141</v>
      </c>
    </row>
    <row r="1444" spans="1:33" ht="16.5" customHeight="1" x14ac:dyDescent="0.2">
      <c r="A1444" s="2" t="s">
        <v>31</v>
      </c>
      <c r="B1444" s="19" t="s">
        <v>50</v>
      </c>
      <c r="C1444" s="19"/>
      <c r="D1444" s="19"/>
      <c r="E1444" s="20" t="s">
        <v>33</v>
      </c>
      <c r="F1444" s="20"/>
      <c r="G1444" s="21" t="s">
        <v>3138</v>
      </c>
      <c r="H1444" s="21"/>
      <c r="I1444" s="21"/>
      <c r="J1444" s="3" t="s">
        <v>35</v>
      </c>
      <c r="K1444" s="4" t="s">
        <v>99</v>
      </c>
      <c r="L1444" s="4" t="s">
        <v>37</v>
      </c>
      <c r="N1444" s="21" t="s">
        <v>3146</v>
      </c>
      <c r="O1444" s="21"/>
      <c r="P1444" s="21" t="s">
        <v>3147</v>
      </c>
      <c r="Q1444" s="21"/>
      <c r="R1444" s="21"/>
      <c r="S1444" s="3" t="s">
        <v>40</v>
      </c>
      <c r="T1444" s="21" t="s">
        <v>41</v>
      </c>
      <c r="U1444" s="21"/>
      <c r="V1444" s="4" t="s">
        <v>42</v>
      </c>
      <c r="W1444" s="4" t="s">
        <v>130</v>
      </c>
      <c r="X1444" s="4" t="s">
        <v>60</v>
      </c>
      <c r="Y1444" s="21" t="s">
        <v>56</v>
      </c>
      <c r="Z1444" s="21"/>
      <c r="AA1444" s="4" t="s">
        <v>46</v>
      </c>
      <c r="AB1444" s="4" t="s">
        <v>47</v>
      </c>
      <c r="AC1444" s="4" t="s">
        <v>81</v>
      </c>
      <c r="AD1444" s="4" t="s">
        <v>41</v>
      </c>
      <c r="AE1444" s="4" t="s">
        <v>48</v>
      </c>
      <c r="AF1444" s="4" t="s">
        <v>41</v>
      </c>
      <c r="AG1444" s="4" t="s">
        <v>3141</v>
      </c>
    </row>
    <row r="1445" spans="1:33" ht="16.5" customHeight="1" x14ac:dyDescent="0.2">
      <c r="A1445" s="2" t="s">
        <v>31</v>
      </c>
      <c r="B1445" s="19" t="s">
        <v>110</v>
      </c>
      <c r="C1445" s="19"/>
      <c r="D1445" s="19"/>
      <c r="E1445" s="20" t="s">
        <v>33</v>
      </c>
      <c r="F1445" s="20"/>
      <c r="G1445" s="21" t="s">
        <v>3138</v>
      </c>
      <c r="H1445" s="21"/>
      <c r="I1445" s="21"/>
      <c r="J1445" s="3" t="s">
        <v>111</v>
      </c>
      <c r="K1445" s="4" t="s">
        <v>112</v>
      </c>
      <c r="N1445" s="21" t="s">
        <v>3146</v>
      </c>
      <c r="O1445" s="21"/>
      <c r="P1445" s="21" t="s">
        <v>3147</v>
      </c>
      <c r="Q1445" s="21"/>
      <c r="R1445" s="21"/>
      <c r="S1445" s="3" t="s">
        <v>40</v>
      </c>
      <c r="T1445" s="21" t="s">
        <v>1427</v>
      </c>
      <c r="U1445" s="21"/>
      <c r="V1445" s="4" t="s">
        <v>42</v>
      </c>
      <c r="W1445" s="4" t="s">
        <v>130</v>
      </c>
      <c r="X1445" s="4" t="s">
        <v>60</v>
      </c>
      <c r="Y1445" s="21" t="s">
        <v>116</v>
      </c>
      <c r="Z1445" s="21"/>
      <c r="AA1445" s="4" t="s">
        <v>46</v>
      </c>
      <c r="AB1445" s="4" t="s">
        <v>117</v>
      </c>
      <c r="AC1445" s="4" t="s">
        <v>48</v>
      </c>
      <c r="AD1445" s="4" t="s">
        <v>41</v>
      </c>
      <c r="AE1445" s="4" t="s">
        <v>48</v>
      </c>
      <c r="AF1445" s="4" t="s">
        <v>41</v>
      </c>
      <c r="AG1445" s="4" t="s">
        <v>3141</v>
      </c>
    </row>
    <row r="1446" spans="1:33" ht="16.5" customHeight="1" x14ac:dyDescent="0.2">
      <c r="A1446" s="2" t="s">
        <v>31</v>
      </c>
      <c r="B1446" s="19" t="s">
        <v>50</v>
      </c>
      <c r="C1446" s="19"/>
      <c r="D1446" s="19"/>
      <c r="E1446" s="20" t="s">
        <v>33</v>
      </c>
      <c r="F1446" s="20"/>
      <c r="G1446" s="21" t="s">
        <v>3138</v>
      </c>
      <c r="H1446" s="21"/>
      <c r="I1446" s="21"/>
      <c r="J1446" s="3" t="s">
        <v>35</v>
      </c>
      <c r="K1446" s="4" t="s">
        <v>82</v>
      </c>
      <c r="L1446" s="4" t="s">
        <v>37</v>
      </c>
      <c r="N1446" s="21" t="s">
        <v>3148</v>
      </c>
      <c r="O1446" s="21"/>
      <c r="P1446" s="21" t="s">
        <v>3149</v>
      </c>
      <c r="Q1446" s="21"/>
      <c r="R1446" s="21"/>
      <c r="S1446" s="3" t="s">
        <v>40</v>
      </c>
      <c r="T1446" s="21" t="s">
        <v>41</v>
      </c>
      <c r="U1446" s="21"/>
      <c r="V1446" s="4" t="s">
        <v>42</v>
      </c>
      <c r="W1446" s="4" t="s">
        <v>54</v>
      </c>
      <c r="X1446" s="4" t="s">
        <v>55</v>
      </c>
      <c r="Y1446" s="21" t="s">
        <v>56</v>
      </c>
      <c r="Z1446" s="21"/>
      <c r="AA1446" s="4" t="s">
        <v>46</v>
      </c>
      <c r="AB1446" s="4" t="s">
        <v>47</v>
      </c>
      <c r="AC1446" s="4" t="s">
        <v>81</v>
      </c>
      <c r="AD1446" s="4" t="s">
        <v>41</v>
      </c>
      <c r="AE1446" s="4" t="s">
        <v>48</v>
      </c>
      <c r="AF1446" s="4" t="s">
        <v>41</v>
      </c>
      <c r="AG1446" s="4" t="s">
        <v>3141</v>
      </c>
    </row>
    <row r="1447" spans="1:33" ht="16.5" customHeight="1" x14ac:dyDescent="0.2">
      <c r="A1447" s="2" t="s">
        <v>31</v>
      </c>
      <c r="B1447" s="19" t="s">
        <v>50</v>
      </c>
      <c r="C1447" s="19"/>
      <c r="D1447" s="19"/>
      <c r="E1447" s="20" t="s">
        <v>33</v>
      </c>
      <c r="F1447" s="20"/>
      <c r="G1447" s="21" t="s">
        <v>3138</v>
      </c>
      <c r="H1447" s="21"/>
      <c r="I1447" s="21"/>
      <c r="J1447" s="3" t="s">
        <v>35</v>
      </c>
      <c r="K1447" s="4" t="s">
        <v>82</v>
      </c>
      <c r="L1447" s="4" t="s">
        <v>37</v>
      </c>
      <c r="N1447" s="21" t="s">
        <v>3148</v>
      </c>
      <c r="O1447" s="21"/>
      <c r="P1447" s="21" t="s">
        <v>3149</v>
      </c>
      <c r="Q1447" s="21"/>
      <c r="R1447" s="21"/>
      <c r="S1447" s="3" t="s">
        <v>40</v>
      </c>
      <c r="T1447" s="21" t="s">
        <v>41</v>
      </c>
      <c r="U1447" s="21"/>
      <c r="V1447" s="4" t="s">
        <v>59</v>
      </c>
      <c r="W1447" s="4" t="s">
        <v>54</v>
      </c>
      <c r="X1447" s="4" t="s">
        <v>60</v>
      </c>
      <c r="Y1447" s="21" t="s">
        <v>56</v>
      </c>
      <c r="Z1447" s="21"/>
      <c r="AA1447" s="4" t="s">
        <v>46</v>
      </c>
      <c r="AB1447" s="4" t="s">
        <v>47</v>
      </c>
      <c r="AC1447" s="4" t="s">
        <v>81</v>
      </c>
      <c r="AD1447" s="4" t="s">
        <v>41</v>
      </c>
      <c r="AE1447" s="4" t="s">
        <v>48</v>
      </c>
      <c r="AF1447" s="4" t="s">
        <v>41</v>
      </c>
      <c r="AG1447" s="4" t="s">
        <v>3141</v>
      </c>
    </row>
    <row r="1448" spans="1:33" ht="16.5" customHeight="1" x14ac:dyDescent="0.2">
      <c r="A1448" s="2" t="s">
        <v>31</v>
      </c>
      <c r="B1448" s="19" t="s">
        <v>50</v>
      </c>
      <c r="C1448" s="19"/>
      <c r="D1448" s="19"/>
      <c r="E1448" s="20" t="s">
        <v>33</v>
      </c>
      <c r="F1448" s="20"/>
      <c r="G1448" s="21" t="s">
        <v>3138</v>
      </c>
      <c r="H1448" s="21"/>
      <c r="I1448" s="21"/>
      <c r="J1448" s="3" t="s">
        <v>35</v>
      </c>
      <c r="K1448" s="4" t="s">
        <v>82</v>
      </c>
      <c r="L1448" s="4" t="s">
        <v>37</v>
      </c>
      <c r="N1448" s="21" t="s">
        <v>3150</v>
      </c>
      <c r="O1448" s="21"/>
      <c r="P1448" s="21" t="s">
        <v>3151</v>
      </c>
      <c r="Q1448" s="21"/>
      <c r="R1448" s="21"/>
      <c r="S1448" s="3" t="s">
        <v>40</v>
      </c>
      <c r="T1448" s="21" t="s">
        <v>41</v>
      </c>
      <c r="U1448" s="21"/>
      <c r="V1448" s="4" t="s">
        <v>42</v>
      </c>
      <c r="W1448" s="4" t="s">
        <v>54</v>
      </c>
      <c r="X1448" s="4" t="s">
        <v>55</v>
      </c>
      <c r="Y1448" s="21" t="s">
        <v>56</v>
      </c>
      <c r="Z1448" s="21"/>
      <c r="AA1448" s="4" t="s">
        <v>46</v>
      </c>
      <c r="AB1448" s="4" t="s">
        <v>47</v>
      </c>
      <c r="AC1448" s="4" t="s">
        <v>57</v>
      </c>
      <c r="AD1448" s="4" t="s">
        <v>58</v>
      </c>
      <c r="AE1448" s="4" t="s">
        <v>48</v>
      </c>
      <c r="AF1448" s="4" t="s">
        <v>41</v>
      </c>
      <c r="AG1448" s="4" t="s">
        <v>3141</v>
      </c>
    </row>
    <row r="1449" spans="1:33" ht="16.5" customHeight="1" x14ac:dyDescent="0.2">
      <c r="A1449" s="2" t="s">
        <v>31</v>
      </c>
      <c r="B1449" s="19" t="s">
        <v>50</v>
      </c>
      <c r="C1449" s="19"/>
      <c r="D1449" s="19"/>
      <c r="E1449" s="20" t="s">
        <v>33</v>
      </c>
      <c r="F1449" s="20"/>
      <c r="G1449" s="21" t="s">
        <v>3138</v>
      </c>
      <c r="H1449" s="21"/>
      <c r="I1449" s="21"/>
      <c r="J1449" s="3" t="s">
        <v>35</v>
      </c>
      <c r="K1449" s="4" t="s">
        <v>1032</v>
      </c>
      <c r="L1449" s="4" t="s">
        <v>445</v>
      </c>
      <c r="N1449" s="21" t="s">
        <v>3152</v>
      </c>
      <c r="O1449" s="21"/>
      <c r="P1449" s="21" t="s">
        <v>3153</v>
      </c>
      <c r="Q1449" s="21"/>
      <c r="R1449" s="21"/>
      <c r="S1449" s="3" t="s">
        <v>40</v>
      </c>
      <c r="T1449" s="21" t="s">
        <v>41</v>
      </c>
      <c r="U1449" s="21"/>
      <c r="V1449" s="4" t="s">
        <v>42</v>
      </c>
      <c r="W1449" s="4" t="s">
        <v>54</v>
      </c>
      <c r="X1449" s="4" t="s">
        <v>55</v>
      </c>
      <c r="Y1449" s="21" t="s">
        <v>56</v>
      </c>
      <c r="Z1449" s="21"/>
      <c r="AA1449" s="4" t="s">
        <v>46</v>
      </c>
      <c r="AB1449" s="4" t="s">
        <v>47</v>
      </c>
      <c r="AC1449" s="4" t="s">
        <v>57</v>
      </c>
      <c r="AD1449" s="4" t="s">
        <v>449</v>
      </c>
      <c r="AE1449" s="4" t="s">
        <v>48</v>
      </c>
      <c r="AF1449" s="4" t="s">
        <v>41</v>
      </c>
      <c r="AG1449" s="4" t="s">
        <v>3141</v>
      </c>
    </row>
    <row r="1450" spans="1:33" ht="16.5" customHeight="1" x14ac:dyDescent="0.2">
      <c r="A1450" s="2" t="s">
        <v>31</v>
      </c>
      <c r="B1450" s="19" t="s">
        <v>50</v>
      </c>
      <c r="C1450" s="19"/>
      <c r="D1450" s="19"/>
      <c r="E1450" s="20" t="s">
        <v>33</v>
      </c>
      <c r="F1450" s="20"/>
      <c r="G1450" s="21" t="s">
        <v>3138</v>
      </c>
      <c r="H1450" s="21"/>
      <c r="I1450" s="21"/>
      <c r="J1450" s="3" t="s">
        <v>35</v>
      </c>
      <c r="K1450" s="4" t="s">
        <v>152</v>
      </c>
      <c r="L1450" s="4" t="s">
        <v>37</v>
      </c>
      <c r="N1450" s="21" t="s">
        <v>3154</v>
      </c>
      <c r="O1450" s="21"/>
      <c r="P1450" s="21" t="s">
        <v>3155</v>
      </c>
      <c r="Q1450" s="21"/>
      <c r="R1450" s="21"/>
      <c r="S1450" s="3" t="s">
        <v>40</v>
      </c>
      <c r="T1450" s="21" t="s">
        <v>41</v>
      </c>
      <c r="U1450" s="21"/>
      <c r="V1450" s="4" t="s">
        <v>42</v>
      </c>
      <c r="W1450" s="4" t="s">
        <v>476</v>
      </c>
      <c r="X1450" s="4" t="s">
        <v>477</v>
      </c>
      <c r="Y1450" s="21" t="s">
        <v>56</v>
      </c>
      <c r="Z1450" s="21"/>
      <c r="AA1450" s="4" t="s">
        <v>46</v>
      </c>
      <c r="AB1450" s="4" t="s">
        <v>47</v>
      </c>
      <c r="AC1450" s="4" t="s">
        <v>139</v>
      </c>
      <c r="AD1450" s="4" t="s">
        <v>140</v>
      </c>
      <c r="AE1450" s="4" t="s">
        <v>48</v>
      </c>
      <c r="AF1450" s="4" t="s">
        <v>41</v>
      </c>
      <c r="AG1450" s="4" t="s">
        <v>3141</v>
      </c>
    </row>
    <row r="1451" spans="1:33" ht="16.5" customHeight="1" x14ac:dyDescent="0.2">
      <c r="A1451" s="2" t="s">
        <v>31</v>
      </c>
      <c r="B1451" s="19" t="s">
        <v>50</v>
      </c>
      <c r="C1451" s="19"/>
      <c r="D1451" s="19"/>
      <c r="E1451" s="20" t="s">
        <v>33</v>
      </c>
      <c r="F1451" s="20"/>
      <c r="G1451" s="21" t="s">
        <v>3138</v>
      </c>
      <c r="H1451" s="21"/>
      <c r="I1451" s="21"/>
      <c r="J1451" s="3" t="s">
        <v>35</v>
      </c>
      <c r="K1451" s="4" t="s">
        <v>152</v>
      </c>
      <c r="L1451" s="4" t="s">
        <v>37</v>
      </c>
      <c r="N1451" s="21" t="s">
        <v>3156</v>
      </c>
      <c r="O1451" s="21"/>
      <c r="P1451" s="21" t="s">
        <v>3157</v>
      </c>
      <c r="Q1451" s="21"/>
      <c r="R1451" s="21"/>
      <c r="S1451" s="3" t="s">
        <v>40</v>
      </c>
      <c r="T1451" s="21" t="s">
        <v>41</v>
      </c>
      <c r="U1451" s="21"/>
      <c r="V1451" s="4" t="s">
        <v>42</v>
      </c>
      <c r="W1451" s="4" t="s">
        <v>1008</v>
      </c>
      <c r="X1451" s="4" t="s">
        <v>1009</v>
      </c>
      <c r="Y1451" s="21" t="s">
        <v>56</v>
      </c>
      <c r="Z1451" s="21"/>
      <c r="AA1451" s="4" t="s">
        <v>46</v>
      </c>
      <c r="AB1451" s="4" t="s">
        <v>47</v>
      </c>
      <c r="AC1451" s="4" t="s">
        <v>139</v>
      </c>
      <c r="AD1451" s="4" t="s">
        <v>140</v>
      </c>
      <c r="AE1451" s="4" t="s">
        <v>48</v>
      </c>
      <c r="AF1451" s="4" t="s">
        <v>41</v>
      </c>
      <c r="AG1451" s="4" t="s">
        <v>3141</v>
      </c>
    </row>
    <row r="1452" spans="1:33" ht="16.5" customHeight="1" x14ac:dyDescent="0.2">
      <c r="A1452" s="2" t="s">
        <v>31</v>
      </c>
      <c r="B1452" s="19" t="s">
        <v>50</v>
      </c>
      <c r="C1452" s="19"/>
      <c r="D1452" s="19"/>
      <c r="E1452" s="20" t="s">
        <v>33</v>
      </c>
      <c r="F1452" s="20"/>
      <c r="G1452" s="21" t="s">
        <v>3138</v>
      </c>
      <c r="H1452" s="21"/>
      <c r="I1452" s="21"/>
      <c r="J1452" s="3" t="s">
        <v>35</v>
      </c>
      <c r="K1452" s="4" t="s">
        <v>152</v>
      </c>
      <c r="L1452" s="4" t="s">
        <v>37</v>
      </c>
      <c r="N1452" s="21" t="s">
        <v>3158</v>
      </c>
      <c r="O1452" s="21"/>
      <c r="P1452" s="21" t="s">
        <v>3159</v>
      </c>
      <c r="Q1452" s="21"/>
      <c r="R1452" s="21"/>
      <c r="S1452" s="3" t="s">
        <v>40</v>
      </c>
      <c r="T1452" s="21" t="s">
        <v>41</v>
      </c>
      <c r="U1452" s="21"/>
      <c r="V1452" s="4" t="s">
        <v>42</v>
      </c>
      <c r="W1452" s="4" t="s">
        <v>234</v>
      </c>
      <c r="X1452" s="4" t="s">
        <v>235</v>
      </c>
      <c r="Y1452" s="21" t="s">
        <v>56</v>
      </c>
      <c r="Z1452" s="21"/>
      <c r="AA1452" s="4" t="s">
        <v>46</v>
      </c>
      <c r="AB1452" s="4" t="s">
        <v>47</v>
      </c>
      <c r="AC1452" s="4" t="s">
        <v>139</v>
      </c>
      <c r="AD1452" s="4" t="s">
        <v>140</v>
      </c>
      <c r="AE1452" s="4" t="s">
        <v>48</v>
      </c>
      <c r="AF1452" s="4" t="s">
        <v>41</v>
      </c>
      <c r="AG1452" s="4" t="s">
        <v>3141</v>
      </c>
    </row>
    <row r="1453" spans="1:33" ht="16.5" customHeight="1" x14ac:dyDescent="0.2">
      <c r="A1453" s="2" t="s">
        <v>31</v>
      </c>
      <c r="B1453" s="19" t="s">
        <v>50</v>
      </c>
      <c r="C1453" s="19"/>
      <c r="D1453" s="19"/>
      <c r="E1453" s="20" t="s">
        <v>33</v>
      </c>
      <c r="F1453" s="20"/>
      <c r="G1453" s="21" t="s">
        <v>3138</v>
      </c>
      <c r="H1453" s="21"/>
      <c r="I1453" s="21"/>
      <c r="J1453" s="3" t="s">
        <v>35</v>
      </c>
      <c r="K1453" s="4" t="s">
        <v>152</v>
      </c>
      <c r="L1453" s="4" t="s">
        <v>37</v>
      </c>
      <c r="N1453" s="21" t="s">
        <v>3160</v>
      </c>
      <c r="O1453" s="21"/>
      <c r="P1453" s="21" t="s">
        <v>3161</v>
      </c>
      <c r="Q1453" s="21"/>
      <c r="R1453" s="21"/>
      <c r="S1453" s="3" t="s">
        <v>40</v>
      </c>
      <c r="T1453" s="21" t="s">
        <v>41</v>
      </c>
      <c r="U1453" s="21"/>
      <c r="V1453" s="4" t="s">
        <v>42</v>
      </c>
      <c r="W1453" s="4" t="s">
        <v>234</v>
      </c>
      <c r="X1453" s="4" t="s">
        <v>235</v>
      </c>
      <c r="Y1453" s="21" t="s">
        <v>56</v>
      </c>
      <c r="Z1453" s="21"/>
      <c r="AA1453" s="4" t="s">
        <v>46</v>
      </c>
      <c r="AB1453" s="4" t="s">
        <v>47</v>
      </c>
      <c r="AC1453" s="4" t="s">
        <v>139</v>
      </c>
      <c r="AD1453" s="4" t="s">
        <v>140</v>
      </c>
      <c r="AE1453" s="4" t="s">
        <v>48</v>
      </c>
      <c r="AF1453" s="4" t="s">
        <v>41</v>
      </c>
      <c r="AG1453" s="4" t="s">
        <v>3141</v>
      </c>
    </row>
    <row r="1454" spans="1:33" ht="16.5" customHeight="1" x14ac:dyDescent="0.2">
      <c r="A1454" s="2" t="s">
        <v>31</v>
      </c>
      <c r="B1454" s="19" t="s">
        <v>50</v>
      </c>
      <c r="C1454" s="19"/>
      <c r="D1454" s="19"/>
      <c r="E1454" s="20" t="s">
        <v>33</v>
      </c>
      <c r="F1454" s="20"/>
      <c r="G1454" s="21" t="s">
        <v>3138</v>
      </c>
      <c r="H1454" s="21"/>
      <c r="I1454" s="21"/>
      <c r="J1454" s="3" t="s">
        <v>35</v>
      </c>
      <c r="K1454" s="4" t="s">
        <v>82</v>
      </c>
      <c r="L1454" s="4" t="s">
        <v>37</v>
      </c>
      <c r="N1454" s="21" t="s">
        <v>3162</v>
      </c>
      <c r="O1454" s="21"/>
      <c r="P1454" s="21" t="s">
        <v>3163</v>
      </c>
      <c r="Q1454" s="21"/>
      <c r="R1454" s="21"/>
      <c r="S1454" s="3" t="s">
        <v>40</v>
      </c>
      <c r="T1454" s="21" t="s">
        <v>41</v>
      </c>
      <c r="U1454" s="21"/>
      <c r="V1454" s="4" t="s">
        <v>42</v>
      </c>
      <c r="W1454" s="4" t="s">
        <v>94</v>
      </c>
      <c r="X1454" s="4" t="s">
        <v>95</v>
      </c>
      <c r="Y1454" s="21" t="s">
        <v>56</v>
      </c>
      <c r="Z1454" s="21"/>
      <c r="AA1454" s="4" t="s">
        <v>46</v>
      </c>
      <c r="AB1454" s="4" t="s">
        <v>47</v>
      </c>
      <c r="AC1454" s="4" t="s">
        <v>57</v>
      </c>
      <c r="AD1454" s="4" t="s">
        <v>58</v>
      </c>
      <c r="AE1454" s="4" t="s">
        <v>48</v>
      </c>
      <c r="AF1454" s="4" t="s">
        <v>41</v>
      </c>
      <c r="AG1454" s="4" t="s">
        <v>3141</v>
      </c>
    </row>
    <row r="1455" spans="1:33" ht="16.5" customHeight="1" x14ac:dyDescent="0.2">
      <c r="A1455" s="2" t="s">
        <v>31</v>
      </c>
      <c r="B1455" s="19" t="s">
        <v>50</v>
      </c>
      <c r="C1455" s="19"/>
      <c r="D1455" s="19"/>
      <c r="E1455" s="20" t="s">
        <v>33</v>
      </c>
      <c r="F1455" s="20"/>
      <c r="G1455" s="21" t="s">
        <v>3138</v>
      </c>
      <c r="H1455" s="21"/>
      <c r="I1455" s="21"/>
      <c r="J1455" s="3" t="s">
        <v>35</v>
      </c>
      <c r="K1455" s="4" t="s">
        <v>51</v>
      </c>
      <c r="L1455" s="4" t="s">
        <v>37</v>
      </c>
      <c r="N1455" s="21" t="s">
        <v>3164</v>
      </c>
      <c r="O1455" s="21"/>
      <c r="P1455" s="21" t="s">
        <v>3165</v>
      </c>
      <c r="Q1455" s="21"/>
      <c r="R1455" s="21"/>
      <c r="S1455" s="3" t="s">
        <v>40</v>
      </c>
      <c r="T1455" s="21" t="s">
        <v>41</v>
      </c>
      <c r="U1455" s="21"/>
      <c r="V1455" s="4" t="s">
        <v>42</v>
      </c>
      <c r="W1455" s="4" t="s">
        <v>54</v>
      </c>
      <c r="X1455" s="4" t="s">
        <v>55</v>
      </c>
      <c r="Y1455" s="21" t="s">
        <v>56</v>
      </c>
      <c r="Z1455" s="21"/>
      <c r="AA1455" s="4" t="s">
        <v>46</v>
      </c>
      <c r="AB1455" s="4" t="s">
        <v>47</v>
      </c>
      <c r="AC1455" s="4" t="s">
        <v>57</v>
      </c>
      <c r="AD1455" s="4" t="s">
        <v>58</v>
      </c>
      <c r="AE1455" s="4" t="s">
        <v>48</v>
      </c>
      <c r="AF1455" s="4" t="s">
        <v>41</v>
      </c>
      <c r="AG1455" s="4" t="s">
        <v>3141</v>
      </c>
    </row>
    <row r="1456" spans="1:33" ht="16.5" customHeight="1" x14ac:dyDescent="0.2">
      <c r="A1456" s="2" t="s">
        <v>31</v>
      </c>
      <c r="B1456" s="19" t="s">
        <v>50</v>
      </c>
      <c r="C1456" s="19"/>
      <c r="D1456" s="19"/>
      <c r="E1456" s="20" t="s">
        <v>33</v>
      </c>
      <c r="F1456" s="20"/>
      <c r="G1456" s="21" t="s">
        <v>3138</v>
      </c>
      <c r="H1456" s="21"/>
      <c r="I1456" s="21"/>
      <c r="J1456" s="3" t="s">
        <v>35</v>
      </c>
      <c r="K1456" s="4" t="s">
        <v>82</v>
      </c>
      <c r="L1456" s="4" t="s">
        <v>37</v>
      </c>
      <c r="N1456" s="21" t="s">
        <v>3166</v>
      </c>
      <c r="O1456" s="21"/>
      <c r="P1456" s="21" t="s">
        <v>3167</v>
      </c>
      <c r="Q1456" s="21"/>
      <c r="R1456" s="21"/>
      <c r="S1456" s="3" t="s">
        <v>40</v>
      </c>
      <c r="T1456" s="21" t="s">
        <v>41</v>
      </c>
      <c r="U1456" s="21"/>
      <c r="V1456" s="4" t="s">
        <v>42</v>
      </c>
      <c r="W1456" s="4" t="s">
        <v>54</v>
      </c>
      <c r="X1456" s="4" t="s">
        <v>55</v>
      </c>
      <c r="Y1456" s="21" t="s">
        <v>56</v>
      </c>
      <c r="Z1456" s="21"/>
      <c r="AA1456" s="4" t="s">
        <v>46</v>
      </c>
      <c r="AB1456" s="4" t="s">
        <v>47</v>
      </c>
      <c r="AC1456" s="4" t="s">
        <v>57</v>
      </c>
      <c r="AD1456" s="4" t="s">
        <v>58</v>
      </c>
      <c r="AE1456" s="4" t="s">
        <v>48</v>
      </c>
      <c r="AF1456" s="4" t="s">
        <v>41</v>
      </c>
      <c r="AG1456" s="4" t="s">
        <v>3141</v>
      </c>
    </row>
    <row r="1457" spans="1:33" ht="16.5" customHeight="1" x14ac:dyDescent="0.2">
      <c r="A1457" s="2" t="s">
        <v>31</v>
      </c>
      <c r="B1457" s="19" t="s">
        <v>50</v>
      </c>
      <c r="C1457" s="19"/>
      <c r="D1457" s="19"/>
      <c r="E1457" s="20" t="s">
        <v>33</v>
      </c>
      <c r="F1457" s="20"/>
      <c r="G1457" s="21" t="s">
        <v>3138</v>
      </c>
      <c r="H1457" s="21"/>
      <c r="I1457" s="21"/>
      <c r="J1457" s="3" t="s">
        <v>35</v>
      </c>
      <c r="K1457" s="4" t="s">
        <v>661</v>
      </c>
      <c r="L1457" s="4" t="s">
        <v>37</v>
      </c>
      <c r="N1457" s="21" t="s">
        <v>3168</v>
      </c>
      <c r="O1457" s="21"/>
      <c r="P1457" s="21" t="s">
        <v>3169</v>
      </c>
      <c r="Q1457" s="21"/>
      <c r="R1457" s="21"/>
      <c r="S1457" s="3" t="s">
        <v>40</v>
      </c>
      <c r="T1457" s="21" t="s">
        <v>41</v>
      </c>
      <c r="U1457" s="21"/>
      <c r="V1457" s="4" t="s">
        <v>42</v>
      </c>
      <c r="W1457" s="4" t="s">
        <v>130</v>
      </c>
      <c r="X1457" s="4" t="s">
        <v>60</v>
      </c>
      <c r="Y1457" s="21" t="s">
        <v>198</v>
      </c>
      <c r="Z1457" s="21"/>
      <c r="AA1457" s="4" t="s">
        <v>46</v>
      </c>
      <c r="AB1457" s="4" t="s">
        <v>47</v>
      </c>
      <c r="AC1457" s="4" t="s">
        <v>139</v>
      </c>
      <c r="AD1457" s="4" t="s">
        <v>140</v>
      </c>
      <c r="AE1457" s="4" t="s">
        <v>48</v>
      </c>
      <c r="AF1457" s="4" t="s">
        <v>41</v>
      </c>
      <c r="AG1457" s="4" t="s">
        <v>3141</v>
      </c>
    </row>
    <row r="1458" spans="1:33" ht="16.5" customHeight="1" x14ac:dyDescent="0.2">
      <c r="A1458" s="2" t="s">
        <v>31</v>
      </c>
      <c r="B1458" s="19" t="s">
        <v>50</v>
      </c>
      <c r="C1458" s="19"/>
      <c r="D1458" s="19"/>
      <c r="E1458" s="20" t="s">
        <v>33</v>
      </c>
      <c r="F1458" s="20"/>
      <c r="G1458" s="21" t="s">
        <v>3138</v>
      </c>
      <c r="H1458" s="21"/>
      <c r="I1458" s="21"/>
      <c r="J1458" s="3" t="s">
        <v>35</v>
      </c>
      <c r="K1458" s="4" t="s">
        <v>99</v>
      </c>
      <c r="L1458" s="4" t="s">
        <v>278</v>
      </c>
      <c r="N1458" s="21" t="s">
        <v>3170</v>
      </c>
      <c r="O1458" s="21"/>
      <c r="P1458" s="21" t="s">
        <v>3171</v>
      </c>
      <c r="Q1458" s="21"/>
      <c r="R1458" s="21"/>
      <c r="S1458" s="3" t="s">
        <v>40</v>
      </c>
      <c r="T1458" s="21" t="s">
        <v>41</v>
      </c>
      <c r="U1458" s="21"/>
      <c r="V1458" s="4" t="s">
        <v>42</v>
      </c>
      <c r="W1458" s="4" t="s">
        <v>59</v>
      </c>
      <c r="X1458" s="4" t="s">
        <v>131</v>
      </c>
      <c r="Y1458" s="21" t="s">
        <v>56</v>
      </c>
      <c r="Z1458" s="21"/>
      <c r="AA1458" s="4" t="s">
        <v>46</v>
      </c>
      <c r="AB1458" s="4" t="s">
        <v>47</v>
      </c>
      <c r="AC1458" s="4" t="s">
        <v>57</v>
      </c>
      <c r="AD1458" s="4" t="s">
        <v>283</v>
      </c>
      <c r="AE1458" s="4" t="s">
        <v>48</v>
      </c>
      <c r="AF1458" s="4" t="s">
        <v>41</v>
      </c>
      <c r="AG1458" s="4" t="s">
        <v>3141</v>
      </c>
    </row>
    <row r="1459" spans="1:33" ht="16.5" customHeight="1" x14ac:dyDescent="0.2">
      <c r="A1459" s="2" t="s">
        <v>31</v>
      </c>
      <c r="B1459" s="19" t="s">
        <v>110</v>
      </c>
      <c r="C1459" s="19"/>
      <c r="D1459" s="19"/>
      <c r="E1459" s="20" t="s">
        <v>33</v>
      </c>
      <c r="F1459" s="20"/>
      <c r="G1459" s="21" t="s">
        <v>3138</v>
      </c>
      <c r="H1459" s="21"/>
      <c r="I1459" s="21"/>
      <c r="J1459" s="3" t="s">
        <v>35</v>
      </c>
      <c r="K1459" s="4" t="s">
        <v>394</v>
      </c>
      <c r="N1459" s="21" t="s">
        <v>3172</v>
      </c>
      <c r="O1459" s="21"/>
      <c r="P1459" s="21" t="s">
        <v>3173</v>
      </c>
      <c r="Q1459" s="21"/>
      <c r="R1459" s="21"/>
      <c r="S1459" s="3" t="s">
        <v>40</v>
      </c>
      <c r="T1459" s="21" t="s">
        <v>3174</v>
      </c>
      <c r="U1459" s="21"/>
      <c r="V1459" s="4" t="s">
        <v>59</v>
      </c>
      <c r="W1459" s="4" t="s">
        <v>85</v>
      </c>
      <c r="X1459" s="4" t="s">
        <v>95</v>
      </c>
      <c r="Y1459" s="21" t="s">
        <v>398</v>
      </c>
      <c r="Z1459" s="21"/>
      <c r="AA1459" s="4" t="s">
        <v>46</v>
      </c>
      <c r="AB1459" s="4" t="s">
        <v>117</v>
      </c>
      <c r="AC1459" s="4" t="s">
        <v>399</v>
      </c>
      <c r="AD1459" s="4" t="s">
        <v>3175</v>
      </c>
      <c r="AE1459" s="4" t="s">
        <v>48</v>
      </c>
      <c r="AF1459" s="4" t="s">
        <v>41</v>
      </c>
      <c r="AG1459" s="4" t="s">
        <v>3141</v>
      </c>
    </row>
    <row r="1460" spans="1:33" ht="16.5" customHeight="1" x14ac:dyDescent="0.2">
      <c r="A1460" s="2" t="s">
        <v>31</v>
      </c>
      <c r="B1460" s="19" t="s">
        <v>110</v>
      </c>
      <c r="C1460" s="19"/>
      <c r="D1460" s="19"/>
      <c r="E1460" s="20" t="s">
        <v>33</v>
      </c>
      <c r="F1460" s="20"/>
      <c r="G1460" s="21" t="s">
        <v>3138</v>
      </c>
      <c r="H1460" s="21"/>
      <c r="I1460" s="21"/>
      <c r="J1460" s="3" t="s">
        <v>35</v>
      </c>
      <c r="K1460" s="4" t="s">
        <v>394</v>
      </c>
      <c r="N1460" s="21" t="s">
        <v>3176</v>
      </c>
      <c r="O1460" s="21"/>
      <c r="P1460" s="21" t="s">
        <v>3177</v>
      </c>
      <c r="Q1460" s="21"/>
      <c r="R1460" s="21"/>
      <c r="S1460" s="3" t="s">
        <v>40</v>
      </c>
      <c r="T1460" s="21" t="s">
        <v>2056</v>
      </c>
      <c r="U1460" s="21"/>
      <c r="V1460" s="4" t="s">
        <v>59</v>
      </c>
      <c r="W1460" s="4" t="s">
        <v>85</v>
      </c>
      <c r="X1460" s="4" t="s">
        <v>95</v>
      </c>
      <c r="Y1460" s="21" t="s">
        <v>398</v>
      </c>
      <c r="Z1460" s="21"/>
      <c r="AA1460" s="4" t="s">
        <v>46</v>
      </c>
      <c r="AB1460" s="4" t="s">
        <v>117</v>
      </c>
      <c r="AC1460" s="4" t="s">
        <v>399</v>
      </c>
      <c r="AD1460" s="4" t="s">
        <v>2057</v>
      </c>
      <c r="AE1460" s="4" t="s">
        <v>48</v>
      </c>
      <c r="AF1460" s="4" t="s">
        <v>41</v>
      </c>
      <c r="AG1460" s="4" t="s">
        <v>3141</v>
      </c>
    </row>
    <row r="1461" spans="1:33" ht="16.5" customHeight="1" x14ac:dyDescent="0.2">
      <c r="A1461" s="2" t="s">
        <v>31</v>
      </c>
      <c r="B1461" s="19" t="s">
        <v>110</v>
      </c>
      <c r="C1461" s="19"/>
      <c r="D1461" s="19"/>
      <c r="E1461" s="20" t="s">
        <v>33</v>
      </c>
      <c r="F1461" s="20"/>
      <c r="G1461" s="21" t="s">
        <v>3138</v>
      </c>
      <c r="H1461" s="21"/>
      <c r="I1461" s="21"/>
      <c r="J1461" s="3" t="s">
        <v>35</v>
      </c>
      <c r="K1461" s="4" t="s">
        <v>394</v>
      </c>
      <c r="N1461" s="21" t="s">
        <v>3178</v>
      </c>
      <c r="O1461" s="21"/>
      <c r="P1461" s="21" t="s">
        <v>3179</v>
      </c>
      <c r="Q1461" s="21"/>
      <c r="R1461" s="21"/>
      <c r="S1461" s="3" t="s">
        <v>40</v>
      </c>
      <c r="T1461" s="21" t="s">
        <v>974</v>
      </c>
      <c r="U1461" s="21"/>
      <c r="V1461" s="4" t="s">
        <v>59</v>
      </c>
      <c r="W1461" s="4" t="s">
        <v>94</v>
      </c>
      <c r="X1461" s="4" t="s">
        <v>105</v>
      </c>
      <c r="Y1461" s="21" t="s">
        <v>398</v>
      </c>
      <c r="Z1461" s="21"/>
      <c r="AA1461" s="4" t="s">
        <v>46</v>
      </c>
      <c r="AB1461" s="4" t="s">
        <v>117</v>
      </c>
      <c r="AC1461" s="4" t="s">
        <v>399</v>
      </c>
      <c r="AD1461" s="4" t="s">
        <v>2892</v>
      </c>
      <c r="AE1461" s="4" t="s">
        <v>48</v>
      </c>
      <c r="AF1461" s="4" t="s">
        <v>41</v>
      </c>
      <c r="AG1461" s="4" t="s">
        <v>3141</v>
      </c>
    </row>
    <row r="1462" spans="1:33" ht="16.5" customHeight="1" x14ac:dyDescent="0.2">
      <c r="A1462" s="2" t="s">
        <v>31</v>
      </c>
      <c r="B1462" s="19" t="s">
        <v>110</v>
      </c>
      <c r="C1462" s="19"/>
      <c r="D1462" s="19"/>
      <c r="E1462" s="20" t="s">
        <v>33</v>
      </c>
      <c r="F1462" s="20"/>
      <c r="G1462" s="21" t="s">
        <v>3138</v>
      </c>
      <c r="H1462" s="21"/>
      <c r="I1462" s="21"/>
      <c r="J1462" s="3" t="s">
        <v>35</v>
      </c>
      <c r="K1462" s="4" t="s">
        <v>394</v>
      </c>
      <c r="N1462" s="21" t="s">
        <v>3180</v>
      </c>
      <c r="O1462" s="21"/>
      <c r="P1462" s="21" t="s">
        <v>3181</v>
      </c>
      <c r="Q1462" s="21"/>
      <c r="R1462" s="21"/>
      <c r="S1462" s="3" t="s">
        <v>40</v>
      </c>
      <c r="T1462" s="21" t="s">
        <v>974</v>
      </c>
      <c r="U1462" s="21"/>
      <c r="V1462" s="4" t="s">
        <v>42</v>
      </c>
      <c r="W1462" s="4" t="s">
        <v>381</v>
      </c>
      <c r="X1462" s="4" t="s">
        <v>382</v>
      </c>
      <c r="Y1462" s="21" t="s">
        <v>398</v>
      </c>
      <c r="Z1462" s="21"/>
      <c r="AA1462" s="4" t="s">
        <v>46</v>
      </c>
      <c r="AB1462" s="4" t="s">
        <v>117</v>
      </c>
      <c r="AC1462" s="4" t="s">
        <v>399</v>
      </c>
      <c r="AD1462" s="4" t="s">
        <v>2892</v>
      </c>
      <c r="AE1462" s="4" t="s">
        <v>48</v>
      </c>
      <c r="AF1462" s="4" t="s">
        <v>41</v>
      </c>
      <c r="AG1462" s="4" t="s">
        <v>3141</v>
      </c>
    </row>
    <row r="1463" spans="1:33" ht="0.75" customHeight="1" x14ac:dyDescent="0.2"/>
    <row r="1464" spans="1:33" ht="12" customHeight="1" x14ac:dyDescent="0.2"/>
    <row r="1465" spans="1:33" ht="16.5" customHeight="1" x14ac:dyDescent="0.2">
      <c r="A1465" s="2" t="s">
        <v>31</v>
      </c>
      <c r="B1465" s="19" t="s">
        <v>110</v>
      </c>
      <c r="C1465" s="19"/>
      <c r="D1465" s="19"/>
      <c r="E1465" s="20" t="s">
        <v>33</v>
      </c>
      <c r="F1465" s="20"/>
      <c r="G1465" s="21" t="s">
        <v>3138</v>
      </c>
      <c r="H1465" s="21"/>
      <c r="I1465" s="21"/>
      <c r="J1465" s="3" t="s">
        <v>35</v>
      </c>
      <c r="K1465" s="4" t="s">
        <v>394</v>
      </c>
      <c r="N1465" s="21" t="s">
        <v>3182</v>
      </c>
      <c r="O1465" s="21"/>
      <c r="P1465" s="21" t="s">
        <v>3183</v>
      </c>
      <c r="Q1465" s="21"/>
      <c r="R1465" s="21"/>
      <c r="S1465" s="3" t="s">
        <v>40</v>
      </c>
      <c r="T1465" s="21" t="s">
        <v>1281</v>
      </c>
      <c r="U1465" s="21"/>
      <c r="V1465" s="4" t="s">
        <v>3184</v>
      </c>
      <c r="W1465" s="4" t="s">
        <v>3185</v>
      </c>
      <c r="X1465" s="4" t="s">
        <v>60</v>
      </c>
      <c r="Y1465" s="21" t="s">
        <v>398</v>
      </c>
      <c r="Z1465" s="21"/>
      <c r="AA1465" s="4" t="s">
        <v>46</v>
      </c>
      <c r="AB1465" s="4" t="s">
        <v>117</v>
      </c>
      <c r="AC1465" s="4" t="s">
        <v>399</v>
      </c>
      <c r="AD1465" s="4" t="s">
        <v>1282</v>
      </c>
      <c r="AE1465" s="4" t="s">
        <v>48</v>
      </c>
      <c r="AF1465" s="4" t="s">
        <v>41</v>
      </c>
      <c r="AG1465" s="4" t="s">
        <v>3141</v>
      </c>
    </row>
    <row r="1466" spans="1:33" ht="16.5" customHeight="1" x14ac:dyDescent="0.2">
      <c r="A1466" s="2" t="s">
        <v>31</v>
      </c>
      <c r="B1466" s="19" t="s">
        <v>110</v>
      </c>
      <c r="C1466" s="19"/>
      <c r="D1466" s="19"/>
      <c r="E1466" s="20" t="s">
        <v>33</v>
      </c>
      <c r="F1466" s="20"/>
      <c r="G1466" s="21" t="s">
        <v>3138</v>
      </c>
      <c r="H1466" s="21"/>
      <c r="I1466" s="21"/>
      <c r="J1466" s="3" t="s">
        <v>35</v>
      </c>
      <c r="K1466" s="4" t="s">
        <v>394</v>
      </c>
      <c r="N1466" s="21" t="s">
        <v>3182</v>
      </c>
      <c r="O1466" s="21"/>
      <c r="P1466" s="21" t="s">
        <v>3183</v>
      </c>
      <c r="Q1466" s="21"/>
      <c r="R1466" s="21"/>
      <c r="S1466" s="3" t="s">
        <v>40</v>
      </c>
      <c r="T1466" s="21" t="s">
        <v>1281</v>
      </c>
      <c r="U1466" s="21"/>
      <c r="V1466" s="4" t="s">
        <v>3186</v>
      </c>
      <c r="W1466" s="4" t="s">
        <v>3185</v>
      </c>
      <c r="X1466" s="4" t="s">
        <v>131</v>
      </c>
      <c r="Y1466" s="21" t="s">
        <v>398</v>
      </c>
      <c r="Z1466" s="21"/>
      <c r="AA1466" s="4" t="s">
        <v>46</v>
      </c>
      <c r="AB1466" s="4" t="s">
        <v>117</v>
      </c>
      <c r="AC1466" s="4" t="s">
        <v>399</v>
      </c>
      <c r="AD1466" s="4" t="s">
        <v>1282</v>
      </c>
      <c r="AE1466" s="4" t="s">
        <v>48</v>
      </c>
      <c r="AF1466" s="4" t="s">
        <v>41</v>
      </c>
      <c r="AG1466" s="4" t="s">
        <v>3141</v>
      </c>
    </row>
    <row r="1467" spans="1:33" ht="16.5" customHeight="1" x14ac:dyDescent="0.2">
      <c r="A1467" s="2" t="s">
        <v>31</v>
      </c>
      <c r="B1467" s="19" t="s">
        <v>32</v>
      </c>
      <c r="C1467" s="19"/>
      <c r="D1467" s="19"/>
      <c r="E1467" s="20" t="s">
        <v>33</v>
      </c>
      <c r="F1467" s="20"/>
      <c r="G1467" s="21" t="s">
        <v>3187</v>
      </c>
      <c r="H1467" s="21"/>
      <c r="I1467" s="21"/>
      <c r="J1467" s="3" t="s">
        <v>35</v>
      </c>
      <c r="K1467" s="4" t="s">
        <v>665</v>
      </c>
      <c r="L1467" s="4" t="s">
        <v>37</v>
      </c>
      <c r="N1467" s="21" t="s">
        <v>3188</v>
      </c>
      <c r="O1467" s="21"/>
      <c r="P1467" s="21" t="s">
        <v>3189</v>
      </c>
      <c r="Q1467" s="21"/>
      <c r="R1467" s="21"/>
      <c r="S1467" s="3" t="s">
        <v>40</v>
      </c>
      <c r="T1467" s="21" t="s">
        <v>668</v>
      </c>
      <c r="U1467" s="21"/>
      <c r="V1467" s="4" t="s">
        <v>59</v>
      </c>
      <c r="W1467" s="4" t="s">
        <v>54</v>
      </c>
      <c r="X1467" s="4" t="s">
        <v>60</v>
      </c>
      <c r="Y1467" s="21" t="s">
        <v>669</v>
      </c>
      <c r="Z1467" s="21"/>
      <c r="AA1467" s="4" t="s">
        <v>46</v>
      </c>
      <c r="AB1467" s="4" t="s">
        <v>47</v>
      </c>
      <c r="AD1467" s="4" t="s">
        <v>41</v>
      </c>
      <c r="AE1467" s="4" t="s">
        <v>48</v>
      </c>
      <c r="AF1467" s="4" t="s">
        <v>41</v>
      </c>
      <c r="AG1467" s="4" t="s">
        <v>3190</v>
      </c>
    </row>
    <row r="1468" spans="1:33" ht="16.5" customHeight="1" x14ac:dyDescent="0.2">
      <c r="A1468" s="2" t="s">
        <v>31</v>
      </c>
      <c r="B1468" s="19" t="s">
        <v>50</v>
      </c>
      <c r="C1468" s="19"/>
      <c r="D1468" s="19"/>
      <c r="E1468" s="20" t="s">
        <v>33</v>
      </c>
      <c r="F1468" s="20"/>
      <c r="G1468" s="21" t="s">
        <v>3187</v>
      </c>
      <c r="H1468" s="21"/>
      <c r="I1468" s="21"/>
      <c r="J1468" s="3" t="s">
        <v>35</v>
      </c>
      <c r="K1468" s="4" t="s">
        <v>152</v>
      </c>
      <c r="L1468" s="4" t="s">
        <v>37</v>
      </c>
      <c r="N1468" s="21" t="s">
        <v>3191</v>
      </c>
      <c r="O1468" s="21"/>
      <c r="P1468" s="21" t="s">
        <v>3192</v>
      </c>
      <c r="Q1468" s="21"/>
      <c r="R1468" s="21"/>
      <c r="S1468" s="3" t="s">
        <v>40</v>
      </c>
      <c r="T1468" s="21" t="s">
        <v>41</v>
      </c>
      <c r="U1468" s="21"/>
      <c r="V1468" s="4" t="s">
        <v>42</v>
      </c>
      <c r="W1468" s="4" t="s">
        <v>559</v>
      </c>
      <c r="X1468" s="4" t="s">
        <v>560</v>
      </c>
      <c r="Y1468" s="21" t="s">
        <v>56</v>
      </c>
      <c r="Z1468" s="21"/>
      <c r="AA1468" s="4" t="s">
        <v>46</v>
      </c>
      <c r="AB1468" s="4" t="s">
        <v>47</v>
      </c>
      <c r="AC1468" s="4" t="s">
        <v>139</v>
      </c>
      <c r="AD1468" s="4" t="s">
        <v>140</v>
      </c>
      <c r="AE1468" s="4" t="s">
        <v>48</v>
      </c>
      <c r="AF1468" s="4" t="s">
        <v>41</v>
      </c>
      <c r="AG1468" s="4" t="s">
        <v>3190</v>
      </c>
    </row>
    <row r="1469" spans="1:33" ht="16.5" customHeight="1" x14ac:dyDescent="0.2">
      <c r="A1469" s="2" t="s">
        <v>31</v>
      </c>
      <c r="B1469" s="19" t="s">
        <v>50</v>
      </c>
      <c r="C1469" s="19"/>
      <c r="D1469" s="19"/>
      <c r="E1469" s="20" t="s">
        <v>33</v>
      </c>
      <c r="F1469" s="20"/>
      <c r="G1469" s="21" t="s">
        <v>3187</v>
      </c>
      <c r="H1469" s="21"/>
      <c r="I1469" s="21"/>
      <c r="J1469" s="3" t="s">
        <v>35</v>
      </c>
      <c r="K1469" s="4" t="s">
        <v>152</v>
      </c>
      <c r="L1469" s="4" t="s">
        <v>37</v>
      </c>
      <c r="N1469" s="21" t="s">
        <v>3191</v>
      </c>
      <c r="O1469" s="21"/>
      <c r="P1469" s="21" t="s">
        <v>3192</v>
      </c>
      <c r="Q1469" s="21"/>
      <c r="R1469" s="21"/>
      <c r="S1469" s="3" t="s">
        <v>40</v>
      </c>
      <c r="T1469" s="21" t="s">
        <v>41</v>
      </c>
      <c r="U1469" s="21"/>
      <c r="V1469" s="4" t="s">
        <v>59</v>
      </c>
      <c r="W1469" s="4" t="s">
        <v>559</v>
      </c>
      <c r="X1469" s="4" t="s">
        <v>178</v>
      </c>
      <c r="Y1469" s="21" t="s">
        <v>56</v>
      </c>
      <c r="Z1469" s="21"/>
      <c r="AA1469" s="4" t="s">
        <v>46</v>
      </c>
      <c r="AB1469" s="4" t="s">
        <v>47</v>
      </c>
      <c r="AC1469" s="4" t="s">
        <v>139</v>
      </c>
      <c r="AD1469" s="4" t="s">
        <v>140</v>
      </c>
      <c r="AE1469" s="4" t="s">
        <v>48</v>
      </c>
      <c r="AF1469" s="4" t="s">
        <v>41</v>
      </c>
      <c r="AG1469" s="4" t="s">
        <v>3190</v>
      </c>
    </row>
    <row r="1470" spans="1:33" ht="16.5" customHeight="1" x14ac:dyDescent="0.2">
      <c r="A1470" s="2" t="s">
        <v>31</v>
      </c>
      <c r="B1470" s="19" t="s">
        <v>50</v>
      </c>
      <c r="C1470" s="19"/>
      <c r="D1470" s="19"/>
      <c r="E1470" s="20" t="s">
        <v>33</v>
      </c>
      <c r="F1470" s="20"/>
      <c r="G1470" s="21" t="s">
        <v>3187</v>
      </c>
      <c r="H1470" s="21"/>
      <c r="I1470" s="21"/>
      <c r="J1470" s="3" t="s">
        <v>35</v>
      </c>
      <c r="K1470" s="4" t="s">
        <v>152</v>
      </c>
      <c r="L1470" s="4" t="s">
        <v>37</v>
      </c>
      <c r="N1470" s="21" t="s">
        <v>3193</v>
      </c>
      <c r="O1470" s="21"/>
      <c r="P1470" s="21" t="s">
        <v>3194</v>
      </c>
      <c r="Q1470" s="21"/>
      <c r="R1470" s="21"/>
      <c r="S1470" s="3" t="s">
        <v>40</v>
      </c>
      <c r="T1470" s="21" t="s">
        <v>41</v>
      </c>
      <c r="U1470" s="21"/>
      <c r="V1470" s="4" t="s">
        <v>42</v>
      </c>
      <c r="W1470" s="4" t="s">
        <v>1002</v>
      </c>
      <c r="X1470" s="4" t="s">
        <v>537</v>
      </c>
      <c r="Y1470" s="21" t="s">
        <v>56</v>
      </c>
      <c r="Z1470" s="21"/>
      <c r="AA1470" s="4" t="s">
        <v>46</v>
      </c>
      <c r="AB1470" s="4" t="s">
        <v>47</v>
      </c>
      <c r="AC1470" s="4" t="s">
        <v>139</v>
      </c>
      <c r="AD1470" s="4" t="s">
        <v>140</v>
      </c>
      <c r="AE1470" s="4" t="s">
        <v>48</v>
      </c>
      <c r="AF1470" s="4" t="s">
        <v>41</v>
      </c>
      <c r="AG1470" s="4" t="s">
        <v>3190</v>
      </c>
    </row>
    <row r="1471" spans="1:33" ht="16.5" customHeight="1" x14ac:dyDescent="0.2">
      <c r="A1471" s="2" t="s">
        <v>31</v>
      </c>
      <c r="B1471" s="19" t="s">
        <v>50</v>
      </c>
      <c r="C1471" s="19"/>
      <c r="D1471" s="19"/>
      <c r="E1471" s="20" t="s">
        <v>33</v>
      </c>
      <c r="F1471" s="20"/>
      <c r="G1471" s="21" t="s">
        <v>3187</v>
      </c>
      <c r="H1471" s="21"/>
      <c r="I1471" s="21"/>
      <c r="J1471" s="3" t="s">
        <v>35</v>
      </c>
      <c r="K1471" s="4" t="s">
        <v>661</v>
      </c>
      <c r="L1471" s="4" t="s">
        <v>37</v>
      </c>
      <c r="N1471" s="21" t="s">
        <v>3195</v>
      </c>
      <c r="O1471" s="21"/>
      <c r="P1471" s="21" t="s">
        <v>3196</v>
      </c>
      <c r="Q1471" s="21"/>
      <c r="R1471" s="21"/>
      <c r="S1471" s="3" t="s">
        <v>40</v>
      </c>
      <c r="T1471" s="21" t="s">
        <v>41</v>
      </c>
      <c r="U1471" s="21"/>
      <c r="V1471" s="4" t="s">
        <v>59</v>
      </c>
      <c r="W1471" s="4" t="s">
        <v>54</v>
      </c>
      <c r="X1471" s="4" t="s">
        <v>60</v>
      </c>
      <c r="Y1471" s="21" t="s">
        <v>198</v>
      </c>
      <c r="Z1471" s="21"/>
      <c r="AA1471" s="4" t="s">
        <v>46</v>
      </c>
      <c r="AB1471" s="4" t="s">
        <v>47</v>
      </c>
      <c r="AC1471" s="4" t="s">
        <v>139</v>
      </c>
      <c r="AD1471" s="4" t="s">
        <v>140</v>
      </c>
      <c r="AE1471" s="4" t="s">
        <v>48</v>
      </c>
      <c r="AF1471" s="4" t="s">
        <v>41</v>
      </c>
      <c r="AG1471" s="4" t="s">
        <v>3190</v>
      </c>
    </row>
    <row r="1472" spans="1:33" ht="16.5" customHeight="1" x14ac:dyDescent="0.2">
      <c r="A1472" s="2" t="s">
        <v>31</v>
      </c>
      <c r="B1472" s="19" t="s">
        <v>50</v>
      </c>
      <c r="C1472" s="19"/>
      <c r="D1472" s="19"/>
      <c r="E1472" s="20" t="s">
        <v>33</v>
      </c>
      <c r="F1472" s="20"/>
      <c r="G1472" s="21" t="s">
        <v>3187</v>
      </c>
      <c r="H1472" s="21"/>
      <c r="I1472" s="21"/>
      <c r="J1472" s="3" t="s">
        <v>35</v>
      </c>
      <c r="K1472" s="4" t="s">
        <v>99</v>
      </c>
      <c r="L1472" s="4" t="s">
        <v>37</v>
      </c>
      <c r="N1472" s="21" t="s">
        <v>3197</v>
      </c>
      <c r="O1472" s="21"/>
      <c r="P1472" s="21" t="s">
        <v>3198</v>
      </c>
      <c r="Q1472" s="21"/>
      <c r="R1472" s="21"/>
      <c r="S1472" s="3" t="s">
        <v>40</v>
      </c>
      <c r="T1472" s="21" t="s">
        <v>41</v>
      </c>
      <c r="U1472" s="21"/>
      <c r="V1472" s="4" t="s">
        <v>42</v>
      </c>
      <c r="W1472" s="4" t="s">
        <v>3199</v>
      </c>
      <c r="X1472" s="4" t="s">
        <v>3200</v>
      </c>
      <c r="Y1472" s="21" t="s">
        <v>56</v>
      </c>
      <c r="Z1472" s="21"/>
      <c r="AA1472" s="4" t="s">
        <v>46</v>
      </c>
      <c r="AB1472" s="4" t="s">
        <v>47</v>
      </c>
      <c r="AC1472" s="4" t="s">
        <v>81</v>
      </c>
      <c r="AD1472" s="4" t="s">
        <v>41</v>
      </c>
      <c r="AE1472" s="4" t="s">
        <v>48</v>
      </c>
      <c r="AF1472" s="4" t="s">
        <v>41</v>
      </c>
      <c r="AG1472" s="4" t="s">
        <v>3190</v>
      </c>
    </row>
    <row r="1473" spans="1:33" ht="16.5" customHeight="1" x14ac:dyDescent="0.2">
      <c r="A1473" s="2" t="s">
        <v>31</v>
      </c>
      <c r="B1473" s="19" t="s">
        <v>50</v>
      </c>
      <c r="C1473" s="19"/>
      <c r="D1473" s="19"/>
      <c r="E1473" s="20" t="s">
        <v>33</v>
      </c>
      <c r="F1473" s="20"/>
      <c r="G1473" s="21" t="s">
        <v>3187</v>
      </c>
      <c r="H1473" s="21"/>
      <c r="I1473" s="21"/>
      <c r="J1473" s="3" t="s">
        <v>35</v>
      </c>
      <c r="K1473" s="4" t="s">
        <v>99</v>
      </c>
      <c r="L1473" s="4" t="s">
        <v>37</v>
      </c>
      <c r="N1473" s="21" t="s">
        <v>3201</v>
      </c>
      <c r="O1473" s="21"/>
      <c r="P1473" s="21" t="s">
        <v>3202</v>
      </c>
      <c r="Q1473" s="21"/>
      <c r="R1473" s="21"/>
      <c r="S1473" s="3" t="s">
        <v>40</v>
      </c>
      <c r="T1473" s="21" t="s">
        <v>41</v>
      </c>
      <c r="U1473" s="21"/>
      <c r="V1473" s="4" t="s">
        <v>42</v>
      </c>
      <c r="W1473" s="4" t="s">
        <v>234</v>
      </c>
      <c r="X1473" s="4" t="s">
        <v>235</v>
      </c>
      <c r="Y1473" s="21" t="s">
        <v>56</v>
      </c>
      <c r="Z1473" s="21"/>
      <c r="AA1473" s="4" t="s">
        <v>46</v>
      </c>
      <c r="AB1473" s="4" t="s">
        <v>47</v>
      </c>
      <c r="AC1473" s="4" t="s">
        <v>139</v>
      </c>
      <c r="AD1473" s="4" t="s">
        <v>140</v>
      </c>
      <c r="AE1473" s="4" t="s">
        <v>48</v>
      </c>
      <c r="AF1473" s="4" t="s">
        <v>41</v>
      </c>
      <c r="AG1473" s="4" t="s">
        <v>3190</v>
      </c>
    </row>
    <row r="1474" spans="1:33" ht="16.5" customHeight="1" x14ac:dyDescent="0.2">
      <c r="A1474" s="2" t="s">
        <v>31</v>
      </c>
      <c r="B1474" s="19" t="s">
        <v>50</v>
      </c>
      <c r="C1474" s="19"/>
      <c r="D1474" s="19"/>
      <c r="E1474" s="20" t="s">
        <v>33</v>
      </c>
      <c r="F1474" s="20"/>
      <c r="G1474" s="21" t="s">
        <v>3187</v>
      </c>
      <c r="H1474" s="21"/>
      <c r="I1474" s="21"/>
      <c r="J1474" s="3" t="s">
        <v>35</v>
      </c>
      <c r="K1474" s="4" t="s">
        <v>99</v>
      </c>
      <c r="L1474" s="4" t="s">
        <v>37</v>
      </c>
      <c r="N1474" s="21" t="s">
        <v>3201</v>
      </c>
      <c r="O1474" s="21"/>
      <c r="P1474" s="21" t="s">
        <v>3202</v>
      </c>
      <c r="Q1474" s="21"/>
      <c r="R1474" s="21"/>
      <c r="S1474" s="3" t="s">
        <v>40</v>
      </c>
      <c r="T1474" s="21" t="s">
        <v>41</v>
      </c>
      <c r="U1474" s="21"/>
      <c r="V1474" s="4" t="s">
        <v>59</v>
      </c>
      <c r="W1474" s="4" t="s">
        <v>234</v>
      </c>
      <c r="X1474" s="4" t="s">
        <v>339</v>
      </c>
      <c r="Y1474" s="21" t="s">
        <v>56</v>
      </c>
      <c r="Z1474" s="21"/>
      <c r="AA1474" s="4" t="s">
        <v>46</v>
      </c>
      <c r="AB1474" s="4" t="s">
        <v>47</v>
      </c>
      <c r="AC1474" s="4" t="s">
        <v>139</v>
      </c>
      <c r="AD1474" s="4" t="s">
        <v>140</v>
      </c>
      <c r="AE1474" s="4" t="s">
        <v>48</v>
      </c>
      <c r="AF1474" s="4" t="s">
        <v>41</v>
      </c>
      <c r="AG1474" s="4" t="s">
        <v>3190</v>
      </c>
    </row>
    <row r="1475" spans="1:33" ht="16.5" customHeight="1" x14ac:dyDescent="0.2">
      <c r="A1475" s="2" t="s">
        <v>31</v>
      </c>
      <c r="B1475" s="19" t="s">
        <v>50</v>
      </c>
      <c r="C1475" s="19"/>
      <c r="D1475" s="19"/>
      <c r="E1475" s="20" t="s">
        <v>33</v>
      </c>
      <c r="F1475" s="20"/>
      <c r="G1475" s="21" t="s">
        <v>3187</v>
      </c>
      <c r="H1475" s="21"/>
      <c r="I1475" s="21"/>
      <c r="J1475" s="3" t="s">
        <v>35</v>
      </c>
      <c r="K1475" s="4" t="s">
        <v>152</v>
      </c>
      <c r="L1475" s="4" t="s">
        <v>68</v>
      </c>
      <c r="N1475" s="21" t="s">
        <v>3203</v>
      </c>
      <c r="O1475" s="21"/>
      <c r="P1475" s="21" t="s">
        <v>3204</v>
      </c>
      <c r="Q1475" s="21"/>
      <c r="R1475" s="21"/>
      <c r="S1475" s="3" t="s">
        <v>40</v>
      </c>
      <c r="T1475" s="21" t="s">
        <v>41</v>
      </c>
      <c r="U1475" s="21"/>
      <c r="V1475" s="4" t="s">
        <v>59</v>
      </c>
      <c r="W1475" s="4" t="s">
        <v>1362</v>
      </c>
      <c r="X1475" s="4" t="s">
        <v>137</v>
      </c>
      <c r="Y1475" s="21" t="s">
        <v>56</v>
      </c>
      <c r="Z1475" s="21"/>
      <c r="AA1475" s="4" t="s">
        <v>46</v>
      </c>
      <c r="AB1475" s="4" t="s">
        <v>47</v>
      </c>
      <c r="AC1475" s="4" t="s">
        <v>139</v>
      </c>
      <c r="AD1475" s="4" t="s">
        <v>151</v>
      </c>
      <c r="AE1475" s="4" t="s">
        <v>48</v>
      </c>
      <c r="AF1475" s="4" t="s">
        <v>41</v>
      </c>
      <c r="AG1475" s="4" t="s">
        <v>3190</v>
      </c>
    </row>
    <row r="1476" spans="1:33" ht="16.5" customHeight="1" x14ac:dyDescent="0.2">
      <c r="A1476" s="2" t="s">
        <v>31</v>
      </c>
      <c r="B1476" s="19" t="s">
        <v>50</v>
      </c>
      <c r="C1476" s="19"/>
      <c r="D1476" s="19"/>
      <c r="E1476" s="20" t="s">
        <v>33</v>
      </c>
      <c r="F1476" s="20"/>
      <c r="G1476" s="21" t="s">
        <v>3187</v>
      </c>
      <c r="H1476" s="21"/>
      <c r="I1476" s="21"/>
      <c r="J1476" s="3" t="s">
        <v>35</v>
      </c>
      <c r="K1476" s="4" t="s">
        <v>152</v>
      </c>
      <c r="L1476" s="4" t="s">
        <v>68</v>
      </c>
      <c r="N1476" s="21" t="s">
        <v>3205</v>
      </c>
      <c r="O1476" s="21"/>
      <c r="P1476" s="21" t="s">
        <v>3206</v>
      </c>
      <c r="Q1476" s="21"/>
      <c r="R1476" s="21"/>
      <c r="S1476" s="3" t="s">
        <v>40</v>
      </c>
      <c r="T1476" s="21" t="s">
        <v>41</v>
      </c>
      <c r="U1476" s="21"/>
      <c r="V1476" s="4" t="s">
        <v>42</v>
      </c>
      <c r="W1476" s="4" t="s">
        <v>261</v>
      </c>
      <c r="X1476" s="4" t="s">
        <v>262</v>
      </c>
      <c r="Y1476" s="21" t="s">
        <v>56</v>
      </c>
      <c r="Z1476" s="21"/>
      <c r="AA1476" s="4" t="s">
        <v>46</v>
      </c>
      <c r="AB1476" s="4" t="s">
        <v>47</v>
      </c>
      <c r="AC1476" s="4" t="s">
        <v>139</v>
      </c>
      <c r="AD1476" s="4" t="s">
        <v>151</v>
      </c>
      <c r="AE1476" s="4" t="s">
        <v>48</v>
      </c>
      <c r="AF1476" s="4" t="s">
        <v>41</v>
      </c>
      <c r="AG1476" s="4" t="s">
        <v>3190</v>
      </c>
    </row>
    <row r="1477" spans="1:33" ht="16.5" customHeight="1" x14ac:dyDescent="0.2">
      <c r="A1477" s="2" t="s">
        <v>31</v>
      </c>
      <c r="B1477" s="19" t="s">
        <v>50</v>
      </c>
      <c r="C1477" s="19"/>
      <c r="D1477" s="19"/>
      <c r="E1477" s="20" t="s">
        <v>33</v>
      </c>
      <c r="F1477" s="20"/>
      <c r="G1477" s="21" t="s">
        <v>3187</v>
      </c>
      <c r="H1477" s="21"/>
      <c r="I1477" s="21"/>
      <c r="J1477" s="3" t="s">
        <v>35</v>
      </c>
      <c r="K1477" s="4" t="s">
        <v>413</v>
      </c>
      <c r="L1477" s="4" t="s">
        <v>37</v>
      </c>
      <c r="N1477" s="21" t="s">
        <v>3207</v>
      </c>
      <c r="O1477" s="21"/>
      <c r="P1477" s="21" t="s">
        <v>3208</v>
      </c>
      <c r="Q1477" s="21"/>
      <c r="R1477" s="21"/>
      <c r="S1477" s="3" t="s">
        <v>40</v>
      </c>
      <c r="T1477" s="21" t="s">
        <v>41</v>
      </c>
      <c r="U1477" s="21"/>
      <c r="V1477" s="4" t="s">
        <v>42</v>
      </c>
      <c r="W1477" s="4" t="s">
        <v>381</v>
      </c>
      <c r="X1477" s="4" t="s">
        <v>382</v>
      </c>
      <c r="Y1477" s="21" t="s">
        <v>198</v>
      </c>
      <c r="Z1477" s="21"/>
      <c r="AA1477" s="4" t="s">
        <v>46</v>
      </c>
      <c r="AB1477" s="4" t="s">
        <v>47</v>
      </c>
      <c r="AC1477" s="4" t="s">
        <v>139</v>
      </c>
      <c r="AD1477" s="4" t="s">
        <v>140</v>
      </c>
      <c r="AE1477" s="4" t="s">
        <v>48</v>
      </c>
      <c r="AF1477" s="4" t="s">
        <v>41</v>
      </c>
      <c r="AG1477" s="4" t="s">
        <v>3190</v>
      </c>
    </row>
    <row r="1478" spans="1:33" ht="16.5" customHeight="1" x14ac:dyDescent="0.2">
      <c r="A1478" s="2" t="s">
        <v>31</v>
      </c>
      <c r="B1478" s="19" t="s">
        <v>50</v>
      </c>
      <c r="C1478" s="19"/>
      <c r="D1478" s="19"/>
      <c r="E1478" s="20" t="s">
        <v>33</v>
      </c>
      <c r="F1478" s="20"/>
      <c r="G1478" s="21" t="s">
        <v>3187</v>
      </c>
      <c r="H1478" s="21"/>
      <c r="I1478" s="21"/>
      <c r="J1478" s="3" t="s">
        <v>35</v>
      </c>
      <c r="K1478" s="4" t="s">
        <v>146</v>
      </c>
      <c r="L1478" s="4" t="s">
        <v>445</v>
      </c>
      <c r="N1478" s="21" t="s">
        <v>3209</v>
      </c>
      <c r="O1478" s="21"/>
      <c r="P1478" s="21" t="s">
        <v>3210</v>
      </c>
      <c r="Q1478" s="21"/>
      <c r="R1478" s="21"/>
      <c r="S1478" s="3" t="s">
        <v>40</v>
      </c>
      <c r="T1478" s="21" t="s">
        <v>41</v>
      </c>
      <c r="U1478" s="21"/>
      <c r="V1478" s="4" t="s">
        <v>42</v>
      </c>
      <c r="W1478" s="4" t="s">
        <v>410</v>
      </c>
      <c r="X1478" s="4" t="s">
        <v>411</v>
      </c>
      <c r="Y1478" s="21" t="s">
        <v>138</v>
      </c>
      <c r="Z1478" s="21"/>
      <c r="AA1478" s="4" t="s">
        <v>46</v>
      </c>
      <c r="AB1478" s="4" t="s">
        <v>47</v>
      </c>
      <c r="AC1478" s="4" t="s">
        <v>139</v>
      </c>
      <c r="AD1478" s="4" t="s">
        <v>466</v>
      </c>
      <c r="AE1478" s="4" t="s">
        <v>48</v>
      </c>
      <c r="AF1478" s="4" t="s">
        <v>41</v>
      </c>
      <c r="AG1478" s="4" t="s">
        <v>3190</v>
      </c>
    </row>
    <row r="1479" spans="1:33" ht="16.5" customHeight="1" x14ac:dyDescent="0.2">
      <c r="A1479" s="2" t="s">
        <v>31</v>
      </c>
      <c r="B1479" s="19" t="s">
        <v>50</v>
      </c>
      <c r="C1479" s="19"/>
      <c r="D1479" s="19"/>
      <c r="E1479" s="20" t="s">
        <v>33</v>
      </c>
      <c r="F1479" s="20"/>
      <c r="G1479" s="21" t="s">
        <v>3187</v>
      </c>
      <c r="H1479" s="21"/>
      <c r="I1479" s="21"/>
      <c r="J1479" s="3" t="s">
        <v>35</v>
      </c>
      <c r="K1479" s="4" t="s">
        <v>146</v>
      </c>
      <c r="L1479" s="4" t="s">
        <v>445</v>
      </c>
      <c r="N1479" s="21" t="s">
        <v>3209</v>
      </c>
      <c r="O1479" s="21"/>
      <c r="P1479" s="21" t="s">
        <v>3210</v>
      </c>
      <c r="Q1479" s="21"/>
      <c r="R1479" s="21"/>
      <c r="S1479" s="3" t="s">
        <v>40</v>
      </c>
      <c r="T1479" s="21" t="s">
        <v>41</v>
      </c>
      <c r="U1479" s="21"/>
      <c r="V1479" s="4" t="s">
        <v>59</v>
      </c>
      <c r="W1479" s="4" t="s">
        <v>410</v>
      </c>
      <c r="X1479" s="4" t="s">
        <v>560</v>
      </c>
      <c r="Y1479" s="21" t="s">
        <v>138</v>
      </c>
      <c r="Z1479" s="21"/>
      <c r="AA1479" s="4" t="s">
        <v>46</v>
      </c>
      <c r="AB1479" s="4" t="s">
        <v>47</v>
      </c>
      <c r="AC1479" s="4" t="s">
        <v>139</v>
      </c>
      <c r="AD1479" s="4" t="s">
        <v>466</v>
      </c>
      <c r="AE1479" s="4" t="s">
        <v>48</v>
      </c>
      <c r="AF1479" s="4" t="s">
        <v>41</v>
      </c>
      <c r="AG1479" s="4" t="s">
        <v>3190</v>
      </c>
    </row>
    <row r="1480" spans="1:33" ht="16.5" customHeight="1" x14ac:dyDescent="0.2">
      <c r="A1480" s="2" t="s">
        <v>31</v>
      </c>
      <c r="B1480" s="19" t="s">
        <v>50</v>
      </c>
      <c r="C1480" s="19"/>
      <c r="D1480" s="19"/>
      <c r="E1480" s="20" t="s">
        <v>33</v>
      </c>
      <c r="F1480" s="20"/>
      <c r="G1480" s="21" t="s">
        <v>3187</v>
      </c>
      <c r="H1480" s="21"/>
      <c r="I1480" s="21"/>
      <c r="J1480" s="3" t="s">
        <v>35</v>
      </c>
      <c r="K1480" s="4" t="s">
        <v>74</v>
      </c>
      <c r="L1480" s="4" t="s">
        <v>68</v>
      </c>
      <c r="N1480" s="21" t="s">
        <v>3211</v>
      </c>
      <c r="O1480" s="21"/>
      <c r="P1480" s="21" t="s">
        <v>3212</v>
      </c>
      <c r="Q1480" s="21"/>
      <c r="R1480" s="21"/>
      <c r="S1480" s="3" t="s">
        <v>40</v>
      </c>
      <c r="T1480" s="21" t="s">
        <v>41</v>
      </c>
      <c r="U1480" s="21"/>
      <c r="V1480" s="4" t="s">
        <v>42</v>
      </c>
      <c r="W1480" s="4" t="s">
        <v>410</v>
      </c>
      <c r="X1480" s="4" t="s">
        <v>411</v>
      </c>
      <c r="Y1480" s="21" t="s">
        <v>65</v>
      </c>
      <c r="Z1480" s="21"/>
      <c r="AA1480" s="4" t="s">
        <v>46</v>
      </c>
      <c r="AB1480" s="4" t="s">
        <v>47</v>
      </c>
      <c r="AC1480" s="4" t="s">
        <v>57</v>
      </c>
      <c r="AD1480" s="4" t="s">
        <v>98</v>
      </c>
      <c r="AE1480" s="4" t="s">
        <v>48</v>
      </c>
      <c r="AF1480" s="4" t="s">
        <v>41</v>
      </c>
      <c r="AG1480" s="4" t="s">
        <v>3190</v>
      </c>
    </row>
    <row r="1481" spans="1:33" ht="16.5" customHeight="1" x14ac:dyDescent="0.2">
      <c r="A1481" s="2" t="s">
        <v>31</v>
      </c>
      <c r="B1481" s="19" t="s">
        <v>50</v>
      </c>
      <c r="C1481" s="19"/>
      <c r="D1481" s="19"/>
      <c r="E1481" s="20" t="s">
        <v>33</v>
      </c>
      <c r="F1481" s="20"/>
      <c r="G1481" s="21" t="s">
        <v>3187</v>
      </c>
      <c r="H1481" s="21"/>
      <c r="I1481" s="21"/>
      <c r="J1481" s="3" t="s">
        <v>35</v>
      </c>
      <c r="K1481" s="4" t="s">
        <v>152</v>
      </c>
      <c r="L1481" s="4" t="s">
        <v>37</v>
      </c>
      <c r="N1481" s="21" t="s">
        <v>3213</v>
      </c>
      <c r="O1481" s="21"/>
      <c r="P1481" s="21" t="s">
        <v>3214</v>
      </c>
      <c r="Q1481" s="21"/>
      <c r="R1481" s="21"/>
      <c r="S1481" s="3" t="s">
        <v>40</v>
      </c>
      <c r="T1481" s="21" t="s">
        <v>41</v>
      </c>
      <c r="U1481" s="21"/>
      <c r="V1481" s="4" t="s">
        <v>42</v>
      </c>
      <c r="W1481" s="4" t="s">
        <v>823</v>
      </c>
      <c r="X1481" s="4" t="s">
        <v>791</v>
      </c>
      <c r="Y1481" s="21" t="s">
        <v>56</v>
      </c>
      <c r="Z1481" s="21"/>
      <c r="AA1481" s="4" t="s">
        <v>46</v>
      </c>
      <c r="AB1481" s="4" t="s">
        <v>47</v>
      </c>
      <c r="AC1481" s="4" t="s">
        <v>139</v>
      </c>
      <c r="AD1481" s="4" t="s">
        <v>140</v>
      </c>
      <c r="AE1481" s="4" t="s">
        <v>48</v>
      </c>
      <c r="AF1481" s="4" t="s">
        <v>41</v>
      </c>
      <c r="AG1481" s="4" t="s">
        <v>3190</v>
      </c>
    </row>
    <row r="1482" spans="1:33" ht="16.5" customHeight="1" x14ac:dyDescent="0.2">
      <c r="A1482" s="2" t="s">
        <v>31</v>
      </c>
      <c r="B1482" s="19" t="s">
        <v>50</v>
      </c>
      <c r="C1482" s="19"/>
      <c r="D1482" s="19"/>
      <c r="E1482" s="20" t="s">
        <v>33</v>
      </c>
      <c r="F1482" s="20"/>
      <c r="G1482" s="21" t="s">
        <v>3187</v>
      </c>
      <c r="H1482" s="21"/>
      <c r="I1482" s="21"/>
      <c r="J1482" s="3" t="s">
        <v>35</v>
      </c>
      <c r="K1482" s="4" t="s">
        <v>82</v>
      </c>
      <c r="L1482" s="4" t="s">
        <v>37</v>
      </c>
      <c r="N1482" s="21" t="s">
        <v>3215</v>
      </c>
      <c r="O1482" s="21"/>
      <c r="P1482" s="21" t="s">
        <v>3216</v>
      </c>
      <c r="Q1482" s="21"/>
      <c r="R1482" s="21"/>
      <c r="S1482" s="3" t="s">
        <v>40</v>
      </c>
      <c r="T1482" s="21" t="s">
        <v>41</v>
      </c>
      <c r="U1482" s="21"/>
      <c r="V1482" s="4" t="s">
        <v>42</v>
      </c>
      <c r="W1482" s="4" t="s">
        <v>217</v>
      </c>
      <c r="X1482" s="4" t="s">
        <v>218</v>
      </c>
      <c r="Y1482" s="21" t="s">
        <v>56</v>
      </c>
      <c r="Z1482" s="21"/>
      <c r="AA1482" s="4" t="s">
        <v>46</v>
      </c>
      <c r="AB1482" s="4" t="s">
        <v>47</v>
      </c>
      <c r="AC1482" s="4" t="s">
        <v>139</v>
      </c>
      <c r="AD1482" s="4" t="s">
        <v>140</v>
      </c>
      <c r="AE1482" s="4" t="s">
        <v>48</v>
      </c>
      <c r="AF1482" s="4" t="s">
        <v>41</v>
      </c>
      <c r="AG1482" s="4" t="s">
        <v>3190</v>
      </c>
    </row>
    <row r="1483" spans="1:33" ht="16.5" customHeight="1" x14ac:dyDescent="0.2">
      <c r="A1483" s="2" t="s">
        <v>31</v>
      </c>
      <c r="B1483" s="19" t="s">
        <v>50</v>
      </c>
      <c r="C1483" s="19"/>
      <c r="D1483" s="19"/>
      <c r="E1483" s="20" t="s">
        <v>33</v>
      </c>
      <c r="F1483" s="20"/>
      <c r="G1483" s="21" t="s">
        <v>3187</v>
      </c>
      <c r="H1483" s="21"/>
      <c r="I1483" s="21"/>
      <c r="J1483" s="3" t="s">
        <v>35</v>
      </c>
      <c r="K1483" s="4" t="s">
        <v>152</v>
      </c>
      <c r="L1483" s="4" t="s">
        <v>37</v>
      </c>
      <c r="N1483" s="21" t="s">
        <v>3217</v>
      </c>
      <c r="O1483" s="21"/>
      <c r="P1483" s="21" t="s">
        <v>3218</v>
      </c>
      <c r="Q1483" s="21"/>
      <c r="R1483" s="21"/>
      <c r="S1483" s="3" t="s">
        <v>40</v>
      </c>
      <c r="T1483" s="21" t="s">
        <v>41</v>
      </c>
      <c r="U1483" s="21"/>
      <c r="V1483" s="4" t="s">
        <v>42</v>
      </c>
      <c r="W1483" s="4" t="s">
        <v>484</v>
      </c>
      <c r="X1483" s="4" t="s">
        <v>485</v>
      </c>
      <c r="Y1483" s="21" t="s">
        <v>56</v>
      </c>
      <c r="Z1483" s="21"/>
      <c r="AA1483" s="4" t="s">
        <v>46</v>
      </c>
      <c r="AB1483" s="4" t="s">
        <v>47</v>
      </c>
      <c r="AC1483" s="4" t="s">
        <v>139</v>
      </c>
      <c r="AD1483" s="4" t="s">
        <v>140</v>
      </c>
      <c r="AE1483" s="4" t="s">
        <v>48</v>
      </c>
      <c r="AF1483" s="4" t="s">
        <v>41</v>
      </c>
      <c r="AG1483" s="4" t="s">
        <v>3190</v>
      </c>
    </row>
    <row r="1484" spans="1:33" ht="16.5" customHeight="1" x14ac:dyDescent="0.2">
      <c r="A1484" s="2" t="s">
        <v>31</v>
      </c>
      <c r="B1484" s="19" t="s">
        <v>50</v>
      </c>
      <c r="C1484" s="19"/>
      <c r="D1484" s="19"/>
      <c r="E1484" s="20" t="s">
        <v>33</v>
      </c>
      <c r="F1484" s="20"/>
      <c r="G1484" s="21" t="s">
        <v>3187</v>
      </c>
      <c r="H1484" s="21"/>
      <c r="I1484" s="21"/>
      <c r="J1484" s="3" t="s">
        <v>35</v>
      </c>
      <c r="K1484" s="4" t="s">
        <v>152</v>
      </c>
      <c r="L1484" s="4" t="s">
        <v>37</v>
      </c>
      <c r="N1484" s="21" t="s">
        <v>3217</v>
      </c>
      <c r="O1484" s="21"/>
      <c r="P1484" s="21" t="s">
        <v>3218</v>
      </c>
      <c r="Q1484" s="21"/>
      <c r="R1484" s="21"/>
      <c r="S1484" s="3" t="s">
        <v>40</v>
      </c>
      <c r="T1484" s="21" t="s">
        <v>41</v>
      </c>
      <c r="U1484" s="21"/>
      <c r="V1484" s="4" t="s">
        <v>59</v>
      </c>
      <c r="W1484" s="4" t="s">
        <v>484</v>
      </c>
      <c r="X1484" s="4" t="s">
        <v>334</v>
      </c>
      <c r="Y1484" s="21" t="s">
        <v>56</v>
      </c>
      <c r="Z1484" s="21"/>
      <c r="AA1484" s="4" t="s">
        <v>46</v>
      </c>
      <c r="AB1484" s="4" t="s">
        <v>47</v>
      </c>
      <c r="AC1484" s="4" t="s">
        <v>139</v>
      </c>
      <c r="AD1484" s="4" t="s">
        <v>140</v>
      </c>
      <c r="AE1484" s="4" t="s">
        <v>48</v>
      </c>
      <c r="AF1484" s="4" t="s">
        <v>41</v>
      </c>
      <c r="AG1484" s="4" t="s">
        <v>3190</v>
      </c>
    </row>
    <row r="1485" spans="1:33" ht="16.5" customHeight="1" x14ac:dyDescent="0.2">
      <c r="A1485" s="2" t="s">
        <v>31</v>
      </c>
      <c r="B1485" s="19" t="s">
        <v>50</v>
      </c>
      <c r="C1485" s="19"/>
      <c r="D1485" s="19"/>
      <c r="E1485" s="20" t="s">
        <v>33</v>
      </c>
      <c r="F1485" s="20"/>
      <c r="G1485" s="21" t="s">
        <v>3187</v>
      </c>
      <c r="H1485" s="21"/>
      <c r="I1485" s="21"/>
      <c r="J1485" s="3" t="s">
        <v>35</v>
      </c>
      <c r="K1485" s="4" t="s">
        <v>61</v>
      </c>
      <c r="L1485" s="4" t="s">
        <v>37</v>
      </c>
      <c r="N1485" s="21" t="s">
        <v>3219</v>
      </c>
      <c r="O1485" s="21"/>
      <c r="P1485" s="21" t="s">
        <v>3220</v>
      </c>
      <c r="Q1485" s="21"/>
      <c r="R1485" s="21"/>
      <c r="S1485" s="3" t="s">
        <v>40</v>
      </c>
      <c r="T1485" s="21" t="s">
        <v>41</v>
      </c>
      <c r="U1485" s="21"/>
      <c r="V1485" s="4" t="s">
        <v>42</v>
      </c>
      <c r="W1485" s="4" t="s">
        <v>161</v>
      </c>
      <c r="X1485" s="4" t="s">
        <v>162</v>
      </c>
      <c r="Y1485" s="21" t="s">
        <v>65</v>
      </c>
      <c r="Z1485" s="21"/>
      <c r="AA1485" s="4" t="s">
        <v>46</v>
      </c>
      <c r="AB1485" s="4" t="s">
        <v>47</v>
      </c>
      <c r="AC1485" s="4" t="s">
        <v>57</v>
      </c>
      <c r="AD1485" s="4" t="s">
        <v>58</v>
      </c>
      <c r="AE1485" s="4" t="s">
        <v>48</v>
      </c>
      <c r="AF1485" s="4" t="s">
        <v>41</v>
      </c>
      <c r="AG1485" s="4" t="s">
        <v>3190</v>
      </c>
    </row>
    <row r="1486" spans="1:33" ht="16.5" customHeight="1" x14ac:dyDescent="0.2">
      <c r="A1486" s="2" t="s">
        <v>31</v>
      </c>
      <c r="B1486" s="19" t="s">
        <v>110</v>
      </c>
      <c r="C1486" s="19"/>
      <c r="D1486" s="19"/>
      <c r="E1486" s="20" t="s">
        <v>33</v>
      </c>
      <c r="F1486" s="20"/>
      <c r="G1486" s="21" t="s">
        <v>3187</v>
      </c>
      <c r="H1486" s="21"/>
      <c r="I1486" s="21"/>
      <c r="J1486" s="3" t="s">
        <v>111</v>
      </c>
      <c r="K1486" s="4" t="s">
        <v>561</v>
      </c>
      <c r="N1486" s="21" t="s">
        <v>3219</v>
      </c>
      <c r="O1486" s="21"/>
      <c r="P1486" s="21" t="s">
        <v>3220</v>
      </c>
      <c r="Q1486" s="21"/>
      <c r="R1486" s="21"/>
      <c r="S1486" s="3" t="s">
        <v>40</v>
      </c>
      <c r="T1486" s="21" t="s">
        <v>427</v>
      </c>
      <c r="U1486" s="21"/>
      <c r="V1486" s="4" t="s">
        <v>42</v>
      </c>
      <c r="W1486" s="4" t="s">
        <v>54</v>
      </c>
      <c r="X1486" s="4" t="s">
        <v>485</v>
      </c>
      <c r="Y1486" s="21" t="s">
        <v>116</v>
      </c>
      <c r="Z1486" s="21"/>
      <c r="AA1486" s="4" t="s">
        <v>46</v>
      </c>
      <c r="AB1486" s="4" t="s">
        <v>117</v>
      </c>
      <c r="AC1486" s="4" t="s">
        <v>118</v>
      </c>
      <c r="AD1486" s="4" t="s">
        <v>562</v>
      </c>
      <c r="AE1486" s="4" t="s">
        <v>48</v>
      </c>
      <c r="AF1486" s="4" t="s">
        <v>41</v>
      </c>
      <c r="AG1486" s="4" t="s">
        <v>3190</v>
      </c>
    </row>
    <row r="1487" spans="1:33" ht="16.5" customHeight="1" x14ac:dyDescent="0.2">
      <c r="A1487" s="2" t="s">
        <v>31</v>
      </c>
      <c r="B1487" s="19" t="s">
        <v>50</v>
      </c>
      <c r="C1487" s="19"/>
      <c r="D1487" s="19"/>
      <c r="E1487" s="20" t="s">
        <v>33</v>
      </c>
      <c r="F1487" s="20"/>
      <c r="G1487" s="21" t="s">
        <v>3187</v>
      </c>
      <c r="H1487" s="21"/>
      <c r="I1487" s="21"/>
      <c r="J1487" s="3" t="s">
        <v>35</v>
      </c>
      <c r="K1487" s="4" t="s">
        <v>61</v>
      </c>
      <c r="L1487" s="4" t="s">
        <v>37</v>
      </c>
      <c r="N1487" s="21" t="s">
        <v>3221</v>
      </c>
      <c r="O1487" s="21"/>
      <c r="P1487" s="21" t="s">
        <v>1719</v>
      </c>
      <c r="Q1487" s="21"/>
      <c r="R1487" s="21"/>
      <c r="S1487" s="3" t="s">
        <v>40</v>
      </c>
      <c r="T1487" s="21" t="s">
        <v>41</v>
      </c>
      <c r="U1487" s="21"/>
      <c r="V1487" s="4" t="s">
        <v>42</v>
      </c>
      <c r="W1487" s="4" t="s">
        <v>2193</v>
      </c>
      <c r="X1487" s="4" t="s">
        <v>2194</v>
      </c>
      <c r="Y1487" s="21" t="s">
        <v>65</v>
      </c>
      <c r="Z1487" s="21"/>
      <c r="AA1487" s="4" t="s">
        <v>46</v>
      </c>
      <c r="AB1487" s="4" t="s">
        <v>47</v>
      </c>
      <c r="AC1487" s="4" t="s">
        <v>57</v>
      </c>
      <c r="AD1487" s="4" t="s">
        <v>58</v>
      </c>
      <c r="AE1487" s="4" t="s">
        <v>48</v>
      </c>
      <c r="AF1487" s="4" t="s">
        <v>41</v>
      </c>
      <c r="AG1487" s="4" t="s">
        <v>3190</v>
      </c>
    </row>
    <row r="1488" spans="1:33" ht="16.5" customHeight="1" x14ac:dyDescent="0.2">
      <c r="A1488" s="2" t="s">
        <v>31</v>
      </c>
      <c r="B1488" s="19" t="s">
        <v>50</v>
      </c>
      <c r="C1488" s="19"/>
      <c r="D1488" s="19"/>
      <c r="E1488" s="20" t="s">
        <v>33</v>
      </c>
      <c r="F1488" s="20"/>
      <c r="G1488" s="21" t="s">
        <v>3187</v>
      </c>
      <c r="H1488" s="21"/>
      <c r="I1488" s="21"/>
      <c r="J1488" s="3" t="s">
        <v>35</v>
      </c>
      <c r="K1488" s="4" t="s">
        <v>152</v>
      </c>
      <c r="L1488" s="4" t="s">
        <v>37</v>
      </c>
      <c r="N1488" s="21" t="s">
        <v>3222</v>
      </c>
      <c r="O1488" s="21"/>
      <c r="P1488" s="21" t="s">
        <v>3223</v>
      </c>
      <c r="Q1488" s="21"/>
      <c r="R1488" s="21"/>
      <c r="S1488" s="3" t="s">
        <v>40</v>
      </c>
      <c r="T1488" s="21" t="s">
        <v>41</v>
      </c>
      <c r="U1488" s="21"/>
      <c r="V1488" s="4" t="s">
        <v>42</v>
      </c>
      <c r="W1488" s="4" t="s">
        <v>213</v>
      </c>
      <c r="X1488" s="4" t="s">
        <v>531</v>
      </c>
      <c r="Y1488" s="21" t="s">
        <v>56</v>
      </c>
      <c r="Z1488" s="21"/>
      <c r="AA1488" s="4" t="s">
        <v>46</v>
      </c>
      <c r="AB1488" s="4" t="s">
        <v>47</v>
      </c>
      <c r="AC1488" s="4" t="s">
        <v>139</v>
      </c>
      <c r="AD1488" s="4" t="s">
        <v>140</v>
      </c>
      <c r="AE1488" s="4" t="s">
        <v>48</v>
      </c>
      <c r="AF1488" s="4" t="s">
        <v>41</v>
      </c>
      <c r="AG1488" s="4" t="s">
        <v>3190</v>
      </c>
    </row>
    <row r="1489" spans="1:33" ht="16.5" customHeight="1" x14ac:dyDescent="0.2">
      <c r="A1489" s="2" t="s">
        <v>31</v>
      </c>
      <c r="B1489" s="19" t="s">
        <v>50</v>
      </c>
      <c r="C1489" s="19"/>
      <c r="D1489" s="19"/>
      <c r="E1489" s="20" t="s">
        <v>33</v>
      </c>
      <c r="F1489" s="20"/>
      <c r="G1489" s="21" t="s">
        <v>3187</v>
      </c>
      <c r="H1489" s="21"/>
      <c r="I1489" s="21"/>
      <c r="J1489" s="3" t="s">
        <v>35</v>
      </c>
      <c r="K1489" s="4" t="s">
        <v>152</v>
      </c>
      <c r="L1489" s="4" t="s">
        <v>68</v>
      </c>
      <c r="N1489" s="21" t="s">
        <v>3224</v>
      </c>
      <c r="O1489" s="21"/>
      <c r="P1489" s="21" t="s">
        <v>3225</v>
      </c>
      <c r="Q1489" s="21"/>
      <c r="R1489" s="21"/>
      <c r="S1489" s="3" t="s">
        <v>40</v>
      </c>
      <c r="T1489" s="21" t="s">
        <v>41</v>
      </c>
      <c r="U1489" s="21"/>
      <c r="V1489" s="4" t="s">
        <v>42</v>
      </c>
      <c r="W1489" s="4" t="s">
        <v>217</v>
      </c>
      <c r="X1489" s="4" t="s">
        <v>218</v>
      </c>
      <c r="Y1489" s="21" t="s">
        <v>56</v>
      </c>
      <c r="Z1489" s="21"/>
      <c r="AA1489" s="4" t="s">
        <v>46</v>
      </c>
      <c r="AB1489" s="4" t="s">
        <v>47</v>
      </c>
      <c r="AC1489" s="4" t="s">
        <v>139</v>
      </c>
      <c r="AD1489" s="4" t="s">
        <v>151</v>
      </c>
      <c r="AE1489" s="4" t="s">
        <v>48</v>
      </c>
      <c r="AF1489" s="4" t="s">
        <v>41</v>
      </c>
      <c r="AG1489" s="4" t="s">
        <v>3190</v>
      </c>
    </row>
    <row r="1490" spans="1:33" ht="16.5" customHeight="1" x14ac:dyDescent="0.2">
      <c r="A1490" s="2" t="s">
        <v>31</v>
      </c>
      <c r="B1490" s="19" t="s">
        <v>50</v>
      </c>
      <c r="C1490" s="19"/>
      <c r="D1490" s="19"/>
      <c r="E1490" s="20" t="s">
        <v>33</v>
      </c>
      <c r="F1490" s="20"/>
      <c r="G1490" s="21" t="s">
        <v>3187</v>
      </c>
      <c r="H1490" s="21"/>
      <c r="I1490" s="21"/>
      <c r="J1490" s="3" t="s">
        <v>35</v>
      </c>
      <c r="K1490" s="4" t="s">
        <v>152</v>
      </c>
      <c r="L1490" s="4" t="s">
        <v>231</v>
      </c>
      <c r="N1490" s="21" t="s">
        <v>3226</v>
      </c>
      <c r="O1490" s="21"/>
      <c r="P1490" s="21" t="s">
        <v>3227</v>
      </c>
      <c r="Q1490" s="21"/>
      <c r="R1490" s="21"/>
      <c r="S1490" s="3" t="s">
        <v>40</v>
      </c>
      <c r="T1490" s="21" t="s">
        <v>41</v>
      </c>
      <c r="U1490" s="21"/>
      <c r="V1490" s="4" t="s">
        <v>42</v>
      </c>
      <c r="W1490" s="4" t="s">
        <v>3228</v>
      </c>
      <c r="X1490" s="4" t="s">
        <v>584</v>
      </c>
      <c r="Y1490" s="21" t="s">
        <v>56</v>
      </c>
      <c r="Z1490" s="21"/>
      <c r="AA1490" s="4" t="s">
        <v>46</v>
      </c>
      <c r="AB1490" s="4" t="s">
        <v>47</v>
      </c>
      <c r="AC1490" s="4" t="s">
        <v>81</v>
      </c>
      <c r="AD1490" s="4" t="s">
        <v>41</v>
      </c>
      <c r="AE1490" s="4" t="s">
        <v>48</v>
      </c>
      <c r="AF1490" s="4" t="s">
        <v>41</v>
      </c>
      <c r="AG1490" s="4" t="s">
        <v>3190</v>
      </c>
    </row>
    <row r="1491" spans="1:33" ht="16.5" customHeight="1" x14ac:dyDescent="0.2">
      <c r="A1491" s="2" t="s">
        <v>31</v>
      </c>
      <c r="B1491" s="19" t="s">
        <v>50</v>
      </c>
      <c r="C1491" s="19"/>
      <c r="D1491" s="19"/>
      <c r="E1491" s="20" t="s">
        <v>33</v>
      </c>
      <c r="F1491" s="20"/>
      <c r="G1491" s="21" t="s">
        <v>3187</v>
      </c>
      <c r="H1491" s="21"/>
      <c r="I1491" s="21"/>
      <c r="J1491" s="3" t="s">
        <v>35</v>
      </c>
      <c r="K1491" s="4" t="s">
        <v>152</v>
      </c>
      <c r="L1491" s="4" t="s">
        <v>231</v>
      </c>
      <c r="N1491" s="21" t="s">
        <v>3226</v>
      </c>
      <c r="O1491" s="21"/>
      <c r="P1491" s="21" t="s">
        <v>3227</v>
      </c>
      <c r="Q1491" s="21"/>
      <c r="R1491" s="21"/>
      <c r="S1491" s="3" t="s">
        <v>40</v>
      </c>
      <c r="T1491" s="21" t="s">
        <v>41</v>
      </c>
      <c r="U1491" s="21"/>
      <c r="V1491" s="4" t="s">
        <v>59</v>
      </c>
      <c r="W1491" s="4" t="s">
        <v>3228</v>
      </c>
      <c r="X1491" s="4" t="s">
        <v>240</v>
      </c>
      <c r="Y1491" s="21" t="s">
        <v>56</v>
      </c>
      <c r="Z1491" s="21"/>
      <c r="AA1491" s="4" t="s">
        <v>46</v>
      </c>
      <c r="AB1491" s="4" t="s">
        <v>47</v>
      </c>
      <c r="AC1491" s="4" t="s">
        <v>81</v>
      </c>
      <c r="AD1491" s="4" t="s">
        <v>41</v>
      </c>
      <c r="AE1491" s="4" t="s">
        <v>48</v>
      </c>
      <c r="AF1491" s="4" t="s">
        <v>41</v>
      </c>
      <c r="AG1491" s="4" t="s">
        <v>3190</v>
      </c>
    </row>
    <row r="1492" spans="1:33" ht="16.5" customHeight="1" x14ac:dyDescent="0.2">
      <c r="A1492" s="2" t="s">
        <v>31</v>
      </c>
      <c r="B1492" s="19" t="s">
        <v>50</v>
      </c>
      <c r="C1492" s="19"/>
      <c r="D1492" s="19"/>
      <c r="E1492" s="20" t="s">
        <v>33</v>
      </c>
      <c r="F1492" s="20"/>
      <c r="G1492" s="21" t="s">
        <v>3187</v>
      </c>
      <c r="H1492" s="21"/>
      <c r="I1492" s="21"/>
      <c r="J1492" s="3" t="s">
        <v>35</v>
      </c>
      <c r="K1492" s="4" t="s">
        <v>74</v>
      </c>
      <c r="L1492" s="4" t="s">
        <v>68</v>
      </c>
      <c r="N1492" s="21" t="s">
        <v>3229</v>
      </c>
      <c r="O1492" s="21"/>
      <c r="P1492" s="21" t="s">
        <v>3230</v>
      </c>
      <c r="Q1492" s="21"/>
      <c r="R1492" s="21"/>
      <c r="S1492" s="3" t="s">
        <v>40</v>
      </c>
      <c r="T1492" s="21" t="s">
        <v>41</v>
      </c>
      <c r="U1492" s="21"/>
      <c r="V1492" s="4" t="s">
        <v>42</v>
      </c>
      <c r="W1492" s="4" t="s">
        <v>1077</v>
      </c>
      <c r="X1492" s="4" t="s">
        <v>214</v>
      </c>
      <c r="Y1492" s="21" t="s">
        <v>65</v>
      </c>
      <c r="Z1492" s="21"/>
      <c r="AA1492" s="4" t="s">
        <v>46</v>
      </c>
      <c r="AB1492" s="4" t="s">
        <v>47</v>
      </c>
      <c r="AC1492" s="4" t="s">
        <v>57</v>
      </c>
      <c r="AD1492" s="4" t="s">
        <v>98</v>
      </c>
      <c r="AE1492" s="4" t="s">
        <v>48</v>
      </c>
      <c r="AF1492" s="4" t="s">
        <v>41</v>
      </c>
      <c r="AG1492" s="4" t="s">
        <v>3190</v>
      </c>
    </row>
    <row r="1493" spans="1:33" ht="16.5" customHeight="1" x14ac:dyDescent="0.2">
      <c r="A1493" s="2" t="s">
        <v>31</v>
      </c>
      <c r="B1493" s="19" t="s">
        <v>50</v>
      </c>
      <c r="C1493" s="19"/>
      <c r="D1493" s="19"/>
      <c r="E1493" s="20" t="s">
        <v>33</v>
      </c>
      <c r="F1493" s="20"/>
      <c r="G1493" s="21" t="s">
        <v>3187</v>
      </c>
      <c r="H1493" s="21"/>
      <c r="I1493" s="21"/>
      <c r="J1493" s="3" t="s">
        <v>35</v>
      </c>
      <c r="K1493" s="4" t="s">
        <v>61</v>
      </c>
      <c r="L1493" s="4" t="s">
        <v>37</v>
      </c>
      <c r="N1493" s="21" t="s">
        <v>3231</v>
      </c>
      <c r="O1493" s="21"/>
      <c r="P1493" s="21" t="s">
        <v>3232</v>
      </c>
      <c r="Q1493" s="21"/>
      <c r="R1493" s="21"/>
      <c r="S1493" s="3" t="s">
        <v>40</v>
      </c>
      <c r="T1493" s="21" t="s">
        <v>41</v>
      </c>
      <c r="U1493" s="21"/>
      <c r="V1493" s="4" t="s">
        <v>42</v>
      </c>
      <c r="W1493" s="4" t="s">
        <v>3233</v>
      </c>
      <c r="X1493" s="4" t="s">
        <v>3234</v>
      </c>
      <c r="Y1493" s="21" t="s">
        <v>65</v>
      </c>
      <c r="Z1493" s="21"/>
      <c r="AA1493" s="4" t="s">
        <v>46</v>
      </c>
      <c r="AB1493" s="4" t="s">
        <v>47</v>
      </c>
      <c r="AC1493" s="4" t="s">
        <v>57</v>
      </c>
      <c r="AD1493" s="4" t="s">
        <v>58</v>
      </c>
      <c r="AE1493" s="4" t="s">
        <v>48</v>
      </c>
      <c r="AF1493" s="4" t="s">
        <v>41</v>
      </c>
      <c r="AG1493" s="4" t="s">
        <v>3190</v>
      </c>
    </row>
    <row r="1494" spans="1:33" ht="16.5" customHeight="1" x14ac:dyDescent="0.2">
      <c r="A1494" s="2" t="s">
        <v>31</v>
      </c>
      <c r="B1494" s="19" t="s">
        <v>50</v>
      </c>
      <c r="C1494" s="19"/>
      <c r="D1494" s="19"/>
      <c r="E1494" s="20" t="s">
        <v>33</v>
      </c>
      <c r="F1494" s="20"/>
      <c r="G1494" s="21" t="s">
        <v>3187</v>
      </c>
      <c r="H1494" s="21"/>
      <c r="I1494" s="21"/>
      <c r="J1494" s="3" t="s">
        <v>35</v>
      </c>
      <c r="K1494" s="4" t="s">
        <v>169</v>
      </c>
      <c r="L1494" s="4" t="s">
        <v>68</v>
      </c>
      <c r="N1494" s="21" t="s">
        <v>3235</v>
      </c>
      <c r="O1494" s="21"/>
      <c r="P1494" s="21" t="s">
        <v>3236</v>
      </c>
      <c r="Q1494" s="21"/>
      <c r="R1494" s="21"/>
      <c r="S1494" s="3" t="s">
        <v>40</v>
      </c>
      <c r="T1494" s="21" t="s">
        <v>41</v>
      </c>
      <c r="U1494" s="21"/>
      <c r="V1494" s="4" t="s">
        <v>59</v>
      </c>
      <c r="W1494" s="4" t="s">
        <v>3237</v>
      </c>
      <c r="X1494" s="4" t="s">
        <v>2202</v>
      </c>
      <c r="Y1494" s="21" t="s">
        <v>56</v>
      </c>
      <c r="Z1494" s="21"/>
      <c r="AA1494" s="4" t="s">
        <v>46</v>
      </c>
      <c r="AB1494" s="4" t="s">
        <v>47</v>
      </c>
      <c r="AC1494" s="4" t="s">
        <v>139</v>
      </c>
      <c r="AD1494" s="4" t="s">
        <v>151</v>
      </c>
      <c r="AE1494" s="4" t="s">
        <v>48</v>
      </c>
      <c r="AF1494" s="4" t="s">
        <v>41</v>
      </c>
      <c r="AG1494" s="4" t="s">
        <v>3190</v>
      </c>
    </row>
    <row r="1495" spans="1:33" ht="16.5" customHeight="1" x14ac:dyDescent="0.2">
      <c r="A1495" s="2" t="s">
        <v>31</v>
      </c>
      <c r="B1495" s="19" t="s">
        <v>50</v>
      </c>
      <c r="C1495" s="19"/>
      <c r="D1495" s="19"/>
      <c r="E1495" s="20" t="s">
        <v>33</v>
      </c>
      <c r="F1495" s="20"/>
      <c r="G1495" s="21" t="s">
        <v>3187</v>
      </c>
      <c r="H1495" s="21"/>
      <c r="I1495" s="21"/>
      <c r="J1495" s="3" t="s">
        <v>35</v>
      </c>
      <c r="K1495" s="4" t="s">
        <v>51</v>
      </c>
      <c r="L1495" s="4" t="s">
        <v>37</v>
      </c>
      <c r="N1495" s="21" t="s">
        <v>3238</v>
      </c>
      <c r="O1495" s="21"/>
      <c r="P1495" s="21" t="s">
        <v>3239</v>
      </c>
      <c r="Q1495" s="21"/>
      <c r="R1495" s="21"/>
      <c r="S1495" s="3" t="s">
        <v>40</v>
      </c>
      <c r="T1495" s="21" t="s">
        <v>41</v>
      </c>
      <c r="U1495" s="21"/>
      <c r="V1495" s="4" t="s">
        <v>42</v>
      </c>
      <c r="W1495" s="4" t="s">
        <v>2201</v>
      </c>
      <c r="X1495" s="4" t="s">
        <v>2202</v>
      </c>
      <c r="Y1495" s="21" t="s">
        <v>56</v>
      </c>
      <c r="Z1495" s="21"/>
      <c r="AA1495" s="4" t="s">
        <v>46</v>
      </c>
      <c r="AB1495" s="4" t="s">
        <v>47</v>
      </c>
      <c r="AC1495" s="4" t="s">
        <v>139</v>
      </c>
      <c r="AD1495" s="4" t="s">
        <v>140</v>
      </c>
      <c r="AE1495" s="4" t="s">
        <v>48</v>
      </c>
      <c r="AF1495" s="4" t="s">
        <v>41</v>
      </c>
      <c r="AG1495" s="4" t="s">
        <v>3190</v>
      </c>
    </row>
    <row r="1496" spans="1:33" ht="16.5" customHeight="1" x14ac:dyDescent="0.2">
      <c r="A1496" s="2" t="s">
        <v>31</v>
      </c>
      <c r="B1496" s="19" t="s">
        <v>50</v>
      </c>
      <c r="C1496" s="19"/>
      <c r="D1496" s="19"/>
      <c r="E1496" s="20" t="s">
        <v>33</v>
      </c>
      <c r="F1496" s="20"/>
      <c r="G1496" s="21" t="s">
        <v>3187</v>
      </c>
      <c r="H1496" s="21"/>
      <c r="I1496" s="21"/>
      <c r="J1496" s="3" t="s">
        <v>35</v>
      </c>
      <c r="K1496" s="4" t="s">
        <v>99</v>
      </c>
      <c r="L1496" s="4" t="s">
        <v>37</v>
      </c>
      <c r="N1496" s="21" t="s">
        <v>3240</v>
      </c>
      <c r="O1496" s="21"/>
      <c r="P1496" s="21" t="s">
        <v>3241</v>
      </c>
      <c r="Q1496" s="21"/>
      <c r="R1496" s="21"/>
      <c r="S1496" s="3" t="s">
        <v>40</v>
      </c>
      <c r="T1496" s="21" t="s">
        <v>41</v>
      </c>
      <c r="U1496" s="21"/>
      <c r="V1496" s="4" t="s">
        <v>42</v>
      </c>
      <c r="W1496" s="4" t="s">
        <v>217</v>
      </c>
      <c r="X1496" s="4" t="s">
        <v>218</v>
      </c>
      <c r="Y1496" s="21" t="s">
        <v>56</v>
      </c>
      <c r="Z1496" s="21"/>
      <c r="AA1496" s="4" t="s">
        <v>46</v>
      </c>
      <c r="AB1496" s="4" t="s">
        <v>47</v>
      </c>
      <c r="AC1496" s="4" t="s">
        <v>139</v>
      </c>
      <c r="AD1496" s="4" t="s">
        <v>140</v>
      </c>
      <c r="AE1496" s="4" t="s">
        <v>48</v>
      </c>
      <c r="AF1496" s="4" t="s">
        <v>41</v>
      </c>
      <c r="AG1496" s="4" t="s">
        <v>3190</v>
      </c>
    </row>
    <row r="1497" spans="1:33" ht="16.5" customHeight="1" x14ac:dyDescent="0.2">
      <c r="A1497" s="2" t="s">
        <v>31</v>
      </c>
      <c r="B1497" s="19" t="s">
        <v>50</v>
      </c>
      <c r="C1497" s="19"/>
      <c r="D1497" s="19"/>
      <c r="E1497" s="20" t="s">
        <v>33</v>
      </c>
      <c r="F1497" s="20"/>
      <c r="G1497" s="21" t="s">
        <v>3187</v>
      </c>
      <c r="H1497" s="21"/>
      <c r="I1497" s="21"/>
      <c r="J1497" s="3" t="s">
        <v>35</v>
      </c>
      <c r="K1497" s="4" t="s">
        <v>247</v>
      </c>
      <c r="L1497" s="4" t="s">
        <v>37</v>
      </c>
      <c r="N1497" s="21" t="s">
        <v>3242</v>
      </c>
      <c r="O1497" s="21"/>
      <c r="P1497" s="21" t="s">
        <v>3243</v>
      </c>
      <c r="Q1497" s="21"/>
      <c r="R1497" s="21"/>
      <c r="S1497" s="3" t="s">
        <v>40</v>
      </c>
      <c r="T1497" s="21" t="s">
        <v>41</v>
      </c>
      <c r="U1497" s="21"/>
      <c r="V1497" s="4" t="s">
        <v>42</v>
      </c>
      <c r="W1497" s="4" t="s">
        <v>443</v>
      </c>
      <c r="X1497" s="4" t="s">
        <v>444</v>
      </c>
      <c r="Y1497" s="21" t="s">
        <v>65</v>
      </c>
      <c r="Z1497" s="21"/>
      <c r="AA1497" s="4" t="s">
        <v>46</v>
      </c>
      <c r="AB1497" s="4" t="s">
        <v>47</v>
      </c>
      <c r="AC1497" s="4" t="s">
        <v>57</v>
      </c>
      <c r="AD1497" s="4" t="s">
        <v>58</v>
      </c>
      <c r="AE1497" s="4" t="s">
        <v>48</v>
      </c>
      <c r="AF1497" s="4" t="s">
        <v>41</v>
      </c>
      <c r="AG1497" s="4" t="s">
        <v>3190</v>
      </c>
    </row>
    <row r="1498" spans="1:33" ht="16.5" customHeight="1" x14ac:dyDescent="0.2">
      <c r="A1498" s="2" t="s">
        <v>31</v>
      </c>
      <c r="B1498" s="19" t="s">
        <v>50</v>
      </c>
      <c r="C1498" s="19"/>
      <c r="D1498" s="19"/>
      <c r="E1498" s="20" t="s">
        <v>33</v>
      </c>
      <c r="F1498" s="20"/>
      <c r="G1498" s="21" t="s">
        <v>3187</v>
      </c>
      <c r="H1498" s="21"/>
      <c r="I1498" s="21"/>
      <c r="J1498" s="3" t="s">
        <v>35</v>
      </c>
      <c r="K1498" s="4" t="s">
        <v>74</v>
      </c>
      <c r="L1498" s="4" t="s">
        <v>37</v>
      </c>
      <c r="N1498" s="21" t="s">
        <v>3244</v>
      </c>
      <c r="O1498" s="21"/>
      <c r="P1498" s="21" t="s">
        <v>3245</v>
      </c>
      <c r="Q1498" s="21"/>
      <c r="R1498" s="21"/>
      <c r="S1498" s="3" t="s">
        <v>40</v>
      </c>
      <c r="T1498" s="21" t="s">
        <v>41</v>
      </c>
      <c r="U1498" s="21"/>
      <c r="V1498" s="4" t="s">
        <v>59</v>
      </c>
      <c r="W1498" s="4" t="s">
        <v>43</v>
      </c>
      <c r="X1498" s="4" t="s">
        <v>319</v>
      </c>
      <c r="Y1498" s="21" t="s">
        <v>65</v>
      </c>
      <c r="Z1498" s="21"/>
      <c r="AA1498" s="4" t="s">
        <v>46</v>
      </c>
      <c r="AB1498" s="4" t="s">
        <v>47</v>
      </c>
      <c r="AC1498" s="4" t="s">
        <v>57</v>
      </c>
      <c r="AD1498" s="4" t="s">
        <v>58</v>
      </c>
      <c r="AE1498" s="4" t="s">
        <v>48</v>
      </c>
      <c r="AF1498" s="4" t="s">
        <v>41</v>
      </c>
      <c r="AG1498" s="4" t="s">
        <v>3190</v>
      </c>
    </row>
    <row r="1499" spans="1:33" ht="16.5" customHeight="1" x14ac:dyDescent="0.2">
      <c r="A1499" s="2" t="s">
        <v>31</v>
      </c>
      <c r="B1499" s="19" t="s">
        <v>50</v>
      </c>
      <c r="C1499" s="19"/>
      <c r="D1499" s="19"/>
      <c r="E1499" s="20" t="s">
        <v>33</v>
      </c>
      <c r="F1499" s="20"/>
      <c r="G1499" s="21" t="s">
        <v>3187</v>
      </c>
      <c r="H1499" s="21"/>
      <c r="I1499" s="21"/>
      <c r="J1499" s="3" t="s">
        <v>35</v>
      </c>
      <c r="K1499" s="4" t="s">
        <v>152</v>
      </c>
      <c r="L1499" s="4" t="s">
        <v>278</v>
      </c>
      <c r="N1499" s="21" t="s">
        <v>3246</v>
      </c>
      <c r="O1499" s="21"/>
      <c r="P1499" s="21" t="s">
        <v>3247</v>
      </c>
      <c r="Q1499" s="21"/>
      <c r="R1499" s="21"/>
      <c r="S1499" s="3" t="s">
        <v>40</v>
      </c>
      <c r="T1499" s="21" t="s">
        <v>41</v>
      </c>
      <c r="U1499" s="21"/>
      <c r="V1499" s="4" t="s">
        <v>42</v>
      </c>
      <c r="W1499" s="4" t="s">
        <v>229</v>
      </c>
      <c r="X1499" s="4" t="s">
        <v>448</v>
      </c>
      <c r="Y1499" s="21" t="s">
        <v>56</v>
      </c>
      <c r="Z1499" s="21"/>
      <c r="AA1499" s="4" t="s">
        <v>46</v>
      </c>
      <c r="AB1499" s="4" t="s">
        <v>47</v>
      </c>
      <c r="AC1499" s="4" t="s">
        <v>139</v>
      </c>
      <c r="AD1499" s="4" t="s">
        <v>69</v>
      </c>
      <c r="AE1499" s="4" t="s">
        <v>48</v>
      </c>
      <c r="AF1499" s="4" t="s">
        <v>41</v>
      </c>
      <c r="AG1499" s="4" t="s">
        <v>3190</v>
      </c>
    </row>
    <row r="1500" spans="1:33" ht="16.5" customHeight="1" x14ac:dyDescent="0.2">
      <c r="A1500" s="2" t="s">
        <v>31</v>
      </c>
      <c r="B1500" s="19" t="s">
        <v>50</v>
      </c>
      <c r="C1500" s="19"/>
      <c r="D1500" s="19"/>
      <c r="E1500" s="20" t="s">
        <v>33</v>
      </c>
      <c r="F1500" s="20"/>
      <c r="G1500" s="21" t="s">
        <v>3187</v>
      </c>
      <c r="H1500" s="21"/>
      <c r="I1500" s="21"/>
      <c r="J1500" s="3" t="s">
        <v>35</v>
      </c>
      <c r="K1500" s="4" t="s">
        <v>82</v>
      </c>
      <c r="L1500" s="4" t="s">
        <v>37</v>
      </c>
      <c r="N1500" s="21" t="s">
        <v>3248</v>
      </c>
      <c r="O1500" s="21"/>
      <c r="P1500" s="21" t="s">
        <v>3249</v>
      </c>
      <c r="Q1500" s="21"/>
      <c r="R1500" s="21"/>
      <c r="S1500" s="3" t="s">
        <v>40</v>
      </c>
      <c r="T1500" s="21" t="s">
        <v>41</v>
      </c>
      <c r="U1500" s="21"/>
      <c r="V1500" s="4" t="s">
        <v>42</v>
      </c>
      <c r="W1500" s="4" t="s">
        <v>452</v>
      </c>
      <c r="X1500" s="4" t="s">
        <v>453</v>
      </c>
      <c r="Y1500" s="21" t="s">
        <v>56</v>
      </c>
      <c r="Z1500" s="21"/>
      <c r="AA1500" s="4" t="s">
        <v>46</v>
      </c>
      <c r="AB1500" s="4" t="s">
        <v>47</v>
      </c>
      <c r="AC1500" s="4" t="s">
        <v>81</v>
      </c>
      <c r="AD1500" s="4" t="s">
        <v>41</v>
      </c>
      <c r="AE1500" s="4" t="s">
        <v>48</v>
      </c>
      <c r="AF1500" s="4" t="s">
        <v>41</v>
      </c>
      <c r="AG1500" s="4" t="s">
        <v>3190</v>
      </c>
    </row>
    <row r="1501" spans="1:33" ht="16.5" customHeight="1" x14ac:dyDescent="0.2">
      <c r="A1501" s="2" t="s">
        <v>31</v>
      </c>
      <c r="B1501" s="19" t="s">
        <v>50</v>
      </c>
      <c r="C1501" s="19"/>
      <c r="D1501" s="19"/>
      <c r="E1501" s="20" t="s">
        <v>33</v>
      </c>
      <c r="F1501" s="20"/>
      <c r="G1501" s="21" t="s">
        <v>3187</v>
      </c>
      <c r="H1501" s="21"/>
      <c r="I1501" s="21"/>
      <c r="J1501" s="3" t="s">
        <v>35</v>
      </c>
      <c r="K1501" s="4" t="s">
        <v>74</v>
      </c>
      <c r="L1501" s="4" t="s">
        <v>37</v>
      </c>
      <c r="N1501" s="21" t="s">
        <v>3250</v>
      </c>
      <c r="O1501" s="21"/>
      <c r="P1501" s="21" t="s">
        <v>3251</v>
      </c>
      <c r="Q1501" s="21"/>
      <c r="R1501" s="21"/>
      <c r="S1501" s="3" t="s">
        <v>40</v>
      </c>
      <c r="T1501" s="21" t="s">
        <v>41</v>
      </c>
      <c r="U1501" s="21"/>
      <c r="V1501" s="4" t="s">
        <v>42</v>
      </c>
      <c r="W1501" s="4" t="s">
        <v>765</v>
      </c>
      <c r="X1501" s="4" t="s">
        <v>766</v>
      </c>
      <c r="Y1501" s="21" t="s">
        <v>65</v>
      </c>
      <c r="Z1501" s="21"/>
      <c r="AA1501" s="4" t="s">
        <v>46</v>
      </c>
      <c r="AB1501" s="4" t="s">
        <v>47</v>
      </c>
      <c r="AC1501" s="4" t="s">
        <v>57</v>
      </c>
      <c r="AD1501" s="4" t="s">
        <v>58</v>
      </c>
      <c r="AE1501" s="4" t="s">
        <v>48</v>
      </c>
      <c r="AF1501" s="4" t="s">
        <v>41</v>
      </c>
      <c r="AG1501" s="4" t="s">
        <v>3190</v>
      </c>
    </row>
    <row r="1502" spans="1:33" ht="16.5" customHeight="1" x14ac:dyDescent="0.2">
      <c r="A1502" s="2" t="s">
        <v>31</v>
      </c>
      <c r="B1502" s="19" t="s">
        <v>50</v>
      </c>
      <c r="C1502" s="19"/>
      <c r="D1502" s="19"/>
      <c r="E1502" s="20" t="s">
        <v>33</v>
      </c>
      <c r="F1502" s="20"/>
      <c r="G1502" s="21" t="s">
        <v>3187</v>
      </c>
      <c r="H1502" s="21"/>
      <c r="I1502" s="21"/>
      <c r="J1502" s="3" t="s">
        <v>35</v>
      </c>
      <c r="K1502" s="4" t="s">
        <v>169</v>
      </c>
      <c r="L1502" s="4" t="s">
        <v>37</v>
      </c>
      <c r="N1502" s="21" t="s">
        <v>3252</v>
      </c>
      <c r="O1502" s="21"/>
      <c r="P1502" s="21" t="s">
        <v>3253</v>
      </c>
      <c r="Q1502" s="21"/>
      <c r="R1502" s="21"/>
      <c r="S1502" s="3" t="s">
        <v>40</v>
      </c>
      <c r="T1502" s="21" t="s">
        <v>41</v>
      </c>
      <c r="U1502" s="21"/>
      <c r="V1502" s="4" t="s">
        <v>42</v>
      </c>
      <c r="W1502" s="4" t="s">
        <v>104</v>
      </c>
      <c r="X1502" s="4" t="s">
        <v>105</v>
      </c>
      <c r="Y1502" s="21" t="s">
        <v>56</v>
      </c>
      <c r="Z1502" s="21"/>
      <c r="AA1502" s="4" t="s">
        <v>46</v>
      </c>
      <c r="AB1502" s="4" t="s">
        <v>47</v>
      </c>
      <c r="AC1502" s="4" t="s">
        <v>57</v>
      </c>
      <c r="AD1502" s="4" t="s">
        <v>58</v>
      </c>
      <c r="AE1502" s="4" t="s">
        <v>48</v>
      </c>
      <c r="AF1502" s="4" t="s">
        <v>41</v>
      </c>
      <c r="AG1502" s="4" t="s">
        <v>3190</v>
      </c>
    </row>
    <row r="1503" spans="1:33" ht="16.5" customHeight="1" x14ac:dyDescent="0.2">
      <c r="A1503" s="2" t="s">
        <v>31</v>
      </c>
      <c r="B1503" s="19" t="s">
        <v>50</v>
      </c>
      <c r="C1503" s="19"/>
      <c r="D1503" s="19"/>
      <c r="E1503" s="20" t="s">
        <v>33</v>
      </c>
      <c r="F1503" s="20"/>
      <c r="G1503" s="21" t="s">
        <v>3187</v>
      </c>
      <c r="H1503" s="21"/>
      <c r="I1503" s="21"/>
      <c r="J1503" s="3" t="s">
        <v>35</v>
      </c>
      <c r="K1503" s="4" t="s">
        <v>133</v>
      </c>
      <c r="L1503" s="4" t="s">
        <v>37</v>
      </c>
      <c r="N1503" s="21" t="s">
        <v>3254</v>
      </c>
      <c r="O1503" s="21"/>
      <c r="P1503" s="21" t="s">
        <v>3255</v>
      </c>
      <c r="Q1503" s="21"/>
      <c r="R1503" s="21"/>
      <c r="S1503" s="3" t="s">
        <v>40</v>
      </c>
      <c r="T1503" s="21" t="s">
        <v>41</v>
      </c>
      <c r="U1503" s="21"/>
      <c r="V1503" s="4" t="s">
        <v>42</v>
      </c>
      <c r="W1503" s="4" t="s">
        <v>157</v>
      </c>
      <c r="X1503" s="4" t="s">
        <v>158</v>
      </c>
      <c r="Y1503" s="21" t="s">
        <v>138</v>
      </c>
      <c r="Z1503" s="21"/>
      <c r="AA1503" s="4" t="s">
        <v>46</v>
      </c>
      <c r="AB1503" s="4" t="s">
        <v>47</v>
      </c>
      <c r="AC1503" s="4" t="s">
        <v>139</v>
      </c>
      <c r="AD1503" s="4" t="s">
        <v>140</v>
      </c>
      <c r="AE1503" s="4" t="s">
        <v>48</v>
      </c>
      <c r="AF1503" s="4" t="s">
        <v>41</v>
      </c>
      <c r="AG1503" s="4" t="s">
        <v>3190</v>
      </c>
    </row>
    <row r="1504" spans="1:33" ht="16.5" customHeight="1" x14ac:dyDescent="0.2">
      <c r="A1504" s="2" t="s">
        <v>31</v>
      </c>
      <c r="B1504" s="19" t="s">
        <v>50</v>
      </c>
      <c r="C1504" s="19"/>
      <c r="D1504" s="19"/>
      <c r="E1504" s="20" t="s">
        <v>33</v>
      </c>
      <c r="F1504" s="20"/>
      <c r="G1504" s="21" t="s">
        <v>3187</v>
      </c>
      <c r="H1504" s="21"/>
      <c r="I1504" s="21"/>
      <c r="J1504" s="3" t="s">
        <v>35</v>
      </c>
      <c r="K1504" s="4" t="s">
        <v>133</v>
      </c>
      <c r="L1504" s="4" t="s">
        <v>37</v>
      </c>
      <c r="N1504" s="21" t="s">
        <v>3254</v>
      </c>
      <c r="O1504" s="21"/>
      <c r="P1504" s="21" t="s">
        <v>3255</v>
      </c>
      <c r="Q1504" s="21"/>
      <c r="R1504" s="21"/>
      <c r="S1504" s="3" t="s">
        <v>40</v>
      </c>
      <c r="T1504" s="21" t="s">
        <v>41</v>
      </c>
      <c r="U1504" s="21"/>
      <c r="V1504" s="4" t="s">
        <v>59</v>
      </c>
      <c r="W1504" s="4" t="s">
        <v>157</v>
      </c>
      <c r="X1504" s="4" t="s">
        <v>172</v>
      </c>
      <c r="Y1504" s="21" t="s">
        <v>138</v>
      </c>
      <c r="Z1504" s="21"/>
      <c r="AA1504" s="4" t="s">
        <v>46</v>
      </c>
      <c r="AB1504" s="4" t="s">
        <v>47</v>
      </c>
      <c r="AC1504" s="4" t="s">
        <v>139</v>
      </c>
      <c r="AD1504" s="4" t="s">
        <v>140</v>
      </c>
      <c r="AE1504" s="4" t="s">
        <v>48</v>
      </c>
      <c r="AF1504" s="4" t="s">
        <v>41</v>
      </c>
      <c r="AG1504" s="4" t="s">
        <v>3190</v>
      </c>
    </row>
    <row r="1505" spans="1:33" ht="16.5" customHeight="1" x14ac:dyDescent="0.2">
      <c r="A1505" s="2" t="s">
        <v>31</v>
      </c>
      <c r="B1505" s="19" t="s">
        <v>50</v>
      </c>
      <c r="C1505" s="19"/>
      <c r="D1505" s="19"/>
      <c r="E1505" s="20" t="s">
        <v>33</v>
      </c>
      <c r="F1505" s="20"/>
      <c r="G1505" s="21" t="s">
        <v>3187</v>
      </c>
      <c r="H1505" s="21"/>
      <c r="I1505" s="21"/>
      <c r="J1505" s="3" t="s">
        <v>35</v>
      </c>
      <c r="K1505" s="4" t="s">
        <v>99</v>
      </c>
      <c r="L1505" s="4" t="s">
        <v>37</v>
      </c>
      <c r="N1505" s="21" t="s">
        <v>3256</v>
      </c>
      <c r="O1505" s="21"/>
      <c r="P1505" s="21" t="s">
        <v>3257</v>
      </c>
      <c r="Q1505" s="21"/>
      <c r="R1505" s="21"/>
      <c r="S1505" s="3" t="s">
        <v>40</v>
      </c>
      <c r="T1505" s="21" t="s">
        <v>41</v>
      </c>
      <c r="U1505" s="21"/>
      <c r="V1505" s="4" t="s">
        <v>59</v>
      </c>
      <c r="W1505" s="4" t="s">
        <v>157</v>
      </c>
      <c r="X1505" s="4" t="s">
        <v>172</v>
      </c>
      <c r="Y1505" s="21" t="s">
        <v>56</v>
      </c>
      <c r="Z1505" s="21"/>
      <c r="AA1505" s="4" t="s">
        <v>46</v>
      </c>
      <c r="AB1505" s="4" t="s">
        <v>47</v>
      </c>
      <c r="AC1505" s="4" t="s">
        <v>139</v>
      </c>
      <c r="AD1505" s="4" t="s">
        <v>140</v>
      </c>
      <c r="AE1505" s="4" t="s">
        <v>48</v>
      </c>
      <c r="AF1505" s="4" t="s">
        <v>41</v>
      </c>
      <c r="AG1505" s="4" t="s">
        <v>3190</v>
      </c>
    </row>
    <row r="1506" spans="1:33" ht="16.5" customHeight="1" x14ac:dyDescent="0.2">
      <c r="A1506" s="2" t="s">
        <v>31</v>
      </c>
      <c r="B1506" s="19" t="s">
        <v>50</v>
      </c>
      <c r="C1506" s="19"/>
      <c r="D1506" s="19"/>
      <c r="E1506" s="20" t="s">
        <v>33</v>
      </c>
      <c r="F1506" s="20"/>
      <c r="G1506" s="21" t="s">
        <v>3187</v>
      </c>
      <c r="H1506" s="21"/>
      <c r="I1506" s="21"/>
      <c r="J1506" s="3" t="s">
        <v>35</v>
      </c>
      <c r="K1506" s="4" t="s">
        <v>169</v>
      </c>
      <c r="L1506" s="4" t="s">
        <v>37</v>
      </c>
      <c r="N1506" s="21" t="s">
        <v>3258</v>
      </c>
      <c r="O1506" s="21"/>
      <c r="P1506" s="21" t="s">
        <v>3259</v>
      </c>
      <c r="Q1506" s="21"/>
      <c r="R1506" s="21"/>
      <c r="S1506" s="3" t="s">
        <v>40</v>
      </c>
      <c r="T1506" s="21" t="s">
        <v>41</v>
      </c>
      <c r="U1506" s="21"/>
      <c r="V1506" s="4" t="s">
        <v>42</v>
      </c>
      <c r="W1506" s="4" t="s">
        <v>1881</v>
      </c>
      <c r="X1506" s="4" t="s">
        <v>3260</v>
      </c>
      <c r="Y1506" s="21" t="s">
        <v>56</v>
      </c>
      <c r="Z1506" s="21"/>
      <c r="AA1506" s="4" t="s">
        <v>46</v>
      </c>
      <c r="AB1506" s="4" t="s">
        <v>47</v>
      </c>
      <c r="AC1506" s="4" t="s">
        <v>139</v>
      </c>
      <c r="AD1506" s="4" t="s">
        <v>140</v>
      </c>
      <c r="AE1506" s="4" t="s">
        <v>48</v>
      </c>
      <c r="AF1506" s="4" t="s">
        <v>41</v>
      </c>
      <c r="AG1506" s="4" t="s">
        <v>3190</v>
      </c>
    </row>
    <row r="1507" spans="1:33" ht="16.5" customHeight="1" x14ac:dyDescent="0.2">
      <c r="A1507" s="2" t="s">
        <v>31</v>
      </c>
      <c r="B1507" s="19" t="s">
        <v>50</v>
      </c>
      <c r="C1507" s="19"/>
      <c r="D1507" s="19"/>
      <c r="E1507" s="20" t="s">
        <v>33</v>
      </c>
      <c r="F1507" s="20"/>
      <c r="G1507" s="21" t="s">
        <v>3187</v>
      </c>
      <c r="H1507" s="21"/>
      <c r="I1507" s="21"/>
      <c r="J1507" s="3" t="s">
        <v>35</v>
      </c>
      <c r="K1507" s="4" t="s">
        <v>61</v>
      </c>
      <c r="L1507" s="4" t="s">
        <v>37</v>
      </c>
      <c r="N1507" s="21" t="s">
        <v>3261</v>
      </c>
      <c r="O1507" s="21"/>
      <c r="P1507" s="21" t="s">
        <v>3262</v>
      </c>
      <c r="Q1507" s="21"/>
      <c r="R1507" s="21"/>
      <c r="S1507" s="3" t="s">
        <v>40</v>
      </c>
      <c r="T1507" s="21" t="s">
        <v>41</v>
      </c>
      <c r="U1507" s="21"/>
      <c r="V1507" s="4" t="s">
        <v>59</v>
      </c>
      <c r="W1507" s="4" t="s">
        <v>325</v>
      </c>
      <c r="X1507" s="4" t="s">
        <v>320</v>
      </c>
      <c r="Y1507" s="21" t="s">
        <v>65</v>
      </c>
      <c r="Z1507" s="21"/>
      <c r="AA1507" s="4" t="s">
        <v>46</v>
      </c>
      <c r="AB1507" s="4" t="s">
        <v>47</v>
      </c>
      <c r="AC1507" s="4" t="s">
        <v>57</v>
      </c>
      <c r="AD1507" s="4" t="s">
        <v>58</v>
      </c>
      <c r="AE1507" s="4" t="s">
        <v>48</v>
      </c>
      <c r="AF1507" s="4" t="s">
        <v>41</v>
      </c>
      <c r="AG1507" s="4" t="s">
        <v>3190</v>
      </c>
    </row>
    <row r="1508" spans="1:33" ht="16.5" customHeight="1" x14ac:dyDescent="0.2">
      <c r="A1508" s="2" t="s">
        <v>31</v>
      </c>
      <c r="B1508" s="19" t="s">
        <v>50</v>
      </c>
      <c r="C1508" s="19"/>
      <c r="D1508" s="19"/>
      <c r="E1508" s="20" t="s">
        <v>33</v>
      </c>
      <c r="F1508" s="20"/>
      <c r="G1508" s="21" t="s">
        <v>3187</v>
      </c>
      <c r="H1508" s="21"/>
      <c r="I1508" s="21"/>
      <c r="J1508" s="3" t="s">
        <v>35</v>
      </c>
      <c r="K1508" s="4" t="s">
        <v>61</v>
      </c>
      <c r="L1508" s="4" t="s">
        <v>68</v>
      </c>
      <c r="N1508" s="21" t="s">
        <v>3263</v>
      </c>
      <c r="O1508" s="21"/>
      <c r="P1508" s="21" t="s">
        <v>3264</v>
      </c>
      <c r="Q1508" s="21"/>
      <c r="R1508" s="21"/>
      <c r="S1508" s="3" t="s">
        <v>40</v>
      </c>
      <c r="T1508" s="21" t="s">
        <v>41</v>
      </c>
      <c r="U1508" s="21"/>
      <c r="V1508" s="4" t="s">
        <v>42</v>
      </c>
      <c r="W1508" s="4" t="s">
        <v>1881</v>
      </c>
      <c r="X1508" s="4" t="s">
        <v>3260</v>
      </c>
      <c r="Y1508" s="21" t="s">
        <v>65</v>
      </c>
      <c r="Z1508" s="21"/>
      <c r="AA1508" s="4" t="s">
        <v>46</v>
      </c>
      <c r="AB1508" s="4" t="s">
        <v>47</v>
      </c>
      <c r="AC1508" s="4" t="s">
        <v>57</v>
      </c>
      <c r="AD1508" s="4" t="s">
        <v>98</v>
      </c>
      <c r="AE1508" s="4" t="s">
        <v>48</v>
      </c>
      <c r="AF1508" s="4" t="s">
        <v>41</v>
      </c>
      <c r="AG1508" s="4" t="s">
        <v>3190</v>
      </c>
    </row>
    <row r="1509" spans="1:33" ht="16.5" customHeight="1" x14ac:dyDescent="0.2">
      <c r="A1509" s="2" t="s">
        <v>31</v>
      </c>
      <c r="B1509" s="19" t="s">
        <v>50</v>
      </c>
      <c r="C1509" s="19"/>
      <c r="D1509" s="19"/>
      <c r="E1509" s="20" t="s">
        <v>33</v>
      </c>
      <c r="F1509" s="20"/>
      <c r="G1509" s="21" t="s">
        <v>3187</v>
      </c>
      <c r="H1509" s="21"/>
      <c r="I1509" s="21"/>
      <c r="J1509" s="3" t="s">
        <v>35</v>
      </c>
      <c r="K1509" s="4" t="s">
        <v>169</v>
      </c>
      <c r="L1509" s="4" t="s">
        <v>37</v>
      </c>
      <c r="N1509" s="21" t="s">
        <v>3265</v>
      </c>
      <c r="O1509" s="21"/>
      <c r="P1509" s="21" t="s">
        <v>3266</v>
      </c>
      <c r="Q1509" s="21"/>
      <c r="R1509" s="21"/>
      <c r="S1509" s="3" t="s">
        <v>40</v>
      </c>
      <c r="T1509" s="21" t="s">
        <v>41</v>
      </c>
      <c r="U1509" s="21"/>
      <c r="V1509" s="4" t="s">
        <v>42</v>
      </c>
      <c r="W1509" s="4" t="s">
        <v>261</v>
      </c>
      <c r="X1509" s="4" t="s">
        <v>262</v>
      </c>
      <c r="Y1509" s="21" t="s">
        <v>56</v>
      </c>
      <c r="Z1509" s="21"/>
      <c r="AA1509" s="4" t="s">
        <v>46</v>
      </c>
      <c r="AB1509" s="4" t="s">
        <v>47</v>
      </c>
      <c r="AC1509" s="4" t="s">
        <v>139</v>
      </c>
      <c r="AD1509" s="4" t="s">
        <v>140</v>
      </c>
      <c r="AE1509" s="4" t="s">
        <v>48</v>
      </c>
      <c r="AF1509" s="4" t="s">
        <v>41</v>
      </c>
      <c r="AG1509" s="4" t="s">
        <v>3190</v>
      </c>
    </row>
    <row r="1510" spans="1:33" ht="16.5" customHeight="1" x14ac:dyDescent="0.2">
      <c r="A1510" s="2" t="s">
        <v>31</v>
      </c>
      <c r="B1510" s="19" t="s">
        <v>50</v>
      </c>
      <c r="C1510" s="19"/>
      <c r="D1510" s="19"/>
      <c r="E1510" s="20" t="s">
        <v>33</v>
      </c>
      <c r="F1510" s="20"/>
      <c r="G1510" s="21" t="s">
        <v>3187</v>
      </c>
      <c r="H1510" s="21"/>
      <c r="I1510" s="21"/>
      <c r="J1510" s="3" t="s">
        <v>35</v>
      </c>
      <c r="K1510" s="4" t="s">
        <v>169</v>
      </c>
      <c r="L1510" s="4" t="s">
        <v>37</v>
      </c>
      <c r="N1510" s="21" t="s">
        <v>3267</v>
      </c>
      <c r="O1510" s="21"/>
      <c r="P1510" s="21" t="s">
        <v>3268</v>
      </c>
      <c r="Q1510" s="21"/>
      <c r="R1510" s="21"/>
      <c r="S1510" s="3" t="s">
        <v>40</v>
      </c>
      <c r="T1510" s="21" t="s">
        <v>41</v>
      </c>
      <c r="U1510" s="21"/>
      <c r="V1510" s="4" t="s">
        <v>42</v>
      </c>
      <c r="W1510" s="4" t="s">
        <v>261</v>
      </c>
      <c r="X1510" s="4" t="s">
        <v>262</v>
      </c>
      <c r="Y1510" s="21" t="s">
        <v>56</v>
      </c>
      <c r="Z1510" s="21"/>
      <c r="AA1510" s="4" t="s">
        <v>46</v>
      </c>
      <c r="AB1510" s="4" t="s">
        <v>47</v>
      </c>
      <c r="AC1510" s="4" t="s">
        <v>139</v>
      </c>
      <c r="AD1510" s="4" t="s">
        <v>140</v>
      </c>
      <c r="AE1510" s="4" t="s">
        <v>48</v>
      </c>
      <c r="AF1510" s="4" t="s">
        <v>41</v>
      </c>
      <c r="AG1510" s="4" t="s">
        <v>3190</v>
      </c>
    </row>
    <row r="1511" spans="1:33" ht="16.5" customHeight="1" x14ac:dyDescent="0.2">
      <c r="A1511" s="2" t="s">
        <v>31</v>
      </c>
      <c r="B1511" s="19" t="s">
        <v>50</v>
      </c>
      <c r="C1511" s="19"/>
      <c r="D1511" s="19"/>
      <c r="E1511" s="20" t="s">
        <v>33</v>
      </c>
      <c r="F1511" s="20"/>
      <c r="G1511" s="21" t="s">
        <v>3187</v>
      </c>
      <c r="H1511" s="21"/>
      <c r="I1511" s="21"/>
      <c r="J1511" s="3" t="s">
        <v>35</v>
      </c>
      <c r="K1511" s="4" t="s">
        <v>152</v>
      </c>
      <c r="L1511" s="4" t="s">
        <v>68</v>
      </c>
      <c r="N1511" s="21" t="s">
        <v>3269</v>
      </c>
      <c r="O1511" s="21"/>
      <c r="P1511" s="21" t="s">
        <v>3270</v>
      </c>
      <c r="Q1511" s="21"/>
      <c r="R1511" s="21"/>
      <c r="S1511" s="3" t="s">
        <v>40</v>
      </c>
      <c r="T1511" s="21" t="s">
        <v>41</v>
      </c>
      <c r="U1511" s="21"/>
      <c r="V1511" s="4" t="s">
        <v>42</v>
      </c>
      <c r="W1511" s="4" t="s">
        <v>209</v>
      </c>
      <c r="X1511" s="4" t="s">
        <v>210</v>
      </c>
      <c r="Y1511" s="21" t="s">
        <v>56</v>
      </c>
      <c r="Z1511" s="21"/>
      <c r="AA1511" s="4" t="s">
        <v>46</v>
      </c>
      <c r="AB1511" s="4" t="s">
        <v>47</v>
      </c>
      <c r="AC1511" s="4" t="s">
        <v>139</v>
      </c>
      <c r="AD1511" s="4" t="s">
        <v>151</v>
      </c>
      <c r="AE1511" s="4" t="s">
        <v>48</v>
      </c>
      <c r="AF1511" s="4" t="s">
        <v>41</v>
      </c>
      <c r="AG1511" s="4" t="s">
        <v>3190</v>
      </c>
    </row>
    <row r="1512" spans="1:33" ht="16.5" customHeight="1" x14ac:dyDescent="0.2">
      <c r="A1512" s="2" t="s">
        <v>31</v>
      </c>
      <c r="B1512" s="19" t="s">
        <v>50</v>
      </c>
      <c r="C1512" s="19"/>
      <c r="D1512" s="19"/>
      <c r="E1512" s="20" t="s">
        <v>33</v>
      </c>
      <c r="F1512" s="20"/>
      <c r="G1512" s="21" t="s">
        <v>3187</v>
      </c>
      <c r="H1512" s="21"/>
      <c r="I1512" s="21"/>
      <c r="J1512" s="3" t="s">
        <v>35</v>
      </c>
      <c r="K1512" s="4" t="s">
        <v>146</v>
      </c>
      <c r="L1512" s="4" t="s">
        <v>37</v>
      </c>
      <c r="N1512" s="21" t="s">
        <v>3271</v>
      </c>
      <c r="O1512" s="21"/>
      <c r="P1512" s="21" t="s">
        <v>3272</v>
      </c>
      <c r="Q1512" s="21"/>
      <c r="R1512" s="21"/>
      <c r="S1512" s="3" t="s">
        <v>40</v>
      </c>
      <c r="T1512" s="21" t="s">
        <v>41</v>
      </c>
      <c r="U1512" s="21"/>
      <c r="V1512" s="4" t="s">
        <v>42</v>
      </c>
      <c r="W1512" s="4" t="s">
        <v>272</v>
      </c>
      <c r="X1512" s="4" t="s">
        <v>273</v>
      </c>
      <c r="Y1512" s="21" t="s">
        <v>138</v>
      </c>
      <c r="Z1512" s="21"/>
      <c r="AA1512" s="4" t="s">
        <v>46</v>
      </c>
      <c r="AB1512" s="4" t="s">
        <v>47</v>
      </c>
      <c r="AC1512" s="4" t="s">
        <v>139</v>
      </c>
      <c r="AD1512" s="4" t="s">
        <v>140</v>
      </c>
      <c r="AE1512" s="4" t="s">
        <v>48</v>
      </c>
      <c r="AF1512" s="4" t="s">
        <v>41</v>
      </c>
      <c r="AG1512" s="4" t="s">
        <v>3190</v>
      </c>
    </row>
    <row r="1513" spans="1:33" ht="16.5" customHeight="1" x14ac:dyDescent="0.2">
      <c r="A1513" s="2" t="s">
        <v>31</v>
      </c>
      <c r="B1513" s="19" t="s">
        <v>50</v>
      </c>
      <c r="C1513" s="19"/>
      <c r="D1513" s="19"/>
      <c r="E1513" s="20" t="s">
        <v>33</v>
      </c>
      <c r="F1513" s="20"/>
      <c r="G1513" s="21" t="s">
        <v>3187</v>
      </c>
      <c r="H1513" s="21"/>
      <c r="I1513" s="21"/>
      <c r="J1513" s="3" t="s">
        <v>35</v>
      </c>
      <c r="K1513" s="4" t="s">
        <v>152</v>
      </c>
      <c r="L1513" s="4" t="s">
        <v>68</v>
      </c>
      <c r="N1513" s="21" t="s">
        <v>3273</v>
      </c>
      <c r="O1513" s="21"/>
      <c r="P1513" s="21" t="s">
        <v>3274</v>
      </c>
      <c r="Q1513" s="21"/>
      <c r="R1513" s="21"/>
      <c r="S1513" s="3" t="s">
        <v>40</v>
      </c>
      <c r="T1513" s="21" t="s">
        <v>41</v>
      </c>
      <c r="U1513" s="21"/>
      <c r="V1513" s="4" t="s">
        <v>42</v>
      </c>
      <c r="W1513" s="4" t="s">
        <v>1103</v>
      </c>
      <c r="X1513" s="4" t="s">
        <v>1104</v>
      </c>
      <c r="Y1513" s="21" t="s">
        <v>56</v>
      </c>
      <c r="Z1513" s="21"/>
      <c r="AA1513" s="4" t="s">
        <v>46</v>
      </c>
      <c r="AB1513" s="4" t="s">
        <v>47</v>
      </c>
      <c r="AC1513" s="4" t="s">
        <v>139</v>
      </c>
      <c r="AD1513" s="4" t="s">
        <v>151</v>
      </c>
      <c r="AE1513" s="4" t="s">
        <v>48</v>
      </c>
      <c r="AF1513" s="4" t="s">
        <v>41</v>
      </c>
      <c r="AG1513" s="4" t="s">
        <v>3190</v>
      </c>
    </row>
    <row r="1514" spans="1:33" ht="16.5" customHeight="1" x14ac:dyDescent="0.2">
      <c r="A1514" s="2" t="s">
        <v>31</v>
      </c>
      <c r="B1514" s="19" t="s">
        <v>50</v>
      </c>
      <c r="C1514" s="19"/>
      <c r="D1514" s="19"/>
      <c r="E1514" s="20" t="s">
        <v>33</v>
      </c>
      <c r="F1514" s="20"/>
      <c r="G1514" s="21" t="s">
        <v>3187</v>
      </c>
      <c r="H1514" s="21"/>
      <c r="I1514" s="21"/>
      <c r="J1514" s="3" t="s">
        <v>35</v>
      </c>
      <c r="K1514" s="4" t="s">
        <v>152</v>
      </c>
      <c r="L1514" s="4" t="s">
        <v>37</v>
      </c>
      <c r="N1514" s="21" t="s">
        <v>3275</v>
      </c>
      <c r="O1514" s="21"/>
      <c r="P1514" s="21" t="s">
        <v>3276</v>
      </c>
      <c r="Q1514" s="21"/>
      <c r="R1514" s="21"/>
      <c r="S1514" s="3" t="s">
        <v>40</v>
      </c>
      <c r="T1514" s="21" t="s">
        <v>41</v>
      </c>
      <c r="U1514" s="21"/>
      <c r="V1514" s="4" t="s">
        <v>42</v>
      </c>
      <c r="W1514" s="4" t="s">
        <v>823</v>
      </c>
      <c r="X1514" s="4" t="s">
        <v>791</v>
      </c>
      <c r="Y1514" s="21" t="s">
        <v>56</v>
      </c>
      <c r="Z1514" s="21"/>
      <c r="AA1514" s="4" t="s">
        <v>46</v>
      </c>
      <c r="AB1514" s="4" t="s">
        <v>47</v>
      </c>
      <c r="AC1514" s="4" t="s">
        <v>139</v>
      </c>
      <c r="AD1514" s="4" t="s">
        <v>140</v>
      </c>
      <c r="AE1514" s="4" t="s">
        <v>48</v>
      </c>
      <c r="AF1514" s="4" t="s">
        <v>41</v>
      </c>
      <c r="AG1514" s="4" t="s">
        <v>3190</v>
      </c>
    </row>
    <row r="1515" spans="1:33" ht="16.5" customHeight="1" x14ac:dyDescent="0.2">
      <c r="A1515" s="2" t="s">
        <v>31</v>
      </c>
      <c r="B1515" s="19" t="s">
        <v>50</v>
      </c>
      <c r="C1515" s="19"/>
      <c r="D1515" s="19"/>
      <c r="E1515" s="20" t="s">
        <v>33</v>
      </c>
      <c r="F1515" s="20"/>
      <c r="G1515" s="21" t="s">
        <v>3187</v>
      </c>
      <c r="H1515" s="21"/>
      <c r="I1515" s="21"/>
      <c r="J1515" s="3" t="s">
        <v>35</v>
      </c>
      <c r="K1515" s="4" t="s">
        <v>146</v>
      </c>
      <c r="L1515" s="4" t="s">
        <v>68</v>
      </c>
      <c r="N1515" s="21" t="s">
        <v>3277</v>
      </c>
      <c r="O1515" s="21"/>
      <c r="P1515" s="21" t="s">
        <v>3278</v>
      </c>
      <c r="Q1515" s="21"/>
      <c r="R1515" s="21"/>
      <c r="S1515" s="3" t="s">
        <v>40</v>
      </c>
      <c r="T1515" s="21" t="s">
        <v>41</v>
      </c>
      <c r="U1515" s="21"/>
      <c r="V1515" s="4" t="s">
        <v>42</v>
      </c>
      <c r="W1515" s="4" t="s">
        <v>636</v>
      </c>
      <c r="X1515" s="4" t="s">
        <v>637</v>
      </c>
      <c r="Y1515" s="21" t="s">
        <v>138</v>
      </c>
      <c r="Z1515" s="21"/>
      <c r="AA1515" s="4" t="s">
        <v>46</v>
      </c>
      <c r="AB1515" s="4" t="s">
        <v>47</v>
      </c>
      <c r="AC1515" s="4" t="s">
        <v>139</v>
      </c>
      <c r="AD1515" s="4" t="s">
        <v>151</v>
      </c>
      <c r="AE1515" s="4" t="s">
        <v>48</v>
      </c>
      <c r="AF1515" s="4" t="s">
        <v>41</v>
      </c>
      <c r="AG1515" s="4" t="s">
        <v>3190</v>
      </c>
    </row>
    <row r="1516" spans="1:33" ht="16.5" customHeight="1" x14ac:dyDescent="0.2">
      <c r="A1516" s="2" t="s">
        <v>31</v>
      </c>
      <c r="B1516" s="19" t="s">
        <v>50</v>
      </c>
      <c r="C1516" s="19"/>
      <c r="D1516" s="19"/>
      <c r="E1516" s="20" t="s">
        <v>33</v>
      </c>
      <c r="F1516" s="20"/>
      <c r="G1516" s="21" t="s">
        <v>3187</v>
      </c>
      <c r="H1516" s="21"/>
      <c r="I1516" s="21"/>
      <c r="J1516" s="3" t="s">
        <v>35</v>
      </c>
      <c r="K1516" s="4" t="s">
        <v>152</v>
      </c>
      <c r="L1516" s="4" t="s">
        <v>37</v>
      </c>
      <c r="N1516" s="21" t="s">
        <v>3279</v>
      </c>
      <c r="O1516" s="21"/>
      <c r="P1516" s="21" t="s">
        <v>3280</v>
      </c>
      <c r="Q1516" s="21"/>
      <c r="R1516" s="21"/>
      <c r="S1516" s="3" t="s">
        <v>40</v>
      </c>
      <c r="T1516" s="21" t="s">
        <v>41</v>
      </c>
      <c r="U1516" s="21"/>
      <c r="V1516" s="4" t="s">
        <v>42</v>
      </c>
      <c r="W1516" s="4" t="s">
        <v>469</v>
      </c>
      <c r="X1516" s="4" t="s">
        <v>470</v>
      </c>
      <c r="Y1516" s="21" t="s">
        <v>56</v>
      </c>
      <c r="Z1516" s="21"/>
      <c r="AA1516" s="4" t="s">
        <v>46</v>
      </c>
      <c r="AB1516" s="4" t="s">
        <v>47</v>
      </c>
      <c r="AC1516" s="4" t="s">
        <v>139</v>
      </c>
      <c r="AD1516" s="4" t="s">
        <v>140</v>
      </c>
      <c r="AE1516" s="4" t="s">
        <v>48</v>
      </c>
      <c r="AF1516" s="4" t="s">
        <v>41</v>
      </c>
      <c r="AG1516" s="4" t="s">
        <v>3190</v>
      </c>
    </row>
    <row r="1517" spans="1:33" ht="16.5" customHeight="1" x14ac:dyDescent="0.2">
      <c r="A1517" s="2" t="s">
        <v>31</v>
      </c>
      <c r="B1517" s="19" t="s">
        <v>50</v>
      </c>
      <c r="C1517" s="19"/>
      <c r="D1517" s="19"/>
      <c r="E1517" s="20" t="s">
        <v>33</v>
      </c>
      <c r="F1517" s="20"/>
      <c r="G1517" s="21" t="s">
        <v>3187</v>
      </c>
      <c r="H1517" s="21"/>
      <c r="I1517" s="21"/>
      <c r="J1517" s="3" t="s">
        <v>35</v>
      </c>
      <c r="K1517" s="4" t="s">
        <v>61</v>
      </c>
      <c r="L1517" s="4" t="s">
        <v>37</v>
      </c>
      <c r="N1517" s="21" t="s">
        <v>3281</v>
      </c>
      <c r="O1517" s="21"/>
      <c r="P1517" s="21" t="s">
        <v>3282</v>
      </c>
      <c r="Q1517" s="21"/>
      <c r="R1517" s="21"/>
      <c r="S1517" s="3" t="s">
        <v>40</v>
      </c>
      <c r="T1517" s="21" t="s">
        <v>41</v>
      </c>
      <c r="U1517" s="21"/>
      <c r="V1517" s="4" t="s">
        <v>59</v>
      </c>
      <c r="W1517" s="4" t="s">
        <v>1119</v>
      </c>
      <c r="X1517" s="4" t="s">
        <v>2245</v>
      </c>
      <c r="Y1517" s="21" t="s">
        <v>65</v>
      </c>
      <c r="Z1517" s="21"/>
      <c r="AA1517" s="4" t="s">
        <v>46</v>
      </c>
      <c r="AB1517" s="4" t="s">
        <v>47</v>
      </c>
      <c r="AC1517" s="4" t="s">
        <v>57</v>
      </c>
      <c r="AD1517" s="4" t="s">
        <v>58</v>
      </c>
      <c r="AE1517" s="4" t="s">
        <v>48</v>
      </c>
      <c r="AF1517" s="4" t="s">
        <v>41</v>
      </c>
      <c r="AG1517" s="4" t="s">
        <v>3190</v>
      </c>
    </row>
    <row r="1518" spans="1:33" ht="16.5" customHeight="1" x14ac:dyDescent="0.2">
      <c r="A1518" s="2" t="s">
        <v>31</v>
      </c>
      <c r="B1518" s="19" t="s">
        <v>50</v>
      </c>
      <c r="C1518" s="19"/>
      <c r="D1518" s="19"/>
      <c r="E1518" s="20" t="s">
        <v>33</v>
      </c>
      <c r="F1518" s="20"/>
      <c r="G1518" s="21" t="s">
        <v>3187</v>
      </c>
      <c r="H1518" s="21"/>
      <c r="I1518" s="21"/>
      <c r="J1518" s="3" t="s">
        <v>35</v>
      </c>
      <c r="K1518" s="4" t="s">
        <v>169</v>
      </c>
      <c r="L1518" s="4" t="s">
        <v>37</v>
      </c>
      <c r="N1518" s="21" t="s">
        <v>3283</v>
      </c>
      <c r="O1518" s="21"/>
      <c r="P1518" s="21" t="s">
        <v>3284</v>
      </c>
      <c r="Q1518" s="21"/>
      <c r="R1518" s="21"/>
      <c r="S1518" s="3" t="s">
        <v>40</v>
      </c>
      <c r="T1518" s="21" t="s">
        <v>41</v>
      </c>
      <c r="U1518" s="21"/>
      <c r="V1518" s="4" t="s">
        <v>42</v>
      </c>
      <c r="W1518" s="4" t="s">
        <v>54</v>
      </c>
      <c r="X1518" s="4" t="s">
        <v>55</v>
      </c>
      <c r="Y1518" s="21" t="s">
        <v>56</v>
      </c>
      <c r="Z1518" s="21"/>
      <c r="AA1518" s="4" t="s">
        <v>46</v>
      </c>
      <c r="AB1518" s="4" t="s">
        <v>47</v>
      </c>
      <c r="AC1518" s="4" t="s">
        <v>57</v>
      </c>
      <c r="AD1518" s="4" t="s">
        <v>58</v>
      </c>
      <c r="AE1518" s="4" t="s">
        <v>48</v>
      </c>
      <c r="AF1518" s="4" t="s">
        <v>41</v>
      </c>
      <c r="AG1518" s="4" t="s">
        <v>3190</v>
      </c>
    </row>
    <row r="1519" spans="1:33" ht="16.5" customHeight="1" x14ac:dyDescent="0.2">
      <c r="A1519" s="2" t="s">
        <v>31</v>
      </c>
      <c r="B1519" s="19" t="s">
        <v>50</v>
      </c>
      <c r="C1519" s="19"/>
      <c r="D1519" s="19"/>
      <c r="E1519" s="20" t="s">
        <v>33</v>
      </c>
      <c r="F1519" s="20"/>
      <c r="G1519" s="21" t="s">
        <v>3187</v>
      </c>
      <c r="H1519" s="21"/>
      <c r="I1519" s="21"/>
      <c r="J1519" s="3" t="s">
        <v>35</v>
      </c>
      <c r="K1519" s="4" t="s">
        <v>661</v>
      </c>
      <c r="L1519" s="4" t="s">
        <v>37</v>
      </c>
      <c r="N1519" s="21" t="s">
        <v>3285</v>
      </c>
      <c r="O1519" s="21"/>
      <c r="P1519" s="21" t="s">
        <v>3286</v>
      </c>
      <c r="Q1519" s="21"/>
      <c r="R1519" s="21"/>
      <c r="S1519" s="3" t="s">
        <v>40</v>
      </c>
      <c r="T1519" s="21" t="s">
        <v>41</v>
      </c>
      <c r="U1519" s="21"/>
      <c r="V1519" s="4" t="s">
        <v>42</v>
      </c>
      <c r="W1519" s="4" t="s">
        <v>43</v>
      </c>
      <c r="X1519" s="4" t="s">
        <v>44</v>
      </c>
      <c r="Y1519" s="21" t="s">
        <v>198</v>
      </c>
      <c r="Z1519" s="21"/>
      <c r="AA1519" s="4" t="s">
        <v>46</v>
      </c>
      <c r="AB1519" s="4" t="s">
        <v>47</v>
      </c>
      <c r="AC1519" s="4" t="s">
        <v>257</v>
      </c>
      <c r="AD1519" s="4" t="s">
        <v>258</v>
      </c>
      <c r="AE1519" s="4" t="s">
        <v>48</v>
      </c>
      <c r="AF1519" s="4" t="s">
        <v>41</v>
      </c>
      <c r="AG1519" s="4" t="s">
        <v>3190</v>
      </c>
    </row>
    <row r="1520" spans="1:33" ht="16.5" customHeight="1" x14ac:dyDescent="0.2">
      <c r="A1520" s="2" t="s">
        <v>31</v>
      </c>
      <c r="B1520" s="19" t="s">
        <v>50</v>
      </c>
      <c r="C1520" s="19"/>
      <c r="D1520" s="19"/>
      <c r="E1520" s="20" t="s">
        <v>33</v>
      </c>
      <c r="F1520" s="20"/>
      <c r="G1520" s="21" t="s">
        <v>3187</v>
      </c>
      <c r="H1520" s="21"/>
      <c r="I1520" s="21"/>
      <c r="J1520" s="3" t="s">
        <v>35</v>
      </c>
      <c r="K1520" s="4" t="s">
        <v>169</v>
      </c>
      <c r="L1520" s="4" t="s">
        <v>37</v>
      </c>
      <c r="N1520" s="21" t="s">
        <v>3287</v>
      </c>
      <c r="O1520" s="21"/>
      <c r="P1520" s="21" t="s">
        <v>3288</v>
      </c>
      <c r="Q1520" s="21"/>
      <c r="R1520" s="21"/>
      <c r="S1520" s="3" t="s">
        <v>40</v>
      </c>
      <c r="T1520" s="21" t="s">
        <v>41</v>
      </c>
      <c r="U1520" s="21"/>
      <c r="V1520" s="4" t="s">
        <v>42</v>
      </c>
      <c r="W1520" s="4" t="s">
        <v>43</v>
      </c>
      <c r="X1520" s="4" t="s">
        <v>44</v>
      </c>
      <c r="Y1520" s="21" t="s">
        <v>56</v>
      </c>
      <c r="Z1520" s="21"/>
      <c r="AA1520" s="4" t="s">
        <v>46</v>
      </c>
      <c r="AB1520" s="4" t="s">
        <v>47</v>
      </c>
      <c r="AC1520" s="4" t="s">
        <v>139</v>
      </c>
      <c r="AD1520" s="4" t="s">
        <v>140</v>
      </c>
      <c r="AE1520" s="4" t="s">
        <v>48</v>
      </c>
      <c r="AF1520" s="4" t="s">
        <v>41</v>
      </c>
      <c r="AG1520" s="4" t="s">
        <v>3190</v>
      </c>
    </row>
    <row r="1521" spans="1:33" ht="16.5" customHeight="1" x14ac:dyDescent="0.2">
      <c r="A1521" s="2" t="s">
        <v>31</v>
      </c>
      <c r="B1521" s="19" t="s">
        <v>50</v>
      </c>
      <c r="C1521" s="19"/>
      <c r="D1521" s="19"/>
      <c r="E1521" s="20" t="s">
        <v>33</v>
      </c>
      <c r="F1521" s="20"/>
      <c r="G1521" s="21" t="s">
        <v>3187</v>
      </c>
      <c r="H1521" s="21"/>
      <c r="I1521" s="21"/>
      <c r="J1521" s="3" t="s">
        <v>35</v>
      </c>
      <c r="K1521" s="4" t="s">
        <v>169</v>
      </c>
      <c r="L1521" s="4" t="s">
        <v>37</v>
      </c>
      <c r="N1521" s="21" t="s">
        <v>3289</v>
      </c>
      <c r="O1521" s="21"/>
      <c r="P1521" s="21" t="s">
        <v>3290</v>
      </c>
      <c r="Q1521" s="21"/>
      <c r="R1521" s="21"/>
      <c r="S1521" s="3" t="s">
        <v>40</v>
      </c>
      <c r="T1521" s="21" t="s">
        <v>41</v>
      </c>
      <c r="U1521" s="21"/>
      <c r="V1521" s="4" t="s">
        <v>42</v>
      </c>
      <c r="W1521" s="4" t="s">
        <v>325</v>
      </c>
      <c r="X1521" s="4" t="s">
        <v>319</v>
      </c>
      <c r="Y1521" s="21" t="s">
        <v>56</v>
      </c>
      <c r="Z1521" s="21"/>
      <c r="AA1521" s="4" t="s">
        <v>46</v>
      </c>
      <c r="AB1521" s="4" t="s">
        <v>47</v>
      </c>
      <c r="AC1521" s="4" t="s">
        <v>139</v>
      </c>
      <c r="AD1521" s="4" t="s">
        <v>140</v>
      </c>
      <c r="AE1521" s="4" t="s">
        <v>48</v>
      </c>
      <c r="AF1521" s="4" t="s">
        <v>41</v>
      </c>
      <c r="AG1521" s="4" t="s">
        <v>3190</v>
      </c>
    </row>
    <row r="1522" spans="1:33" ht="16.5" customHeight="1" x14ac:dyDescent="0.2">
      <c r="A1522" s="2" t="s">
        <v>31</v>
      </c>
      <c r="B1522" s="19" t="s">
        <v>50</v>
      </c>
      <c r="C1522" s="19"/>
      <c r="D1522" s="19"/>
      <c r="E1522" s="20" t="s">
        <v>33</v>
      </c>
      <c r="F1522" s="20"/>
      <c r="G1522" s="21" t="s">
        <v>3187</v>
      </c>
      <c r="H1522" s="21"/>
      <c r="I1522" s="21"/>
      <c r="J1522" s="3" t="s">
        <v>35</v>
      </c>
      <c r="K1522" s="4" t="s">
        <v>169</v>
      </c>
      <c r="L1522" s="4" t="s">
        <v>37</v>
      </c>
      <c r="N1522" s="21" t="s">
        <v>3291</v>
      </c>
      <c r="O1522" s="21"/>
      <c r="P1522" s="21" t="s">
        <v>3292</v>
      </c>
      <c r="Q1522" s="21"/>
      <c r="R1522" s="21"/>
      <c r="S1522" s="3" t="s">
        <v>40</v>
      </c>
      <c r="T1522" s="21" t="s">
        <v>41</v>
      </c>
      <c r="U1522" s="21"/>
      <c r="V1522" s="4" t="s">
        <v>42</v>
      </c>
      <c r="W1522" s="4" t="s">
        <v>1008</v>
      </c>
      <c r="X1522" s="4" t="s">
        <v>1009</v>
      </c>
      <c r="Y1522" s="21" t="s">
        <v>56</v>
      </c>
      <c r="Z1522" s="21"/>
      <c r="AA1522" s="4" t="s">
        <v>46</v>
      </c>
      <c r="AB1522" s="4" t="s">
        <v>47</v>
      </c>
      <c r="AC1522" s="4" t="s">
        <v>139</v>
      </c>
      <c r="AD1522" s="4" t="s">
        <v>140</v>
      </c>
      <c r="AE1522" s="4" t="s">
        <v>48</v>
      </c>
      <c r="AF1522" s="4" t="s">
        <v>41</v>
      </c>
      <c r="AG1522" s="4" t="s">
        <v>3190</v>
      </c>
    </row>
    <row r="1523" spans="1:33" ht="16.5" customHeight="1" x14ac:dyDescent="0.2">
      <c r="A1523" s="2" t="s">
        <v>31</v>
      </c>
      <c r="B1523" s="19" t="s">
        <v>50</v>
      </c>
      <c r="C1523" s="19"/>
      <c r="D1523" s="19"/>
      <c r="E1523" s="20" t="s">
        <v>33</v>
      </c>
      <c r="F1523" s="20"/>
      <c r="G1523" s="21" t="s">
        <v>3187</v>
      </c>
      <c r="H1523" s="21"/>
      <c r="I1523" s="21"/>
      <c r="J1523" s="3" t="s">
        <v>35</v>
      </c>
      <c r="K1523" s="4" t="s">
        <v>133</v>
      </c>
      <c r="L1523" s="4" t="s">
        <v>37</v>
      </c>
      <c r="N1523" s="21" t="s">
        <v>3293</v>
      </c>
      <c r="O1523" s="21"/>
      <c r="P1523" s="21" t="s">
        <v>3294</v>
      </c>
      <c r="Q1523" s="21"/>
      <c r="R1523" s="21"/>
      <c r="S1523" s="3" t="s">
        <v>40</v>
      </c>
      <c r="T1523" s="21" t="s">
        <v>41</v>
      </c>
      <c r="U1523" s="21"/>
      <c r="V1523" s="4" t="s">
        <v>42</v>
      </c>
      <c r="W1523" s="4" t="s">
        <v>268</v>
      </c>
      <c r="X1523" s="4" t="s">
        <v>269</v>
      </c>
      <c r="Y1523" s="21" t="s">
        <v>138</v>
      </c>
      <c r="Z1523" s="21"/>
      <c r="AA1523" s="4" t="s">
        <v>46</v>
      </c>
      <c r="AB1523" s="4" t="s">
        <v>47</v>
      </c>
      <c r="AC1523" s="4" t="s">
        <v>139</v>
      </c>
      <c r="AD1523" s="4" t="s">
        <v>140</v>
      </c>
      <c r="AE1523" s="4" t="s">
        <v>48</v>
      </c>
      <c r="AF1523" s="4" t="s">
        <v>41</v>
      </c>
      <c r="AG1523" s="4" t="s">
        <v>3190</v>
      </c>
    </row>
    <row r="1524" spans="1:33" ht="16.5" customHeight="1" x14ac:dyDescent="0.2">
      <c r="A1524" s="2" t="s">
        <v>31</v>
      </c>
      <c r="B1524" s="19" t="s">
        <v>50</v>
      </c>
      <c r="C1524" s="19"/>
      <c r="D1524" s="19"/>
      <c r="E1524" s="20" t="s">
        <v>33</v>
      </c>
      <c r="F1524" s="20"/>
      <c r="G1524" s="21" t="s">
        <v>3187</v>
      </c>
      <c r="H1524" s="21"/>
      <c r="I1524" s="21"/>
      <c r="J1524" s="3" t="s">
        <v>35</v>
      </c>
      <c r="K1524" s="4" t="s">
        <v>169</v>
      </c>
      <c r="L1524" s="4" t="s">
        <v>68</v>
      </c>
      <c r="N1524" s="21" t="s">
        <v>3295</v>
      </c>
      <c r="O1524" s="21"/>
      <c r="P1524" s="21" t="s">
        <v>3296</v>
      </c>
      <c r="Q1524" s="21"/>
      <c r="R1524" s="21"/>
      <c r="S1524" s="3" t="s">
        <v>40</v>
      </c>
      <c r="T1524" s="21" t="s">
        <v>41</v>
      </c>
      <c r="U1524" s="21"/>
      <c r="V1524" s="4" t="s">
        <v>42</v>
      </c>
      <c r="W1524" s="4" t="s">
        <v>268</v>
      </c>
      <c r="X1524" s="4" t="s">
        <v>269</v>
      </c>
      <c r="Y1524" s="21" t="s">
        <v>56</v>
      </c>
      <c r="Z1524" s="21"/>
      <c r="AA1524" s="4" t="s">
        <v>46</v>
      </c>
      <c r="AB1524" s="4" t="s">
        <v>47</v>
      </c>
      <c r="AC1524" s="4" t="s">
        <v>139</v>
      </c>
      <c r="AD1524" s="4" t="s">
        <v>151</v>
      </c>
      <c r="AE1524" s="4" t="s">
        <v>48</v>
      </c>
      <c r="AF1524" s="4" t="s">
        <v>41</v>
      </c>
      <c r="AG1524" s="4" t="s">
        <v>3190</v>
      </c>
    </row>
    <row r="1525" spans="1:33" ht="16.5" customHeight="1" x14ac:dyDescent="0.2">
      <c r="A1525" s="2" t="s">
        <v>31</v>
      </c>
      <c r="B1525" s="19" t="s">
        <v>50</v>
      </c>
      <c r="C1525" s="19"/>
      <c r="D1525" s="19"/>
      <c r="E1525" s="20" t="s">
        <v>33</v>
      </c>
      <c r="F1525" s="20"/>
      <c r="G1525" s="21" t="s">
        <v>3187</v>
      </c>
      <c r="H1525" s="21"/>
      <c r="I1525" s="21"/>
      <c r="J1525" s="3" t="s">
        <v>35</v>
      </c>
      <c r="K1525" s="4" t="s">
        <v>620</v>
      </c>
      <c r="L1525" s="4" t="s">
        <v>37</v>
      </c>
      <c r="N1525" s="21" t="s">
        <v>3297</v>
      </c>
      <c r="O1525" s="21"/>
      <c r="P1525" s="21" t="s">
        <v>3298</v>
      </c>
      <c r="Q1525" s="21"/>
      <c r="R1525" s="21"/>
      <c r="S1525" s="3" t="s">
        <v>40</v>
      </c>
      <c r="T1525" s="21" t="s">
        <v>41</v>
      </c>
      <c r="U1525" s="21"/>
      <c r="V1525" s="4" t="s">
        <v>42</v>
      </c>
      <c r="W1525" s="4" t="s">
        <v>854</v>
      </c>
      <c r="X1525" s="4" t="s">
        <v>577</v>
      </c>
      <c r="Y1525" s="21" t="s">
        <v>56</v>
      </c>
      <c r="Z1525" s="21"/>
      <c r="AA1525" s="4" t="s">
        <v>46</v>
      </c>
      <c r="AB1525" s="4" t="s">
        <v>47</v>
      </c>
      <c r="AC1525" s="4" t="s">
        <v>139</v>
      </c>
      <c r="AD1525" s="4" t="s">
        <v>140</v>
      </c>
      <c r="AE1525" s="4" t="s">
        <v>48</v>
      </c>
      <c r="AF1525" s="4" t="s">
        <v>41</v>
      </c>
      <c r="AG1525" s="4" t="s">
        <v>3190</v>
      </c>
    </row>
    <row r="1526" spans="1:33" ht="16.5" customHeight="1" x14ac:dyDescent="0.2">
      <c r="A1526" s="2" t="s">
        <v>31</v>
      </c>
      <c r="B1526" s="19" t="s">
        <v>50</v>
      </c>
      <c r="C1526" s="19"/>
      <c r="D1526" s="19"/>
      <c r="E1526" s="20" t="s">
        <v>33</v>
      </c>
      <c r="F1526" s="20"/>
      <c r="G1526" s="21" t="s">
        <v>3187</v>
      </c>
      <c r="H1526" s="21"/>
      <c r="I1526" s="21"/>
      <c r="J1526" s="3" t="s">
        <v>35</v>
      </c>
      <c r="K1526" s="4" t="s">
        <v>152</v>
      </c>
      <c r="L1526" s="4" t="s">
        <v>37</v>
      </c>
      <c r="N1526" s="21" t="s">
        <v>3299</v>
      </c>
      <c r="O1526" s="21"/>
      <c r="P1526" s="21" t="s">
        <v>3300</v>
      </c>
      <c r="Q1526" s="21"/>
      <c r="R1526" s="21"/>
      <c r="S1526" s="3" t="s">
        <v>40</v>
      </c>
      <c r="T1526" s="21" t="s">
        <v>41</v>
      </c>
      <c r="U1526" s="21"/>
      <c r="V1526" s="4" t="s">
        <v>42</v>
      </c>
      <c r="W1526" s="4" t="s">
        <v>234</v>
      </c>
      <c r="X1526" s="4" t="s">
        <v>235</v>
      </c>
      <c r="Y1526" s="21" t="s">
        <v>56</v>
      </c>
      <c r="Z1526" s="21"/>
      <c r="AA1526" s="4" t="s">
        <v>46</v>
      </c>
      <c r="AB1526" s="4" t="s">
        <v>47</v>
      </c>
      <c r="AC1526" s="4" t="s">
        <v>139</v>
      </c>
      <c r="AD1526" s="4" t="s">
        <v>140</v>
      </c>
      <c r="AE1526" s="4" t="s">
        <v>48</v>
      </c>
      <c r="AF1526" s="4" t="s">
        <v>41</v>
      </c>
      <c r="AG1526" s="4" t="s">
        <v>3190</v>
      </c>
    </row>
    <row r="1527" spans="1:33" ht="16.5" customHeight="1" x14ac:dyDescent="0.2">
      <c r="A1527" s="2" t="s">
        <v>31</v>
      </c>
      <c r="B1527" s="19" t="s">
        <v>50</v>
      </c>
      <c r="C1527" s="19"/>
      <c r="D1527" s="19"/>
      <c r="E1527" s="20" t="s">
        <v>33</v>
      </c>
      <c r="F1527" s="20"/>
      <c r="G1527" s="21" t="s">
        <v>3187</v>
      </c>
      <c r="H1527" s="21"/>
      <c r="I1527" s="21"/>
      <c r="J1527" s="3" t="s">
        <v>35</v>
      </c>
      <c r="K1527" s="4" t="s">
        <v>169</v>
      </c>
      <c r="L1527" s="4" t="s">
        <v>37</v>
      </c>
      <c r="N1527" s="21" t="s">
        <v>3301</v>
      </c>
      <c r="O1527" s="21"/>
      <c r="P1527" s="21" t="s">
        <v>3302</v>
      </c>
      <c r="Q1527" s="21"/>
      <c r="R1527" s="21"/>
      <c r="S1527" s="3" t="s">
        <v>40</v>
      </c>
      <c r="T1527" s="21" t="s">
        <v>41</v>
      </c>
      <c r="U1527" s="21"/>
      <c r="V1527" s="4" t="s">
        <v>42</v>
      </c>
      <c r="W1527" s="4" t="s">
        <v>234</v>
      </c>
      <c r="X1527" s="4" t="s">
        <v>235</v>
      </c>
      <c r="Y1527" s="21" t="s">
        <v>56</v>
      </c>
      <c r="Z1527" s="21"/>
      <c r="AA1527" s="4" t="s">
        <v>46</v>
      </c>
      <c r="AB1527" s="4" t="s">
        <v>47</v>
      </c>
      <c r="AC1527" s="4" t="s">
        <v>139</v>
      </c>
      <c r="AD1527" s="4" t="s">
        <v>140</v>
      </c>
      <c r="AE1527" s="4" t="s">
        <v>48</v>
      </c>
      <c r="AF1527" s="4" t="s">
        <v>41</v>
      </c>
      <c r="AG1527" s="4" t="s">
        <v>3190</v>
      </c>
    </row>
    <row r="1528" spans="1:33" ht="16.5" customHeight="1" x14ac:dyDescent="0.2">
      <c r="A1528" s="2" t="s">
        <v>31</v>
      </c>
      <c r="B1528" s="19" t="s">
        <v>50</v>
      </c>
      <c r="C1528" s="19"/>
      <c r="D1528" s="19"/>
      <c r="E1528" s="20" t="s">
        <v>33</v>
      </c>
      <c r="F1528" s="20"/>
      <c r="G1528" s="21" t="s">
        <v>3187</v>
      </c>
      <c r="H1528" s="21"/>
      <c r="I1528" s="21"/>
      <c r="J1528" s="3" t="s">
        <v>35</v>
      </c>
      <c r="K1528" s="4" t="s">
        <v>661</v>
      </c>
      <c r="L1528" s="4" t="s">
        <v>37</v>
      </c>
      <c r="N1528" s="21" t="s">
        <v>3303</v>
      </c>
      <c r="O1528" s="21"/>
      <c r="P1528" s="21" t="s">
        <v>3304</v>
      </c>
      <c r="Q1528" s="21"/>
      <c r="R1528" s="21"/>
      <c r="S1528" s="3" t="s">
        <v>40</v>
      </c>
      <c r="T1528" s="21" t="s">
        <v>41</v>
      </c>
      <c r="U1528" s="21"/>
      <c r="V1528" s="4" t="s">
        <v>42</v>
      </c>
      <c r="W1528" s="4" t="s">
        <v>350</v>
      </c>
      <c r="X1528" s="4" t="s">
        <v>339</v>
      </c>
      <c r="Y1528" s="21" t="s">
        <v>198</v>
      </c>
      <c r="Z1528" s="21"/>
      <c r="AA1528" s="4" t="s">
        <v>46</v>
      </c>
      <c r="AB1528" s="4" t="s">
        <v>47</v>
      </c>
      <c r="AC1528" s="4" t="s">
        <v>257</v>
      </c>
      <c r="AD1528" s="4" t="s">
        <v>258</v>
      </c>
      <c r="AE1528" s="4" t="s">
        <v>48</v>
      </c>
      <c r="AF1528" s="4" t="s">
        <v>41</v>
      </c>
      <c r="AG1528" s="4" t="s">
        <v>3190</v>
      </c>
    </row>
    <row r="1529" spans="1:33" ht="16.5" customHeight="1" x14ac:dyDescent="0.2">
      <c r="A1529" s="2" t="s">
        <v>31</v>
      </c>
      <c r="B1529" s="19" t="s">
        <v>50</v>
      </c>
      <c r="C1529" s="19"/>
      <c r="D1529" s="19"/>
      <c r="E1529" s="20" t="s">
        <v>33</v>
      </c>
      <c r="F1529" s="20"/>
      <c r="G1529" s="21" t="s">
        <v>3187</v>
      </c>
      <c r="H1529" s="21"/>
      <c r="I1529" s="21"/>
      <c r="J1529" s="3" t="s">
        <v>35</v>
      </c>
      <c r="K1529" s="4" t="s">
        <v>51</v>
      </c>
      <c r="L1529" s="4" t="s">
        <v>37</v>
      </c>
      <c r="N1529" s="21" t="s">
        <v>3305</v>
      </c>
      <c r="O1529" s="21"/>
      <c r="P1529" s="21" t="s">
        <v>3306</v>
      </c>
      <c r="Q1529" s="21"/>
      <c r="R1529" s="21"/>
      <c r="S1529" s="3" t="s">
        <v>40</v>
      </c>
      <c r="T1529" s="21" t="s">
        <v>41</v>
      </c>
      <c r="U1529" s="21"/>
      <c r="V1529" s="4" t="s">
        <v>42</v>
      </c>
      <c r="W1529" s="4" t="s">
        <v>350</v>
      </c>
      <c r="X1529" s="4" t="s">
        <v>339</v>
      </c>
      <c r="Y1529" s="21" t="s">
        <v>56</v>
      </c>
      <c r="Z1529" s="21"/>
      <c r="AA1529" s="4" t="s">
        <v>46</v>
      </c>
      <c r="AB1529" s="4" t="s">
        <v>47</v>
      </c>
      <c r="AC1529" s="4" t="s">
        <v>139</v>
      </c>
      <c r="AD1529" s="4" t="s">
        <v>140</v>
      </c>
      <c r="AE1529" s="4" t="s">
        <v>48</v>
      </c>
      <c r="AF1529" s="4" t="s">
        <v>41</v>
      </c>
      <c r="AG1529" s="4" t="s">
        <v>3190</v>
      </c>
    </row>
    <row r="1530" spans="1:33" ht="16.5" customHeight="1" x14ac:dyDescent="0.2">
      <c r="A1530" s="2" t="s">
        <v>31</v>
      </c>
      <c r="B1530" s="19" t="s">
        <v>50</v>
      </c>
      <c r="C1530" s="19"/>
      <c r="D1530" s="19"/>
      <c r="E1530" s="20" t="s">
        <v>33</v>
      </c>
      <c r="F1530" s="20"/>
      <c r="G1530" s="21" t="s">
        <v>3187</v>
      </c>
      <c r="H1530" s="21"/>
      <c r="I1530" s="21"/>
      <c r="J1530" s="3" t="s">
        <v>35</v>
      </c>
      <c r="K1530" s="4" t="s">
        <v>152</v>
      </c>
      <c r="L1530" s="4" t="s">
        <v>37</v>
      </c>
      <c r="N1530" s="21" t="s">
        <v>3307</v>
      </c>
      <c r="O1530" s="21"/>
      <c r="P1530" s="21" t="s">
        <v>3308</v>
      </c>
      <c r="Q1530" s="21"/>
      <c r="R1530" s="21"/>
      <c r="S1530" s="3" t="s">
        <v>40</v>
      </c>
      <c r="T1530" s="21" t="s">
        <v>41</v>
      </c>
      <c r="U1530" s="21"/>
      <c r="V1530" s="4" t="s">
        <v>42</v>
      </c>
      <c r="W1530" s="4" t="s">
        <v>355</v>
      </c>
      <c r="X1530" s="4" t="s">
        <v>356</v>
      </c>
      <c r="Y1530" s="21" t="s">
        <v>56</v>
      </c>
      <c r="Z1530" s="21"/>
      <c r="AA1530" s="4" t="s">
        <v>46</v>
      </c>
      <c r="AB1530" s="4" t="s">
        <v>47</v>
      </c>
      <c r="AC1530" s="4" t="s">
        <v>139</v>
      </c>
      <c r="AD1530" s="4" t="s">
        <v>140</v>
      </c>
      <c r="AE1530" s="4" t="s">
        <v>48</v>
      </c>
      <c r="AF1530" s="4" t="s">
        <v>41</v>
      </c>
      <c r="AG1530" s="4" t="s">
        <v>3190</v>
      </c>
    </row>
    <row r="1531" spans="1:33" ht="16.5" customHeight="1" x14ac:dyDescent="0.2">
      <c r="A1531" s="2" t="s">
        <v>31</v>
      </c>
      <c r="B1531" s="19" t="s">
        <v>50</v>
      </c>
      <c r="C1531" s="19"/>
      <c r="D1531" s="19"/>
      <c r="E1531" s="20" t="s">
        <v>33</v>
      </c>
      <c r="F1531" s="20"/>
      <c r="G1531" s="21" t="s">
        <v>3187</v>
      </c>
      <c r="H1531" s="21"/>
      <c r="I1531" s="21"/>
      <c r="J1531" s="3" t="s">
        <v>35</v>
      </c>
      <c r="K1531" s="4" t="s">
        <v>3309</v>
      </c>
      <c r="L1531" s="4" t="s">
        <v>68</v>
      </c>
      <c r="N1531" s="21" t="s">
        <v>3310</v>
      </c>
      <c r="O1531" s="21"/>
      <c r="P1531" s="21" t="s">
        <v>3311</v>
      </c>
      <c r="Q1531" s="21"/>
      <c r="R1531" s="21"/>
      <c r="S1531" s="3" t="s">
        <v>40</v>
      </c>
      <c r="T1531" s="21" t="s">
        <v>41</v>
      </c>
      <c r="U1531" s="21"/>
      <c r="V1531" s="4" t="s">
        <v>42</v>
      </c>
      <c r="W1531" s="4" t="s">
        <v>54</v>
      </c>
      <c r="X1531" s="4" t="s">
        <v>55</v>
      </c>
      <c r="Y1531" s="21" t="s">
        <v>198</v>
      </c>
      <c r="Z1531" s="21"/>
      <c r="AA1531" s="4" t="s">
        <v>46</v>
      </c>
      <c r="AB1531" s="4" t="s">
        <v>47</v>
      </c>
      <c r="AC1531" s="4" t="s">
        <v>139</v>
      </c>
      <c r="AD1531" s="4" t="s">
        <v>151</v>
      </c>
      <c r="AE1531" s="4" t="s">
        <v>48</v>
      </c>
      <c r="AF1531" s="4" t="s">
        <v>41</v>
      </c>
      <c r="AG1531" s="4" t="s">
        <v>3190</v>
      </c>
    </row>
    <row r="1532" spans="1:33" ht="16.5" customHeight="1" x14ac:dyDescent="0.2">
      <c r="A1532" s="2" t="s">
        <v>31</v>
      </c>
      <c r="B1532" s="19" t="s">
        <v>110</v>
      </c>
      <c r="C1532" s="19"/>
      <c r="D1532" s="19"/>
      <c r="E1532" s="20" t="s">
        <v>33</v>
      </c>
      <c r="F1532" s="20"/>
      <c r="G1532" s="21" t="s">
        <v>3187</v>
      </c>
      <c r="H1532" s="21"/>
      <c r="I1532" s="21"/>
      <c r="J1532" s="3" t="s">
        <v>111</v>
      </c>
      <c r="K1532" s="4" t="s">
        <v>112</v>
      </c>
      <c r="N1532" s="21" t="s">
        <v>3310</v>
      </c>
      <c r="O1532" s="21"/>
      <c r="P1532" s="21" t="s">
        <v>3311</v>
      </c>
      <c r="Q1532" s="21"/>
      <c r="R1532" s="21"/>
      <c r="S1532" s="3" t="s">
        <v>40</v>
      </c>
      <c r="T1532" s="21" t="s">
        <v>3312</v>
      </c>
      <c r="U1532" s="21"/>
      <c r="V1532" s="4" t="s">
        <v>42</v>
      </c>
      <c r="W1532" s="4" t="s">
        <v>54</v>
      </c>
      <c r="X1532" s="4" t="s">
        <v>55</v>
      </c>
      <c r="Y1532" s="21" t="s">
        <v>116</v>
      </c>
      <c r="Z1532" s="21"/>
      <c r="AA1532" s="4" t="s">
        <v>46</v>
      </c>
      <c r="AB1532" s="4" t="s">
        <v>117</v>
      </c>
      <c r="AC1532" s="4" t="s">
        <v>118</v>
      </c>
      <c r="AD1532" s="4" t="s">
        <v>3313</v>
      </c>
      <c r="AE1532" s="4" t="s">
        <v>48</v>
      </c>
      <c r="AF1532" s="4" t="s">
        <v>41</v>
      </c>
      <c r="AG1532" s="4" t="s">
        <v>3190</v>
      </c>
    </row>
    <row r="1533" spans="1:33" ht="16.5" customHeight="1" x14ac:dyDescent="0.2">
      <c r="A1533" s="2" t="s">
        <v>31</v>
      </c>
      <c r="B1533" s="19" t="s">
        <v>50</v>
      </c>
      <c r="C1533" s="19"/>
      <c r="D1533" s="19"/>
      <c r="E1533" s="20" t="s">
        <v>33</v>
      </c>
      <c r="F1533" s="20"/>
      <c r="G1533" s="21" t="s">
        <v>3187</v>
      </c>
      <c r="H1533" s="21"/>
      <c r="I1533" s="21"/>
      <c r="J1533" s="3" t="s">
        <v>35</v>
      </c>
      <c r="K1533" s="4" t="s">
        <v>169</v>
      </c>
      <c r="L1533" s="4" t="s">
        <v>37</v>
      </c>
      <c r="N1533" s="21" t="s">
        <v>3314</v>
      </c>
      <c r="O1533" s="21"/>
      <c r="P1533" s="21" t="s">
        <v>3315</v>
      </c>
      <c r="Q1533" s="21"/>
      <c r="R1533" s="21"/>
      <c r="S1533" s="3" t="s">
        <v>40</v>
      </c>
      <c r="T1533" s="21" t="s">
        <v>41</v>
      </c>
      <c r="U1533" s="21"/>
      <c r="V1533" s="4" t="s">
        <v>42</v>
      </c>
      <c r="W1533" s="4" t="s">
        <v>299</v>
      </c>
      <c r="X1533" s="4" t="s">
        <v>300</v>
      </c>
      <c r="Y1533" s="21" t="s">
        <v>56</v>
      </c>
      <c r="Z1533" s="21"/>
      <c r="AA1533" s="4" t="s">
        <v>46</v>
      </c>
      <c r="AB1533" s="4" t="s">
        <v>47</v>
      </c>
      <c r="AC1533" s="4" t="s">
        <v>57</v>
      </c>
      <c r="AD1533" s="4" t="s">
        <v>58</v>
      </c>
      <c r="AE1533" s="4" t="s">
        <v>48</v>
      </c>
      <c r="AF1533" s="4" t="s">
        <v>41</v>
      </c>
      <c r="AG1533" s="4" t="s">
        <v>3190</v>
      </c>
    </row>
    <row r="1534" spans="1:33" ht="16.5" customHeight="1" x14ac:dyDescent="0.2">
      <c r="A1534" s="2" t="s">
        <v>31</v>
      </c>
      <c r="B1534" s="19" t="s">
        <v>50</v>
      </c>
      <c r="C1534" s="19"/>
      <c r="D1534" s="19"/>
      <c r="E1534" s="20" t="s">
        <v>33</v>
      </c>
      <c r="F1534" s="20"/>
      <c r="G1534" s="21" t="s">
        <v>3187</v>
      </c>
      <c r="H1534" s="21"/>
      <c r="I1534" s="21"/>
      <c r="J1534" s="3" t="s">
        <v>35</v>
      </c>
      <c r="K1534" s="4" t="s">
        <v>152</v>
      </c>
      <c r="L1534" s="4" t="s">
        <v>37</v>
      </c>
      <c r="N1534" s="21" t="s">
        <v>3316</v>
      </c>
      <c r="O1534" s="21"/>
      <c r="P1534" s="21" t="s">
        <v>3317</v>
      </c>
      <c r="Q1534" s="21"/>
      <c r="R1534" s="21"/>
      <c r="S1534" s="3" t="s">
        <v>40</v>
      </c>
      <c r="T1534" s="21" t="s">
        <v>41</v>
      </c>
      <c r="U1534" s="21"/>
      <c r="V1534" s="4" t="s">
        <v>42</v>
      </c>
      <c r="W1534" s="4" t="s">
        <v>85</v>
      </c>
      <c r="X1534" s="4" t="s">
        <v>86</v>
      </c>
      <c r="Y1534" s="21" t="s">
        <v>56</v>
      </c>
      <c r="Z1534" s="21"/>
      <c r="AA1534" s="4" t="s">
        <v>46</v>
      </c>
      <c r="AB1534" s="4" t="s">
        <v>47</v>
      </c>
      <c r="AC1534" s="4" t="s">
        <v>57</v>
      </c>
      <c r="AD1534" s="4" t="s">
        <v>58</v>
      </c>
      <c r="AE1534" s="4" t="s">
        <v>48</v>
      </c>
      <c r="AF1534" s="4" t="s">
        <v>41</v>
      </c>
      <c r="AG1534" s="4" t="s">
        <v>3190</v>
      </c>
    </row>
    <row r="1535" spans="1:33" ht="16.5" customHeight="1" x14ac:dyDescent="0.2">
      <c r="A1535" s="2" t="s">
        <v>31</v>
      </c>
      <c r="B1535" s="19" t="s">
        <v>50</v>
      </c>
      <c r="C1535" s="19"/>
      <c r="D1535" s="19"/>
      <c r="E1535" s="20" t="s">
        <v>33</v>
      </c>
      <c r="F1535" s="20"/>
      <c r="G1535" s="21" t="s">
        <v>3187</v>
      </c>
      <c r="H1535" s="21"/>
      <c r="I1535" s="21"/>
      <c r="J1535" s="3" t="s">
        <v>35</v>
      </c>
      <c r="K1535" s="4" t="s">
        <v>152</v>
      </c>
      <c r="L1535" s="4" t="s">
        <v>68</v>
      </c>
      <c r="N1535" s="21" t="s">
        <v>3318</v>
      </c>
      <c r="O1535" s="21"/>
      <c r="P1535" s="21" t="s">
        <v>3319</v>
      </c>
      <c r="Q1535" s="21"/>
      <c r="R1535" s="21"/>
      <c r="S1535" s="3" t="s">
        <v>40</v>
      </c>
      <c r="T1535" s="21" t="s">
        <v>41</v>
      </c>
      <c r="U1535" s="21"/>
      <c r="V1535" s="4" t="s">
        <v>42</v>
      </c>
      <c r="W1535" s="4" t="s">
        <v>104</v>
      </c>
      <c r="X1535" s="4" t="s">
        <v>105</v>
      </c>
      <c r="Y1535" s="21" t="s">
        <v>56</v>
      </c>
      <c r="Z1535" s="21"/>
      <c r="AA1535" s="4" t="s">
        <v>46</v>
      </c>
      <c r="AB1535" s="4" t="s">
        <v>47</v>
      </c>
      <c r="AC1535" s="4" t="s">
        <v>57</v>
      </c>
      <c r="AD1535" s="4" t="s">
        <v>98</v>
      </c>
      <c r="AE1535" s="4" t="s">
        <v>48</v>
      </c>
      <c r="AF1535" s="4" t="s">
        <v>41</v>
      </c>
      <c r="AG1535" s="4" t="s">
        <v>3190</v>
      </c>
    </row>
    <row r="1536" spans="1:33" ht="16.5" customHeight="1" x14ac:dyDescent="0.2">
      <c r="A1536" s="2" t="s">
        <v>31</v>
      </c>
      <c r="B1536" s="19" t="s">
        <v>50</v>
      </c>
      <c r="C1536" s="19"/>
      <c r="D1536" s="19"/>
      <c r="E1536" s="20" t="s">
        <v>33</v>
      </c>
      <c r="F1536" s="20"/>
      <c r="G1536" s="21" t="s">
        <v>3187</v>
      </c>
      <c r="H1536" s="21"/>
      <c r="I1536" s="21"/>
      <c r="J1536" s="3" t="s">
        <v>35</v>
      </c>
      <c r="K1536" s="4" t="s">
        <v>74</v>
      </c>
      <c r="L1536" s="4" t="s">
        <v>37</v>
      </c>
      <c r="N1536" s="21" t="s">
        <v>3320</v>
      </c>
      <c r="O1536" s="21"/>
      <c r="P1536" s="21" t="s">
        <v>3321</v>
      </c>
      <c r="Q1536" s="21"/>
      <c r="R1536" s="21"/>
      <c r="S1536" s="3" t="s">
        <v>40</v>
      </c>
      <c r="T1536" s="21" t="s">
        <v>41</v>
      </c>
      <c r="U1536" s="21"/>
      <c r="V1536" s="4" t="s">
        <v>42</v>
      </c>
      <c r="W1536" s="4" t="s">
        <v>54</v>
      </c>
      <c r="X1536" s="4" t="s">
        <v>55</v>
      </c>
      <c r="Y1536" s="21" t="s">
        <v>65</v>
      </c>
      <c r="Z1536" s="21"/>
      <c r="AA1536" s="4" t="s">
        <v>46</v>
      </c>
      <c r="AB1536" s="4" t="s">
        <v>47</v>
      </c>
      <c r="AC1536" s="4" t="s">
        <v>66</v>
      </c>
      <c r="AD1536" s="4" t="s">
        <v>73</v>
      </c>
      <c r="AE1536" s="4" t="s">
        <v>48</v>
      </c>
      <c r="AF1536" s="4" t="s">
        <v>41</v>
      </c>
      <c r="AG1536" s="4" t="s">
        <v>3190</v>
      </c>
    </row>
    <row r="1537" spans="1:33" ht="16.5" customHeight="1" x14ac:dyDescent="0.2">
      <c r="A1537" s="2" t="s">
        <v>31</v>
      </c>
      <c r="B1537" s="19" t="s">
        <v>50</v>
      </c>
      <c r="C1537" s="19"/>
      <c r="D1537" s="19"/>
      <c r="E1537" s="20" t="s">
        <v>33</v>
      </c>
      <c r="F1537" s="20"/>
      <c r="G1537" s="21" t="s">
        <v>3187</v>
      </c>
      <c r="H1537" s="21"/>
      <c r="I1537" s="21"/>
      <c r="J1537" s="3" t="s">
        <v>35</v>
      </c>
      <c r="K1537" s="4" t="s">
        <v>3322</v>
      </c>
      <c r="L1537" s="4" t="s">
        <v>37</v>
      </c>
      <c r="N1537" s="21" t="s">
        <v>3323</v>
      </c>
      <c r="O1537" s="21"/>
      <c r="P1537" s="21" t="s">
        <v>3324</v>
      </c>
      <c r="Q1537" s="21"/>
      <c r="R1537" s="21"/>
      <c r="S1537" s="3" t="s">
        <v>40</v>
      </c>
      <c r="T1537" s="21" t="s">
        <v>41</v>
      </c>
      <c r="U1537" s="21"/>
      <c r="V1537" s="4" t="s">
        <v>42</v>
      </c>
      <c r="W1537" s="4" t="s">
        <v>54</v>
      </c>
      <c r="X1537" s="4" t="s">
        <v>55</v>
      </c>
      <c r="Y1537" s="21" t="s">
        <v>56</v>
      </c>
      <c r="Z1537" s="21"/>
      <c r="AA1537" s="4" t="s">
        <v>46</v>
      </c>
      <c r="AB1537" s="4" t="s">
        <v>47</v>
      </c>
      <c r="AC1537" s="4" t="s">
        <v>57</v>
      </c>
      <c r="AD1537" s="4" t="s">
        <v>58</v>
      </c>
      <c r="AE1537" s="4" t="s">
        <v>48</v>
      </c>
      <c r="AF1537" s="4" t="s">
        <v>41</v>
      </c>
      <c r="AG1537" s="4" t="s">
        <v>3190</v>
      </c>
    </row>
    <row r="1538" spans="1:33" ht="16.5" customHeight="1" x14ac:dyDescent="0.2">
      <c r="A1538" s="2" t="s">
        <v>31</v>
      </c>
      <c r="B1538" s="19" t="s">
        <v>50</v>
      </c>
      <c r="C1538" s="19"/>
      <c r="D1538" s="19"/>
      <c r="E1538" s="20" t="s">
        <v>33</v>
      </c>
      <c r="F1538" s="20"/>
      <c r="G1538" s="21" t="s">
        <v>3187</v>
      </c>
      <c r="H1538" s="21"/>
      <c r="I1538" s="21"/>
      <c r="J1538" s="3" t="s">
        <v>35</v>
      </c>
      <c r="K1538" s="4" t="s">
        <v>152</v>
      </c>
      <c r="L1538" s="4" t="s">
        <v>37</v>
      </c>
      <c r="N1538" s="21" t="s">
        <v>3325</v>
      </c>
      <c r="O1538" s="21"/>
      <c r="P1538" s="21" t="s">
        <v>3326</v>
      </c>
      <c r="Q1538" s="21"/>
      <c r="R1538" s="21"/>
      <c r="S1538" s="3" t="s">
        <v>40</v>
      </c>
      <c r="T1538" s="21" t="s">
        <v>41</v>
      </c>
      <c r="U1538" s="21"/>
      <c r="V1538" s="4" t="s">
        <v>42</v>
      </c>
      <c r="W1538" s="4" t="s">
        <v>54</v>
      </c>
      <c r="X1538" s="4" t="s">
        <v>55</v>
      </c>
      <c r="Y1538" s="21" t="s">
        <v>56</v>
      </c>
      <c r="Z1538" s="21"/>
      <c r="AA1538" s="4" t="s">
        <v>46</v>
      </c>
      <c r="AB1538" s="4" t="s">
        <v>47</v>
      </c>
      <c r="AC1538" s="4" t="s">
        <v>57</v>
      </c>
      <c r="AD1538" s="4" t="s">
        <v>58</v>
      </c>
      <c r="AE1538" s="4" t="s">
        <v>48</v>
      </c>
      <c r="AF1538" s="4" t="s">
        <v>41</v>
      </c>
      <c r="AG1538" s="4" t="s">
        <v>3190</v>
      </c>
    </row>
    <row r="1539" spans="1:33" ht="16.5" customHeight="1" x14ac:dyDescent="0.2">
      <c r="A1539" s="2" t="s">
        <v>31</v>
      </c>
      <c r="B1539" s="19" t="s">
        <v>50</v>
      </c>
      <c r="C1539" s="19"/>
      <c r="D1539" s="19"/>
      <c r="E1539" s="20" t="s">
        <v>33</v>
      </c>
      <c r="F1539" s="20"/>
      <c r="G1539" s="21" t="s">
        <v>3187</v>
      </c>
      <c r="H1539" s="21"/>
      <c r="I1539" s="21"/>
      <c r="J1539" s="3" t="s">
        <v>35</v>
      </c>
      <c r="K1539" s="4" t="s">
        <v>247</v>
      </c>
      <c r="L1539" s="4" t="s">
        <v>37</v>
      </c>
      <c r="N1539" s="21" t="s">
        <v>3327</v>
      </c>
      <c r="O1539" s="21"/>
      <c r="P1539" s="21" t="s">
        <v>3328</v>
      </c>
      <c r="Q1539" s="21"/>
      <c r="R1539" s="21"/>
      <c r="S1539" s="3" t="s">
        <v>40</v>
      </c>
      <c r="T1539" s="21" t="s">
        <v>41</v>
      </c>
      <c r="U1539" s="21"/>
      <c r="V1539" s="4" t="s">
        <v>42</v>
      </c>
      <c r="W1539" s="4" t="s">
        <v>54</v>
      </c>
      <c r="X1539" s="4" t="s">
        <v>55</v>
      </c>
      <c r="Y1539" s="21" t="s">
        <v>65</v>
      </c>
      <c r="Z1539" s="21"/>
      <c r="AA1539" s="4" t="s">
        <v>46</v>
      </c>
      <c r="AB1539" s="4" t="s">
        <v>47</v>
      </c>
      <c r="AC1539" s="4" t="s">
        <v>66</v>
      </c>
      <c r="AD1539" s="4" t="s">
        <v>73</v>
      </c>
      <c r="AE1539" s="4" t="s">
        <v>48</v>
      </c>
      <c r="AF1539" s="4" t="s">
        <v>41</v>
      </c>
      <c r="AG1539" s="4" t="s">
        <v>3190</v>
      </c>
    </row>
    <row r="1540" spans="1:33" ht="16.5" customHeight="1" x14ac:dyDescent="0.2">
      <c r="A1540" s="2" t="s">
        <v>31</v>
      </c>
      <c r="B1540" s="19" t="s">
        <v>50</v>
      </c>
      <c r="C1540" s="19"/>
      <c r="D1540" s="19"/>
      <c r="E1540" s="20" t="s">
        <v>33</v>
      </c>
      <c r="F1540" s="20"/>
      <c r="G1540" s="21" t="s">
        <v>3187</v>
      </c>
      <c r="H1540" s="21"/>
      <c r="I1540" s="21"/>
      <c r="J1540" s="3" t="s">
        <v>35</v>
      </c>
      <c r="K1540" s="4" t="s">
        <v>247</v>
      </c>
      <c r="L1540" s="4" t="s">
        <v>37</v>
      </c>
      <c r="N1540" s="21" t="s">
        <v>3329</v>
      </c>
      <c r="O1540" s="21"/>
      <c r="P1540" s="21" t="s">
        <v>3330</v>
      </c>
      <c r="Q1540" s="21"/>
      <c r="R1540" s="21"/>
      <c r="S1540" s="3" t="s">
        <v>40</v>
      </c>
      <c r="T1540" s="21" t="s">
        <v>41</v>
      </c>
      <c r="U1540" s="21"/>
      <c r="V1540" s="4" t="s">
        <v>42</v>
      </c>
      <c r="W1540" s="4" t="s">
        <v>54</v>
      </c>
      <c r="X1540" s="4" t="s">
        <v>55</v>
      </c>
      <c r="Y1540" s="21" t="s">
        <v>65</v>
      </c>
      <c r="Z1540" s="21"/>
      <c r="AA1540" s="4" t="s">
        <v>46</v>
      </c>
      <c r="AB1540" s="4" t="s">
        <v>47</v>
      </c>
      <c r="AC1540" s="4" t="s">
        <v>66</v>
      </c>
      <c r="AD1540" s="4" t="s">
        <v>73</v>
      </c>
      <c r="AE1540" s="4" t="s">
        <v>48</v>
      </c>
      <c r="AF1540" s="4" t="s">
        <v>41</v>
      </c>
      <c r="AG1540" s="4" t="s">
        <v>3190</v>
      </c>
    </row>
    <row r="1541" spans="1:33" ht="16.5" customHeight="1" x14ac:dyDescent="0.2">
      <c r="A1541" s="2" t="s">
        <v>31</v>
      </c>
      <c r="B1541" s="19" t="s">
        <v>50</v>
      </c>
      <c r="C1541" s="19"/>
      <c r="D1541" s="19"/>
      <c r="E1541" s="20" t="s">
        <v>33</v>
      </c>
      <c r="F1541" s="20"/>
      <c r="G1541" s="21" t="s">
        <v>3187</v>
      </c>
      <c r="H1541" s="21"/>
      <c r="I1541" s="21"/>
      <c r="J1541" s="3" t="s">
        <v>35</v>
      </c>
      <c r="K1541" s="4" t="s">
        <v>247</v>
      </c>
      <c r="L1541" s="4" t="s">
        <v>278</v>
      </c>
      <c r="N1541" s="21" t="s">
        <v>3331</v>
      </c>
      <c r="O1541" s="21"/>
      <c r="P1541" s="21" t="s">
        <v>3332</v>
      </c>
      <c r="Q1541" s="21"/>
      <c r="R1541" s="21"/>
      <c r="S1541" s="3" t="s">
        <v>40</v>
      </c>
      <c r="T1541" s="21" t="s">
        <v>41</v>
      </c>
      <c r="U1541" s="21"/>
      <c r="V1541" s="4" t="s">
        <v>42</v>
      </c>
      <c r="W1541" s="4" t="s">
        <v>54</v>
      </c>
      <c r="X1541" s="4" t="s">
        <v>55</v>
      </c>
      <c r="Y1541" s="21" t="s">
        <v>65</v>
      </c>
      <c r="Z1541" s="21"/>
      <c r="AA1541" s="4" t="s">
        <v>46</v>
      </c>
      <c r="AB1541" s="4" t="s">
        <v>47</v>
      </c>
      <c r="AC1541" s="4" t="s">
        <v>66</v>
      </c>
      <c r="AD1541" s="4" t="s">
        <v>3333</v>
      </c>
      <c r="AE1541" s="4" t="s">
        <v>48</v>
      </c>
      <c r="AF1541" s="4" t="s">
        <v>41</v>
      </c>
      <c r="AG1541" s="4" t="s">
        <v>3190</v>
      </c>
    </row>
    <row r="1542" spans="1:33" ht="16.5" customHeight="1" x14ac:dyDescent="0.2">
      <c r="A1542" s="2" t="s">
        <v>31</v>
      </c>
      <c r="B1542" s="19" t="s">
        <v>50</v>
      </c>
      <c r="C1542" s="19"/>
      <c r="D1542" s="19"/>
      <c r="E1542" s="20" t="s">
        <v>33</v>
      </c>
      <c r="F1542" s="20"/>
      <c r="G1542" s="21" t="s">
        <v>3187</v>
      </c>
      <c r="H1542" s="21"/>
      <c r="I1542" s="21"/>
      <c r="J1542" s="3" t="s">
        <v>35</v>
      </c>
      <c r="K1542" s="4" t="s">
        <v>383</v>
      </c>
      <c r="L1542" s="4" t="s">
        <v>37</v>
      </c>
      <c r="N1542" s="21" t="s">
        <v>3334</v>
      </c>
      <c r="O1542" s="21"/>
      <c r="P1542" s="21" t="s">
        <v>3335</v>
      </c>
      <c r="Q1542" s="21"/>
      <c r="R1542" s="21"/>
      <c r="S1542" s="3" t="s">
        <v>40</v>
      </c>
      <c r="T1542" s="21" t="s">
        <v>41</v>
      </c>
      <c r="U1542" s="21"/>
      <c r="V1542" s="4" t="s">
        <v>42</v>
      </c>
      <c r="W1542" s="4" t="s">
        <v>54</v>
      </c>
      <c r="X1542" s="4" t="s">
        <v>55</v>
      </c>
      <c r="Y1542" s="21" t="s">
        <v>198</v>
      </c>
      <c r="Z1542" s="21"/>
      <c r="AA1542" s="4" t="s">
        <v>46</v>
      </c>
      <c r="AB1542" s="4" t="s">
        <v>47</v>
      </c>
      <c r="AC1542" s="4" t="s">
        <v>139</v>
      </c>
      <c r="AD1542" s="4" t="s">
        <v>140</v>
      </c>
      <c r="AE1542" s="4" t="s">
        <v>48</v>
      </c>
      <c r="AF1542" s="4" t="s">
        <v>41</v>
      </c>
      <c r="AG1542" s="4" t="s">
        <v>3190</v>
      </c>
    </row>
    <row r="1543" spans="1:33" ht="16.5" customHeight="1" x14ac:dyDescent="0.2">
      <c r="A1543" s="2" t="s">
        <v>31</v>
      </c>
      <c r="B1543" s="19" t="s">
        <v>50</v>
      </c>
      <c r="C1543" s="19"/>
      <c r="D1543" s="19"/>
      <c r="E1543" s="20" t="s">
        <v>33</v>
      </c>
      <c r="F1543" s="20"/>
      <c r="G1543" s="21" t="s">
        <v>3187</v>
      </c>
      <c r="H1543" s="21"/>
      <c r="I1543" s="21"/>
      <c r="J1543" s="3" t="s">
        <v>35</v>
      </c>
      <c r="K1543" s="4" t="s">
        <v>152</v>
      </c>
      <c r="L1543" s="4" t="s">
        <v>278</v>
      </c>
      <c r="N1543" s="21" t="s">
        <v>3336</v>
      </c>
      <c r="O1543" s="21"/>
      <c r="P1543" s="21" t="s">
        <v>3337</v>
      </c>
      <c r="Q1543" s="21"/>
      <c r="R1543" s="21"/>
      <c r="S1543" s="3" t="s">
        <v>40</v>
      </c>
      <c r="T1543" s="21" t="s">
        <v>41</v>
      </c>
      <c r="U1543" s="21"/>
      <c r="V1543" s="4" t="s">
        <v>42</v>
      </c>
      <c r="W1543" s="4" t="s">
        <v>54</v>
      </c>
      <c r="X1543" s="4" t="s">
        <v>55</v>
      </c>
      <c r="Y1543" s="21" t="s">
        <v>56</v>
      </c>
      <c r="Z1543" s="21"/>
      <c r="AA1543" s="4" t="s">
        <v>46</v>
      </c>
      <c r="AB1543" s="4" t="s">
        <v>47</v>
      </c>
      <c r="AC1543" s="4" t="s">
        <v>57</v>
      </c>
      <c r="AD1543" s="4" t="s">
        <v>283</v>
      </c>
      <c r="AE1543" s="4" t="s">
        <v>48</v>
      </c>
      <c r="AF1543" s="4" t="s">
        <v>41</v>
      </c>
      <c r="AG1543" s="4" t="s">
        <v>3190</v>
      </c>
    </row>
    <row r="1544" spans="1:33" ht="0.75" customHeight="1" x14ac:dyDescent="0.2"/>
    <row r="1545" spans="1:33" ht="12" customHeight="1" x14ac:dyDescent="0.2"/>
    <row r="1546" spans="1:33" ht="16.5" customHeight="1" x14ac:dyDescent="0.2">
      <c r="A1546" s="2" t="s">
        <v>31</v>
      </c>
      <c r="B1546" s="19" t="s">
        <v>50</v>
      </c>
      <c r="C1546" s="19"/>
      <c r="D1546" s="19"/>
      <c r="E1546" s="20" t="s">
        <v>33</v>
      </c>
      <c r="F1546" s="20"/>
      <c r="G1546" s="21" t="s">
        <v>3187</v>
      </c>
      <c r="H1546" s="21"/>
      <c r="I1546" s="21"/>
      <c r="J1546" s="3" t="s">
        <v>35</v>
      </c>
      <c r="K1546" s="4" t="s">
        <v>3338</v>
      </c>
      <c r="L1546" s="4" t="s">
        <v>37</v>
      </c>
      <c r="N1546" s="21" t="s">
        <v>3339</v>
      </c>
      <c r="O1546" s="21"/>
      <c r="P1546" s="21" t="s">
        <v>3340</v>
      </c>
      <c r="Q1546" s="21"/>
      <c r="R1546" s="21"/>
      <c r="S1546" s="3" t="s">
        <v>40</v>
      </c>
      <c r="T1546" s="21" t="s">
        <v>41</v>
      </c>
      <c r="U1546" s="21"/>
      <c r="V1546" s="4" t="s">
        <v>42</v>
      </c>
      <c r="W1546" s="4" t="s">
        <v>130</v>
      </c>
      <c r="X1546" s="4" t="s">
        <v>60</v>
      </c>
      <c r="Y1546" s="21" t="s">
        <v>65</v>
      </c>
      <c r="Z1546" s="21"/>
      <c r="AA1546" s="4" t="s">
        <v>46</v>
      </c>
      <c r="AB1546" s="4" t="s">
        <v>47</v>
      </c>
      <c r="AC1546" s="4" t="s">
        <v>66</v>
      </c>
      <c r="AD1546" s="4" t="s">
        <v>73</v>
      </c>
      <c r="AE1546" s="4" t="s">
        <v>48</v>
      </c>
      <c r="AF1546" s="4" t="s">
        <v>41</v>
      </c>
      <c r="AG1546" s="4" t="s">
        <v>3190</v>
      </c>
    </row>
    <row r="1547" spans="1:33" ht="16.5" customHeight="1" x14ac:dyDescent="0.2">
      <c r="A1547" s="2" t="s">
        <v>31</v>
      </c>
      <c r="B1547" s="19" t="s">
        <v>50</v>
      </c>
      <c r="C1547" s="19"/>
      <c r="D1547" s="19"/>
      <c r="E1547" s="20" t="s">
        <v>33</v>
      </c>
      <c r="F1547" s="20"/>
      <c r="G1547" s="21" t="s">
        <v>3187</v>
      </c>
      <c r="H1547" s="21"/>
      <c r="I1547" s="21"/>
      <c r="J1547" s="3" t="s">
        <v>35</v>
      </c>
      <c r="K1547" s="4" t="s">
        <v>247</v>
      </c>
      <c r="L1547" s="4" t="s">
        <v>179</v>
      </c>
      <c r="N1547" s="21" t="s">
        <v>3341</v>
      </c>
      <c r="O1547" s="21"/>
      <c r="P1547" s="21" t="s">
        <v>3342</v>
      </c>
      <c r="Q1547" s="21"/>
      <c r="R1547" s="21"/>
      <c r="S1547" s="3" t="s">
        <v>40</v>
      </c>
      <c r="T1547" s="21" t="s">
        <v>41</v>
      </c>
      <c r="U1547" s="21"/>
      <c r="V1547" s="4" t="s">
        <v>59</v>
      </c>
      <c r="W1547" s="4" t="s">
        <v>130</v>
      </c>
      <c r="X1547" s="4" t="s">
        <v>131</v>
      </c>
      <c r="Y1547" s="21" t="s">
        <v>65</v>
      </c>
      <c r="Z1547" s="21"/>
      <c r="AA1547" s="4" t="s">
        <v>46</v>
      </c>
      <c r="AB1547" s="4" t="s">
        <v>47</v>
      </c>
      <c r="AC1547" s="4" t="s">
        <v>66</v>
      </c>
      <c r="AD1547" s="4" t="s">
        <v>183</v>
      </c>
      <c r="AE1547" s="4" t="s">
        <v>48</v>
      </c>
      <c r="AF1547" s="4" t="s">
        <v>41</v>
      </c>
      <c r="AG1547" s="4" t="s">
        <v>3190</v>
      </c>
    </row>
    <row r="1548" spans="1:33" ht="16.5" customHeight="1" x14ac:dyDescent="0.2">
      <c r="A1548" s="2" t="s">
        <v>31</v>
      </c>
      <c r="B1548" s="19" t="s">
        <v>50</v>
      </c>
      <c r="C1548" s="19"/>
      <c r="D1548" s="19"/>
      <c r="E1548" s="20" t="s">
        <v>33</v>
      </c>
      <c r="F1548" s="20"/>
      <c r="G1548" s="21" t="s">
        <v>3187</v>
      </c>
      <c r="H1548" s="21"/>
      <c r="I1548" s="21"/>
      <c r="J1548" s="3" t="s">
        <v>35</v>
      </c>
      <c r="K1548" s="4" t="s">
        <v>82</v>
      </c>
      <c r="L1548" s="4" t="s">
        <v>37</v>
      </c>
      <c r="N1548" s="21" t="s">
        <v>3343</v>
      </c>
      <c r="O1548" s="21"/>
      <c r="P1548" s="21" t="s">
        <v>3216</v>
      </c>
      <c r="Q1548" s="21"/>
      <c r="R1548" s="21"/>
      <c r="S1548" s="3" t="s">
        <v>40</v>
      </c>
      <c r="T1548" s="21" t="s">
        <v>41</v>
      </c>
      <c r="U1548" s="21"/>
      <c r="V1548" s="4" t="s">
        <v>42</v>
      </c>
      <c r="W1548" s="4" t="s">
        <v>130</v>
      </c>
      <c r="X1548" s="4" t="s">
        <v>60</v>
      </c>
      <c r="Y1548" s="21" t="s">
        <v>56</v>
      </c>
      <c r="Z1548" s="21"/>
      <c r="AA1548" s="4" t="s">
        <v>46</v>
      </c>
      <c r="AB1548" s="4" t="s">
        <v>47</v>
      </c>
      <c r="AC1548" s="4" t="s">
        <v>57</v>
      </c>
      <c r="AD1548" s="4" t="s">
        <v>58</v>
      </c>
      <c r="AE1548" s="4" t="s">
        <v>48</v>
      </c>
      <c r="AF1548" s="4" t="s">
        <v>41</v>
      </c>
      <c r="AG1548" s="4" t="s">
        <v>3190</v>
      </c>
    </row>
    <row r="1549" spans="1:33" ht="16.5" customHeight="1" x14ac:dyDescent="0.2">
      <c r="A1549" s="2" t="s">
        <v>31</v>
      </c>
      <c r="B1549" s="19" t="s">
        <v>50</v>
      </c>
      <c r="C1549" s="19"/>
      <c r="D1549" s="19"/>
      <c r="E1549" s="20" t="s">
        <v>33</v>
      </c>
      <c r="F1549" s="20"/>
      <c r="G1549" s="21" t="s">
        <v>3187</v>
      </c>
      <c r="H1549" s="21"/>
      <c r="I1549" s="21"/>
      <c r="J1549" s="3" t="s">
        <v>35</v>
      </c>
      <c r="K1549" s="4" t="s">
        <v>74</v>
      </c>
      <c r="L1549" s="4" t="s">
        <v>37</v>
      </c>
      <c r="N1549" s="21" t="s">
        <v>3344</v>
      </c>
      <c r="O1549" s="21"/>
      <c r="P1549" s="21" t="s">
        <v>3345</v>
      </c>
      <c r="Q1549" s="21"/>
      <c r="R1549" s="21"/>
      <c r="S1549" s="3" t="s">
        <v>40</v>
      </c>
      <c r="T1549" s="21" t="s">
        <v>41</v>
      </c>
      <c r="U1549" s="21"/>
      <c r="V1549" s="4" t="s">
        <v>42</v>
      </c>
      <c r="W1549" s="4" t="s">
        <v>59</v>
      </c>
      <c r="X1549" s="4" t="s">
        <v>131</v>
      </c>
      <c r="Y1549" s="21" t="s">
        <v>65</v>
      </c>
      <c r="Z1549" s="21"/>
      <c r="AA1549" s="4" t="s">
        <v>46</v>
      </c>
      <c r="AB1549" s="4" t="s">
        <v>47</v>
      </c>
      <c r="AC1549" s="4" t="s">
        <v>66</v>
      </c>
      <c r="AD1549" s="4" t="s">
        <v>73</v>
      </c>
      <c r="AE1549" s="4" t="s">
        <v>48</v>
      </c>
      <c r="AF1549" s="4" t="s">
        <v>41</v>
      </c>
      <c r="AG1549" s="4" t="s">
        <v>3190</v>
      </c>
    </row>
    <row r="1550" spans="1:33" ht="16.5" customHeight="1" x14ac:dyDescent="0.2">
      <c r="A1550" s="2" t="s">
        <v>31</v>
      </c>
      <c r="B1550" s="19" t="s">
        <v>50</v>
      </c>
      <c r="C1550" s="19"/>
      <c r="D1550" s="19"/>
      <c r="E1550" s="20" t="s">
        <v>33</v>
      </c>
      <c r="F1550" s="20"/>
      <c r="G1550" s="21" t="s">
        <v>3187</v>
      </c>
      <c r="H1550" s="21"/>
      <c r="I1550" s="21"/>
      <c r="J1550" s="3" t="s">
        <v>35</v>
      </c>
      <c r="K1550" s="4" t="s">
        <v>1032</v>
      </c>
      <c r="L1550" s="4" t="s">
        <v>37</v>
      </c>
      <c r="N1550" s="21" t="s">
        <v>3346</v>
      </c>
      <c r="O1550" s="21"/>
      <c r="P1550" s="21" t="s">
        <v>3347</v>
      </c>
      <c r="Q1550" s="21"/>
      <c r="R1550" s="21"/>
      <c r="S1550" s="3" t="s">
        <v>40</v>
      </c>
      <c r="T1550" s="21" t="s">
        <v>41</v>
      </c>
      <c r="U1550" s="21"/>
      <c r="V1550" s="4" t="s">
        <v>42</v>
      </c>
      <c r="W1550" s="4" t="s">
        <v>130</v>
      </c>
      <c r="X1550" s="4" t="s">
        <v>60</v>
      </c>
      <c r="Y1550" s="21" t="s">
        <v>56</v>
      </c>
      <c r="Z1550" s="21"/>
      <c r="AA1550" s="4" t="s">
        <v>46</v>
      </c>
      <c r="AB1550" s="4" t="s">
        <v>47</v>
      </c>
      <c r="AC1550" s="4" t="s">
        <v>57</v>
      </c>
      <c r="AD1550" s="4" t="s">
        <v>58</v>
      </c>
      <c r="AE1550" s="4" t="s">
        <v>48</v>
      </c>
      <c r="AF1550" s="4" t="s">
        <v>41</v>
      </c>
      <c r="AG1550" s="4" t="s">
        <v>3190</v>
      </c>
    </row>
    <row r="1551" spans="1:33" ht="16.5" customHeight="1" x14ac:dyDescent="0.2">
      <c r="A1551" s="2" t="s">
        <v>31</v>
      </c>
      <c r="B1551" s="19" t="s">
        <v>50</v>
      </c>
      <c r="C1551" s="19"/>
      <c r="D1551" s="19"/>
      <c r="E1551" s="20" t="s">
        <v>33</v>
      </c>
      <c r="F1551" s="20"/>
      <c r="G1551" s="21" t="s">
        <v>3187</v>
      </c>
      <c r="H1551" s="21"/>
      <c r="I1551" s="21"/>
      <c r="J1551" s="3" t="s">
        <v>35</v>
      </c>
      <c r="K1551" s="4" t="s">
        <v>169</v>
      </c>
      <c r="L1551" s="4" t="s">
        <v>37</v>
      </c>
      <c r="N1551" s="21" t="s">
        <v>3348</v>
      </c>
      <c r="O1551" s="21"/>
      <c r="P1551" s="21" t="s">
        <v>3349</v>
      </c>
      <c r="Q1551" s="21"/>
      <c r="R1551" s="21"/>
      <c r="S1551" s="3" t="s">
        <v>40</v>
      </c>
      <c r="T1551" s="21" t="s">
        <v>41</v>
      </c>
      <c r="U1551" s="21"/>
      <c r="V1551" s="4" t="s">
        <v>42</v>
      </c>
      <c r="W1551" s="4" t="s">
        <v>130</v>
      </c>
      <c r="X1551" s="4" t="s">
        <v>60</v>
      </c>
      <c r="Y1551" s="21" t="s">
        <v>56</v>
      </c>
      <c r="Z1551" s="21"/>
      <c r="AA1551" s="4" t="s">
        <v>46</v>
      </c>
      <c r="AB1551" s="4" t="s">
        <v>47</v>
      </c>
      <c r="AC1551" s="4" t="s">
        <v>57</v>
      </c>
      <c r="AD1551" s="4" t="s">
        <v>58</v>
      </c>
      <c r="AE1551" s="4" t="s">
        <v>48</v>
      </c>
      <c r="AF1551" s="4" t="s">
        <v>41</v>
      </c>
      <c r="AG1551" s="4" t="s">
        <v>3190</v>
      </c>
    </row>
    <row r="1552" spans="1:33" ht="16.5" customHeight="1" x14ac:dyDescent="0.2">
      <c r="A1552" s="2" t="s">
        <v>31</v>
      </c>
      <c r="B1552" s="19" t="s">
        <v>50</v>
      </c>
      <c r="C1552" s="19"/>
      <c r="D1552" s="19"/>
      <c r="E1552" s="20" t="s">
        <v>33</v>
      </c>
      <c r="F1552" s="20"/>
      <c r="G1552" s="21" t="s">
        <v>3187</v>
      </c>
      <c r="H1552" s="21"/>
      <c r="I1552" s="21"/>
      <c r="J1552" s="3" t="s">
        <v>35</v>
      </c>
      <c r="K1552" s="4" t="s">
        <v>247</v>
      </c>
      <c r="L1552" s="4" t="s">
        <v>278</v>
      </c>
      <c r="N1552" s="21" t="s">
        <v>3350</v>
      </c>
      <c r="O1552" s="21"/>
      <c r="P1552" s="21" t="s">
        <v>3351</v>
      </c>
      <c r="Q1552" s="21"/>
      <c r="R1552" s="21"/>
      <c r="S1552" s="3" t="s">
        <v>40</v>
      </c>
      <c r="T1552" s="21" t="s">
        <v>41</v>
      </c>
      <c r="U1552" s="21"/>
      <c r="V1552" s="4" t="s">
        <v>42</v>
      </c>
      <c r="W1552" s="4" t="s">
        <v>130</v>
      </c>
      <c r="X1552" s="4" t="s">
        <v>60</v>
      </c>
      <c r="Y1552" s="21" t="s">
        <v>65</v>
      </c>
      <c r="Z1552" s="21"/>
      <c r="AA1552" s="4" t="s">
        <v>46</v>
      </c>
      <c r="AB1552" s="4" t="s">
        <v>47</v>
      </c>
      <c r="AC1552" s="4" t="s">
        <v>66</v>
      </c>
      <c r="AD1552" s="4" t="s">
        <v>3333</v>
      </c>
      <c r="AE1552" s="4" t="s">
        <v>48</v>
      </c>
      <c r="AF1552" s="4" t="s">
        <v>41</v>
      </c>
      <c r="AG1552" s="4" t="s">
        <v>3190</v>
      </c>
    </row>
    <row r="1553" spans="1:33" ht="16.5" customHeight="1" x14ac:dyDescent="0.2">
      <c r="A1553" s="2" t="s">
        <v>31</v>
      </c>
      <c r="B1553" s="19" t="s">
        <v>50</v>
      </c>
      <c r="C1553" s="19"/>
      <c r="D1553" s="19"/>
      <c r="E1553" s="20" t="s">
        <v>33</v>
      </c>
      <c r="F1553" s="20"/>
      <c r="G1553" s="21" t="s">
        <v>3187</v>
      </c>
      <c r="H1553" s="21"/>
      <c r="I1553" s="21"/>
      <c r="J1553" s="3" t="s">
        <v>35</v>
      </c>
      <c r="K1553" s="4" t="s">
        <v>3352</v>
      </c>
      <c r="L1553" s="4" t="s">
        <v>68</v>
      </c>
      <c r="N1553" s="21" t="s">
        <v>3353</v>
      </c>
      <c r="O1553" s="21"/>
      <c r="P1553" s="21" t="s">
        <v>3354</v>
      </c>
      <c r="Q1553" s="21"/>
      <c r="R1553" s="21"/>
      <c r="S1553" s="3" t="s">
        <v>40</v>
      </c>
      <c r="T1553" s="21" t="s">
        <v>41</v>
      </c>
      <c r="U1553" s="21"/>
      <c r="V1553" s="4" t="s">
        <v>42</v>
      </c>
      <c r="W1553" s="4" t="s">
        <v>130</v>
      </c>
      <c r="X1553" s="4" t="s">
        <v>60</v>
      </c>
      <c r="Y1553" s="21" t="s">
        <v>56</v>
      </c>
      <c r="Z1553" s="21"/>
      <c r="AA1553" s="4" t="s">
        <v>46</v>
      </c>
      <c r="AB1553" s="4" t="s">
        <v>47</v>
      </c>
      <c r="AC1553" s="4" t="s">
        <v>57</v>
      </c>
      <c r="AD1553" s="4" t="s">
        <v>98</v>
      </c>
      <c r="AE1553" s="4" t="s">
        <v>48</v>
      </c>
      <c r="AF1553" s="4" t="s">
        <v>41</v>
      </c>
      <c r="AG1553" s="4" t="s">
        <v>3190</v>
      </c>
    </row>
    <row r="1554" spans="1:33" ht="16.5" customHeight="1" x14ac:dyDescent="0.2">
      <c r="A1554" s="2" t="s">
        <v>31</v>
      </c>
      <c r="B1554" s="19" t="s">
        <v>50</v>
      </c>
      <c r="C1554" s="19"/>
      <c r="D1554" s="19"/>
      <c r="E1554" s="20" t="s">
        <v>33</v>
      </c>
      <c r="F1554" s="20"/>
      <c r="G1554" s="21" t="s">
        <v>3187</v>
      </c>
      <c r="H1554" s="21"/>
      <c r="I1554" s="21"/>
      <c r="J1554" s="3" t="s">
        <v>35</v>
      </c>
      <c r="K1554" s="4" t="s">
        <v>74</v>
      </c>
      <c r="L1554" s="4" t="s">
        <v>37</v>
      </c>
      <c r="N1554" s="21" t="s">
        <v>3355</v>
      </c>
      <c r="O1554" s="21"/>
      <c r="P1554" s="21" t="s">
        <v>3356</v>
      </c>
      <c r="Q1554" s="21"/>
      <c r="R1554" s="21"/>
      <c r="S1554" s="3" t="s">
        <v>40</v>
      </c>
      <c r="T1554" s="21" t="s">
        <v>41</v>
      </c>
      <c r="U1554" s="21"/>
      <c r="V1554" s="4" t="s">
        <v>42</v>
      </c>
      <c r="W1554" s="4" t="s">
        <v>59</v>
      </c>
      <c r="X1554" s="4" t="s">
        <v>131</v>
      </c>
      <c r="Y1554" s="21" t="s">
        <v>65</v>
      </c>
      <c r="Z1554" s="21"/>
      <c r="AA1554" s="4" t="s">
        <v>46</v>
      </c>
      <c r="AB1554" s="4" t="s">
        <v>47</v>
      </c>
      <c r="AC1554" s="4" t="s">
        <v>66</v>
      </c>
      <c r="AD1554" s="4" t="s">
        <v>73</v>
      </c>
      <c r="AE1554" s="4" t="s">
        <v>48</v>
      </c>
      <c r="AF1554" s="4" t="s">
        <v>41</v>
      </c>
      <c r="AG1554" s="4" t="s">
        <v>3190</v>
      </c>
    </row>
    <row r="1555" spans="1:33" ht="16.5" customHeight="1" x14ac:dyDescent="0.2">
      <c r="A1555" s="2" t="s">
        <v>31</v>
      </c>
      <c r="B1555" s="19" t="s">
        <v>110</v>
      </c>
      <c r="C1555" s="19"/>
      <c r="D1555" s="19"/>
      <c r="E1555" s="20" t="s">
        <v>33</v>
      </c>
      <c r="F1555" s="20"/>
      <c r="G1555" s="21" t="s">
        <v>3187</v>
      </c>
      <c r="H1555" s="21"/>
      <c r="I1555" s="21"/>
      <c r="J1555" s="3" t="s">
        <v>35</v>
      </c>
      <c r="K1555" s="4" t="s">
        <v>1301</v>
      </c>
      <c r="N1555" s="21" t="s">
        <v>3357</v>
      </c>
      <c r="O1555" s="21"/>
      <c r="P1555" s="21" t="s">
        <v>3358</v>
      </c>
      <c r="Q1555" s="21"/>
      <c r="R1555" s="21"/>
      <c r="S1555" s="3" t="s">
        <v>40</v>
      </c>
      <c r="T1555" s="21" t="s">
        <v>2316</v>
      </c>
      <c r="U1555" s="21"/>
      <c r="V1555" s="4" t="s">
        <v>42</v>
      </c>
      <c r="W1555" s="4" t="s">
        <v>104</v>
      </c>
      <c r="X1555" s="4" t="s">
        <v>105</v>
      </c>
      <c r="Y1555" s="21" t="s">
        <v>980</v>
      </c>
      <c r="Z1555" s="21"/>
      <c r="AA1555" s="4" t="s">
        <v>46</v>
      </c>
      <c r="AB1555" s="4" t="s">
        <v>117</v>
      </c>
      <c r="AC1555" s="4" t="s">
        <v>1305</v>
      </c>
      <c r="AD1555" s="4" t="s">
        <v>2317</v>
      </c>
      <c r="AE1555" s="4" t="s">
        <v>48</v>
      </c>
      <c r="AF1555" s="4" t="s">
        <v>41</v>
      </c>
      <c r="AG1555" s="4" t="s">
        <v>3190</v>
      </c>
    </row>
    <row r="1556" spans="1:33" ht="16.5" customHeight="1" x14ac:dyDescent="0.2">
      <c r="A1556" s="2" t="s">
        <v>31</v>
      </c>
      <c r="B1556" s="19" t="s">
        <v>110</v>
      </c>
      <c r="C1556" s="19"/>
      <c r="D1556" s="19"/>
      <c r="E1556" s="20" t="s">
        <v>33</v>
      </c>
      <c r="F1556" s="20"/>
      <c r="G1556" s="21" t="s">
        <v>3187</v>
      </c>
      <c r="H1556" s="21"/>
      <c r="I1556" s="21"/>
      <c r="J1556" s="3" t="s">
        <v>35</v>
      </c>
      <c r="K1556" s="4" t="s">
        <v>1301</v>
      </c>
      <c r="N1556" s="21" t="s">
        <v>3359</v>
      </c>
      <c r="O1556" s="21"/>
      <c r="P1556" s="21" t="s">
        <v>3360</v>
      </c>
      <c r="Q1556" s="21"/>
      <c r="R1556" s="21"/>
      <c r="S1556" s="3" t="s">
        <v>40</v>
      </c>
      <c r="T1556" s="21" t="s">
        <v>2320</v>
      </c>
      <c r="U1556" s="21"/>
      <c r="V1556" s="4" t="s">
        <v>59</v>
      </c>
      <c r="W1556" s="4" t="s">
        <v>85</v>
      </c>
      <c r="X1556" s="4" t="s">
        <v>95</v>
      </c>
      <c r="Y1556" s="21" t="s">
        <v>980</v>
      </c>
      <c r="Z1556" s="21"/>
      <c r="AA1556" s="4" t="s">
        <v>46</v>
      </c>
      <c r="AB1556" s="4" t="s">
        <v>117</v>
      </c>
      <c r="AC1556" s="4" t="s">
        <v>1305</v>
      </c>
      <c r="AD1556" s="4" t="s">
        <v>2321</v>
      </c>
      <c r="AE1556" s="4" t="s">
        <v>48</v>
      </c>
      <c r="AF1556" s="4" t="s">
        <v>41</v>
      </c>
      <c r="AG1556" s="4" t="s">
        <v>3190</v>
      </c>
    </row>
    <row r="1557" spans="1:33" ht="16.5" customHeight="1" x14ac:dyDescent="0.2">
      <c r="A1557" s="2" t="s">
        <v>31</v>
      </c>
      <c r="B1557" s="19" t="s">
        <v>110</v>
      </c>
      <c r="C1557" s="19"/>
      <c r="D1557" s="19"/>
      <c r="E1557" s="20" t="s">
        <v>33</v>
      </c>
      <c r="F1557" s="20"/>
      <c r="G1557" s="21" t="s">
        <v>3187</v>
      </c>
      <c r="H1557" s="21"/>
      <c r="I1557" s="21"/>
      <c r="J1557" s="3" t="s">
        <v>35</v>
      </c>
      <c r="K1557" s="4" t="s">
        <v>1301</v>
      </c>
      <c r="N1557" s="21" t="s">
        <v>3361</v>
      </c>
      <c r="O1557" s="21"/>
      <c r="P1557" s="21" t="s">
        <v>3362</v>
      </c>
      <c r="Q1557" s="21"/>
      <c r="R1557" s="21"/>
      <c r="S1557" s="3" t="s">
        <v>40</v>
      </c>
      <c r="T1557" s="21" t="s">
        <v>3363</v>
      </c>
      <c r="U1557" s="21"/>
      <c r="V1557" s="4" t="s">
        <v>59</v>
      </c>
      <c r="W1557" s="4" t="s">
        <v>94</v>
      </c>
      <c r="X1557" s="4" t="s">
        <v>105</v>
      </c>
      <c r="Y1557" s="21" t="s">
        <v>980</v>
      </c>
      <c r="Z1557" s="21"/>
      <c r="AA1557" s="4" t="s">
        <v>46</v>
      </c>
      <c r="AB1557" s="4" t="s">
        <v>117</v>
      </c>
      <c r="AC1557" s="4" t="s">
        <v>1305</v>
      </c>
      <c r="AD1557" s="4" t="s">
        <v>3364</v>
      </c>
      <c r="AE1557" s="4" t="s">
        <v>48</v>
      </c>
      <c r="AF1557" s="4" t="s">
        <v>41</v>
      </c>
      <c r="AG1557" s="4" t="s">
        <v>3190</v>
      </c>
    </row>
    <row r="1558" spans="1:33" ht="16.5" customHeight="1" x14ac:dyDescent="0.2">
      <c r="A1558" s="2" t="s">
        <v>31</v>
      </c>
      <c r="B1558" s="19" t="s">
        <v>110</v>
      </c>
      <c r="C1558" s="19"/>
      <c r="D1558" s="19"/>
      <c r="E1558" s="20" t="s">
        <v>33</v>
      </c>
      <c r="F1558" s="20"/>
      <c r="G1558" s="21" t="s">
        <v>3187</v>
      </c>
      <c r="H1558" s="21"/>
      <c r="I1558" s="21"/>
      <c r="J1558" s="3" t="s">
        <v>35</v>
      </c>
      <c r="K1558" s="4" t="s">
        <v>1301</v>
      </c>
      <c r="N1558" s="21" t="s">
        <v>3361</v>
      </c>
      <c r="O1558" s="21"/>
      <c r="P1558" s="21" t="s">
        <v>3362</v>
      </c>
      <c r="Q1558" s="21"/>
      <c r="R1558" s="21"/>
      <c r="S1558" s="3" t="s">
        <v>40</v>
      </c>
      <c r="T1558" s="21" t="s">
        <v>3365</v>
      </c>
      <c r="U1558" s="21"/>
      <c r="V1558" s="4" t="s">
        <v>59</v>
      </c>
      <c r="W1558" s="4" t="s">
        <v>94</v>
      </c>
      <c r="X1558" s="4" t="s">
        <v>105</v>
      </c>
      <c r="Y1558" s="21" t="s">
        <v>980</v>
      </c>
      <c r="Z1558" s="21"/>
      <c r="AA1558" s="4" t="s">
        <v>46</v>
      </c>
      <c r="AB1558" s="4" t="s">
        <v>117</v>
      </c>
      <c r="AC1558" s="4" t="s">
        <v>1305</v>
      </c>
      <c r="AD1558" s="4" t="s">
        <v>3366</v>
      </c>
      <c r="AE1558" s="4" t="s">
        <v>48</v>
      </c>
      <c r="AF1558" s="4" t="s">
        <v>41</v>
      </c>
      <c r="AG1558" s="4" t="s">
        <v>3190</v>
      </c>
    </row>
    <row r="1559" spans="1:33" ht="16.5" customHeight="1" x14ac:dyDescent="0.2">
      <c r="A1559" s="2" t="s">
        <v>31</v>
      </c>
      <c r="B1559" s="19" t="s">
        <v>110</v>
      </c>
      <c r="C1559" s="19"/>
      <c r="D1559" s="19"/>
      <c r="E1559" s="20" t="s">
        <v>33</v>
      </c>
      <c r="F1559" s="20"/>
      <c r="G1559" s="21" t="s">
        <v>3187</v>
      </c>
      <c r="H1559" s="21"/>
      <c r="I1559" s="21"/>
      <c r="J1559" s="3" t="s">
        <v>35</v>
      </c>
      <c r="K1559" s="4" t="s">
        <v>1301</v>
      </c>
      <c r="N1559" s="21" t="s">
        <v>3361</v>
      </c>
      <c r="O1559" s="21"/>
      <c r="P1559" s="21" t="s">
        <v>3362</v>
      </c>
      <c r="Q1559" s="21"/>
      <c r="R1559" s="21"/>
      <c r="S1559" s="3" t="s">
        <v>40</v>
      </c>
      <c r="T1559" s="21" t="s">
        <v>3365</v>
      </c>
      <c r="U1559" s="21"/>
      <c r="V1559" s="4" t="s">
        <v>59</v>
      </c>
      <c r="W1559" s="4" t="s">
        <v>94</v>
      </c>
      <c r="X1559" s="4" t="s">
        <v>105</v>
      </c>
      <c r="Y1559" s="21" t="s">
        <v>980</v>
      </c>
      <c r="Z1559" s="21"/>
      <c r="AA1559" s="4" t="s">
        <v>46</v>
      </c>
      <c r="AB1559" s="4" t="s">
        <v>117</v>
      </c>
      <c r="AC1559" s="4" t="s">
        <v>1305</v>
      </c>
      <c r="AD1559" s="4" t="s">
        <v>3366</v>
      </c>
      <c r="AE1559" s="4" t="s">
        <v>48</v>
      </c>
      <c r="AF1559" s="4" t="s">
        <v>41</v>
      </c>
      <c r="AG1559" s="4" t="s">
        <v>3190</v>
      </c>
    </row>
    <row r="1560" spans="1:33" ht="16.5" customHeight="1" x14ac:dyDescent="0.2">
      <c r="A1560" s="2" t="s">
        <v>31</v>
      </c>
      <c r="B1560" s="19" t="s">
        <v>110</v>
      </c>
      <c r="C1560" s="19"/>
      <c r="D1560" s="19"/>
      <c r="E1560" s="20" t="s">
        <v>33</v>
      </c>
      <c r="F1560" s="20"/>
      <c r="G1560" s="21" t="s">
        <v>3187</v>
      </c>
      <c r="H1560" s="21"/>
      <c r="I1560" s="21"/>
      <c r="J1560" s="3" t="s">
        <v>35</v>
      </c>
      <c r="K1560" s="4" t="s">
        <v>1301</v>
      </c>
      <c r="N1560" s="21" t="s">
        <v>3361</v>
      </c>
      <c r="O1560" s="21"/>
      <c r="P1560" s="21" t="s">
        <v>3362</v>
      </c>
      <c r="Q1560" s="21"/>
      <c r="R1560" s="21"/>
      <c r="S1560" s="3" t="s">
        <v>40</v>
      </c>
      <c r="T1560" s="21" t="s">
        <v>3363</v>
      </c>
      <c r="U1560" s="21"/>
      <c r="V1560" s="4" t="s">
        <v>130</v>
      </c>
      <c r="W1560" s="4" t="s">
        <v>94</v>
      </c>
      <c r="X1560" s="4" t="s">
        <v>109</v>
      </c>
      <c r="Y1560" s="21" t="s">
        <v>980</v>
      </c>
      <c r="Z1560" s="21"/>
      <c r="AA1560" s="4" t="s">
        <v>46</v>
      </c>
      <c r="AB1560" s="4" t="s">
        <v>117</v>
      </c>
      <c r="AC1560" s="4" t="s">
        <v>1305</v>
      </c>
      <c r="AD1560" s="4" t="s">
        <v>3364</v>
      </c>
      <c r="AE1560" s="4" t="s">
        <v>48</v>
      </c>
      <c r="AF1560" s="4" t="s">
        <v>41</v>
      </c>
      <c r="AG1560" s="4" t="s">
        <v>3190</v>
      </c>
    </row>
    <row r="1561" spans="1:33" ht="16.5" customHeight="1" x14ac:dyDescent="0.2">
      <c r="A1561" s="2" t="s">
        <v>31</v>
      </c>
      <c r="B1561" s="19" t="s">
        <v>110</v>
      </c>
      <c r="C1561" s="19"/>
      <c r="D1561" s="19"/>
      <c r="E1561" s="20" t="s">
        <v>33</v>
      </c>
      <c r="F1561" s="20"/>
      <c r="G1561" s="21" t="s">
        <v>3187</v>
      </c>
      <c r="H1561" s="21"/>
      <c r="I1561" s="21"/>
      <c r="J1561" s="3" t="s">
        <v>35</v>
      </c>
      <c r="K1561" s="4" t="s">
        <v>1301</v>
      </c>
      <c r="N1561" s="21" t="s">
        <v>3361</v>
      </c>
      <c r="O1561" s="21"/>
      <c r="P1561" s="21" t="s">
        <v>3362</v>
      </c>
      <c r="Q1561" s="21"/>
      <c r="R1561" s="21"/>
      <c r="S1561" s="3" t="s">
        <v>40</v>
      </c>
      <c r="T1561" s="21" t="s">
        <v>3365</v>
      </c>
      <c r="U1561" s="21"/>
      <c r="V1561" s="4" t="s">
        <v>130</v>
      </c>
      <c r="W1561" s="4" t="s">
        <v>94</v>
      </c>
      <c r="X1561" s="4" t="s">
        <v>109</v>
      </c>
      <c r="Y1561" s="21" t="s">
        <v>980</v>
      </c>
      <c r="Z1561" s="21"/>
      <c r="AA1561" s="4" t="s">
        <v>46</v>
      </c>
      <c r="AB1561" s="4" t="s">
        <v>117</v>
      </c>
      <c r="AC1561" s="4" t="s">
        <v>1305</v>
      </c>
      <c r="AD1561" s="4" t="s">
        <v>3366</v>
      </c>
      <c r="AE1561" s="4" t="s">
        <v>48</v>
      </c>
      <c r="AF1561" s="4" t="s">
        <v>41</v>
      </c>
      <c r="AG1561" s="4" t="s">
        <v>3190</v>
      </c>
    </row>
    <row r="1562" spans="1:33" ht="16.5" customHeight="1" x14ac:dyDescent="0.2">
      <c r="A1562" s="2" t="s">
        <v>31</v>
      </c>
      <c r="B1562" s="19" t="s">
        <v>110</v>
      </c>
      <c r="C1562" s="19"/>
      <c r="D1562" s="19"/>
      <c r="E1562" s="20" t="s">
        <v>33</v>
      </c>
      <c r="F1562" s="20"/>
      <c r="G1562" s="21" t="s">
        <v>3187</v>
      </c>
      <c r="H1562" s="21"/>
      <c r="I1562" s="21"/>
      <c r="J1562" s="3" t="s">
        <v>35</v>
      </c>
      <c r="K1562" s="4" t="s">
        <v>1301</v>
      </c>
      <c r="N1562" s="21" t="s">
        <v>3361</v>
      </c>
      <c r="O1562" s="21"/>
      <c r="P1562" s="21" t="s">
        <v>3362</v>
      </c>
      <c r="Q1562" s="21"/>
      <c r="R1562" s="21"/>
      <c r="S1562" s="3" t="s">
        <v>40</v>
      </c>
      <c r="T1562" s="21" t="s">
        <v>3365</v>
      </c>
      <c r="U1562" s="21"/>
      <c r="V1562" s="4" t="s">
        <v>54</v>
      </c>
      <c r="W1562" s="4" t="s">
        <v>94</v>
      </c>
      <c r="X1562" s="4" t="s">
        <v>382</v>
      </c>
      <c r="Y1562" s="21" t="s">
        <v>980</v>
      </c>
      <c r="Z1562" s="21"/>
      <c r="AA1562" s="4" t="s">
        <v>46</v>
      </c>
      <c r="AB1562" s="4" t="s">
        <v>117</v>
      </c>
      <c r="AC1562" s="4" t="s">
        <v>1305</v>
      </c>
      <c r="AD1562" s="4" t="s">
        <v>3366</v>
      </c>
      <c r="AE1562" s="4" t="s">
        <v>48</v>
      </c>
      <c r="AF1562" s="4" t="s">
        <v>41</v>
      </c>
      <c r="AG1562" s="4" t="s">
        <v>3190</v>
      </c>
    </row>
    <row r="1563" spans="1:33" ht="16.5" customHeight="1" x14ac:dyDescent="0.2">
      <c r="A1563" s="2" t="s">
        <v>31</v>
      </c>
      <c r="B1563" s="19" t="s">
        <v>110</v>
      </c>
      <c r="C1563" s="19"/>
      <c r="D1563" s="19"/>
      <c r="E1563" s="20" t="s">
        <v>33</v>
      </c>
      <c r="F1563" s="20"/>
      <c r="G1563" s="21" t="s">
        <v>3187</v>
      </c>
      <c r="H1563" s="21"/>
      <c r="I1563" s="21"/>
      <c r="J1563" s="3" t="s">
        <v>35</v>
      </c>
      <c r="K1563" s="4" t="s">
        <v>1301</v>
      </c>
      <c r="N1563" s="21" t="s">
        <v>3361</v>
      </c>
      <c r="O1563" s="21"/>
      <c r="P1563" s="21" t="s">
        <v>3362</v>
      </c>
      <c r="Q1563" s="21"/>
      <c r="R1563" s="21"/>
      <c r="S1563" s="3" t="s">
        <v>40</v>
      </c>
      <c r="T1563" s="21" t="s">
        <v>3363</v>
      </c>
      <c r="U1563" s="21"/>
      <c r="V1563" s="4" t="s">
        <v>54</v>
      </c>
      <c r="W1563" s="4" t="s">
        <v>94</v>
      </c>
      <c r="X1563" s="4" t="s">
        <v>382</v>
      </c>
      <c r="Y1563" s="21" t="s">
        <v>980</v>
      </c>
      <c r="Z1563" s="21"/>
      <c r="AA1563" s="4" t="s">
        <v>46</v>
      </c>
      <c r="AB1563" s="4" t="s">
        <v>117</v>
      </c>
      <c r="AC1563" s="4" t="s">
        <v>1305</v>
      </c>
      <c r="AD1563" s="4" t="s">
        <v>3364</v>
      </c>
      <c r="AE1563" s="4" t="s">
        <v>48</v>
      </c>
      <c r="AF1563" s="4" t="s">
        <v>41</v>
      </c>
      <c r="AG1563" s="4" t="s">
        <v>3190</v>
      </c>
    </row>
    <row r="1564" spans="1:33" ht="16.5" customHeight="1" x14ac:dyDescent="0.2">
      <c r="A1564" s="2" t="s">
        <v>31</v>
      </c>
      <c r="B1564" s="19" t="s">
        <v>110</v>
      </c>
      <c r="C1564" s="19"/>
      <c r="D1564" s="19"/>
      <c r="E1564" s="20" t="s">
        <v>33</v>
      </c>
      <c r="F1564" s="20"/>
      <c r="G1564" s="21" t="s">
        <v>3187</v>
      </c>
      <c r="H1564" s="21"/>
      <c r="I1564" s="21"/>
      <c r="J1564" s="3" t="s">
        <v>35</v>
      </c>
      <c r="K1564" s="4" t="s">
        <v>1301</v>
      </c>
      <c r="N1564" s="21" t="s">
        <v>3361</v>
      </c>
      <c r="O1564" s="21"/>
      <c r="P1564" s="21" t="s">
        <v>3362</v>
      </c>
      <c r="Q1564" s="21"/>
      <c r="R1564" s="21"/>
      <c r="S1564" s="3" t="s">
        <v>40</v>
      </c>
      <c r="T1564" s="21" t="s">
        <v>3365</v>
      </c>
      <c r="U1564" s="21"/>
      <c r="V1564" s="4" t="s">
        <v>381</v>
      </c>
      <c r="W1564" s="4" t="s">
        <v>94</v>
      </c>
      <c r="X1564" s="4" t="s">
        <v>55</v>
      </c>
      <c r="Y1564" s="21" t="s">
        <v>980</v>
      </c>
      <c r="Z1564" s="21"/>
      <c r="AA1564" s="4" t="s">
        <v>46</v>
      </c>
      <c r="AB1564" s="4" t="s">
        <v>117</v>
      </c>
      <c r="AC1564" s="4" t="s">
        <v>1305</v>
      </c>
      <c r="AD1564" s="4" t="s">
        <v>3366</v>
      </c>
      <c r="AE1564" s="4" t="s">
        <v>48</v>
      </c>
      <c r="AF1564" s="4" t="s">
        <v>41</v>
      </c>
      <c r="AG1564" s="4" t="s">
        <v>3190</v>
      </c>
    </row>
    <row r="1565" spans="1:33" ht="16.5" customHeight="1" x14ac:dyDescent="0.2">
      <c r="A1565" s="2" t="s">
        <v>31</v>
      </c>
      <c r="B1565" s="19" t="s">
        <v>110</v>
      </c>
      <c r="C1565" s="19"/>
      <c r="D1565" s="19"/>
      <c r="E1565" s="20" t="s">
        <v>33</v>
      </c>
      <c r="F1565" s="20"/>
      <c r="G1565" s="21" t="s">
        <v>3187</v>
      </c>
      <c r="H1565" s="21"/>
      <c r="I1565" s="21"/>
      <c r="J1565" s="3" t="s">
        <v>35</v>
      </c>
      <c r="K1565" s="4" t="s">
        <v>1301</v>
      </c>
      <c r="N1565" s="21" t="s">
        <v>3361</v>
      </c>
      <c r="O1565" s="21"/>
      <c r="P1565" s="21" t="s">
        <v>3362</v>
      </c>
      <c r="Q1565" s="21"/>
      <c r="R1565" s="21"/>
      <c r="S1565" s="3" t="s">
        <v>40</v>
      </c>
      <c r="T1565" s="21" t="s">
        <v>3363</v>
      </c>
      <c r="U1565" s="21"/>
      <c r="V1565" s="4" t="s">
        <v>381</v>
      </c>
      <c r="W1565" s="4" t="s">
        <v>94</v>
      </c>
      <c r="X1565" s="4" t="s">
        <v>55</v>
      </c>
      <c r="Y1565" s="21" t="s">
        <v>980</v>
      </c>
      <c r="Z1565" s="21"/>
      <c r="AA1565" s="4" t="s">
        <v>46</v>
      </c>
      <c r="AB1565" s="4" t="s">
        <v>117</v>
      </c>
      <c r="AC1565" s="4" t="s">
        <v>1305</v>
      </c>
      <c r="AD1565" s="4" t="s">
        <v>3364</v>
      </c>
      <c r="AE1565" s="4" t="s">
        <v>48</v>
      </c>
      <c r="AF1565" s="4" t="s">
        <v>41</v>
      </c>
      <c r="AG1565" s="4" t="s">
        <v>3190</v>
      </c>
    </row>
    <row r="1566" spans="1:33" ht="16.5" customHeight="1" x14ac:dyDescent="0.2">
      <c r="A1566" s="2" t="s">
        <v>31</v>
      </c>
      <c r="B1566" s="19" t="s">
        <v>110</v>
      </c>
      <c r="C1566" s="19"/>
      <c r="D1566" s="19"/>
      <c r="E1566" s="20" t="s">
        <v>33</v>
      </c>
      <c r="F1566" s="20"/>
      <c r="G1566" s="21" t="s">
        <v>3187</v>
      </c>
      <c r="H1566" s="21"/>
      <c r="I1566" s="21"/>
      <c r="J1566" s="3" t="s">
        <v>35</v>
      </c>
      <c r="K1566" s="4" t="s">
        <v>1301</v>
      </c>
      <c r="N1566" s="21" t="s">
        <v>3361</v>
      </c>
      <c r="O1566" s="21"/>
      <c r="P1566" s="21" t="s">
        <v>3362</v>
      </c>
      <c r="Q1566" s="21"/>
      <c r="R1566" s="21"/>
      <c r="S1566" s="3" t="s">
        <v>40</v>
      </c>
      <c r="T1566" s="21" t="s">
        <v>3365</v>
      </c>
      <c r="U1566" s="21"/>
      <c r="V1566" s="4" t="s">
        <v>108</v>
      </c>
      <c r="W1566" s="4" t="s">
        <v>94</v>
      </c>
      <c r="X1566" s="4" t="s">
        <v>60</v>
      </c>
      <c r="Y1566" s="21" t="s">
        <v>980</v>
      </c>
      <c r="Z1566" s="21"/>
      <c r="AA1566" s="4" t="s">
        <v>46</v>
      </c>
      <c r="AB1566" s="4" t="s">
        <v>117</v>
      </c>
      <c r="AC1566" s="4" t="s">
        <v>1305</v>
      </c>
      <c r="AD1566" s="4" t="s">
        <v>3366</v>
      </c>
      <c r="AE1566" s="4" t="s">
        <v>48</v>
      </c>
      <c r="AF1566" s="4" t="s">
        <v>41</v>
      </c>
      <c r="AG1566" s="4" t="s">
        <v>3190</v>
      </c>
    </row>
    <row r="1567" spans="1:33" ht="16.5" customHeight="1" x14ac:dyDescent="0.2">
      <c r="A1567" s="2" t="s">
        <v>31</v>
      </c>
      <c r="B1567" s="19" t="s">
        <v>110</v>
      </c>
      <c r="C1567" s="19"/>
      <c r="D1567" s="19"/>
      <c r="E1567" s="20" t="s">
        <v>33</v>
      </c>
      <c r="F1567" s="20"/>
      <c r="G1567" s="21" t="s">
        <v>3187</v>
      </c>
      <c r="H1567" s="21"/>
      <c r="I1567" s="21"/>
      <c r="J1567" s="3" t="s">
        <v>35</v>
      </c>
      <c r="K1567" s="4" t="s">
        <v>1301</v>
      </c>
      <c r="N1567" s="21" t="s">
        <v>3361</v>
      </c>
      <c r="O1567" s="21"/>
      <c r="P1567" s="21" t="s">
        <v>3362</v>
      </c>
      <c r="Q1567" s="21"/>
      <c r="R1567" s="21"/>
      <c r="S1567" s="3" t="s">
        <v>40</v>
      </c>
      <c r="T1567" s="21" t="s">
        <v>3363</v>
      </c>
      <c r="U1567" s="21"/>
      <c r="V1567" s="4" t="s">
        <v>108</v>
      </c>
      <c r="W1567" s="4" t="s">
        <v>94</v>
      </c>
      <c r="X1567" s="4" t="s">
        <v>60</v>
      </c>
      <c r="Y1567" s="21" t="s">
        <v>980</v>
      </c>
      <c r="Z1567" s="21"/>
      <c r="AA1567" s="4" t="s">
        <v>46</v>
      </c>
      <c r="AB1567" s="4" t="s">
        <v>117</v>
      </c>
      <c r="AC1567" s="4" t="s">
        <v>1305</v>
      </c>
      <c r="AD1567" s="4" t="s">
        <v>3364</v>
      </c>
      <c r="AE1567" s="4" t="s">
        <v>48</v>
      </c>
      <c r="AF1567" s="4" t="s">
        <v>41</v>
      </c>
      <c r="AG1567" s="4" t="s">
        <v>3190</v>
      </c>
    </row>
    <row r="1568" spans="1:33" ht="16.5" customHeight="1" x14ac:dyDescent="0.2">
      <c r="A1568" s="2" t="s">
        <v>31</v>
      </c>
      <c r="B1568" s="19" t="s">
        <v>110</v>
      </c>
      <c r="C1568" s="19"/>
      <c r="D1568" s="19"/>
      <c r="E1568" s="20" t="s">
        <v>33</v>
      </c>
      <c r="F1568" s="20"/>
      <c r="G1568" s="21" t="s">
        <v>3187</v>
      </c>
      <c r="H1568" s="21"/>
      <c r="I1568" s="21"/>
      <c r="J1568" s="3" t="s">
        <v>35</v>
      </c>
      <c r="K1568" s="4" t="s">
        <v>1301</v>
      </c>
      <c r="N1568" s="21" t="s">
        <v>3361</v>
      </c>
      <c r="O1568" s="21"/>
      <c r="P1568" s="21" t="s">
        <v>3362</v>
      </c>
      <c r="Q1568" s="21"/>
      <c r="R1568" s="21"/>
      <c r="S1568" s="3" t="s">
        <v>40</v>
      </c>
      <c r="T1568" s="21" t="s">
        <v>3365</v>
      </c>
      <c r="U1568" s="21"/>
      <c r="V1568" s="4" t="s">
        <v>104</v>
      </c>
      <c r="W1568" s="4" t="s">
        <v>94</v>
      </c>
      <c r="X1568" s="4" t="s">
        <v>131</v>
      </c>
      <c r="Y1568" s="21" t="s">
        <v>980</v>
      </c>
      <c r="Z1568" s="21"/>
      <c r="AA1568" s="4" t="s">
        <v>46</v>
      </c>
      <c r="AB1568" s="4" t="s">
        <v>117</v>
      </c>
      <c r="AC1568" s="4" t="s">
        <v>1305</v>
      </c>
      <c r="AD1568" s="4" t="s">
        <v>3366</v>
      </c>
      <c r="AE1568" s="4" t="s">
        <v>48</v>
      </c>
      <c r="AF1568" s="4" t="s">
        <v>41</v>
      </c>
      <c r="AG1568" s="4" t="s">
        <v>3190</v>
      </c>
    </row>
    <row r="1569" spans="1:33" ht="16.5" customHeight="1" x14ac:dyDescent="0.2">
      <c r="A1569" s="2" t="s">
        <v>31</v>
      </c>
      <c r="B1569" s="19" t="s">
        <v>110</v>
      </c>
      <c r="C1569" s="19"/>
      <c r="D1569" s="19"/>
      <c r="E1569" s="20" t="s">
        <v>33</v>
      </c>
      <c r="F1569" s="20"/>
      <c r="G1569" s="21" t="s">
        <v>3187</v>
      </c>
      <c r="H1569" s="21"/>
      <c r="I1569" s="21"/>
      <c r="J1569" s="3" t="s">
        <v>35</v>
      </c>
      <c r="K1569" s="4" t="s">
        <v>1301</v>
      </c>
      <c r="N1569" s="21" t="s">
        <v>3361</v>
      </c>
      <c r="O1569" s="21"/>
      <c r="P1569" s="21" t="s">
        <v>3362</v>
      </c>
      <c r="Q1569" s="21"/>
      <c r="R1569" s="21"/>
      <c r="S1569" s="3" t="s">
        <v>40</v>
      </c>
      <c r="T1569" s="21" t="s">
        <v>3363</v>
      </c>
      <c r="U1569" s="21"/>
      <c r="V1569" s="4" t="s">
        <v>104</v>
      </c>
      <c r="W1569" s="4" t="s">
        <v>94</v>
      </c>
      <c r="X1569" s="4" t="s">
        <v>131</v>
      </c>
      <c r="Y1569" s="21" t="s">
        <v>980</v>
      </c>
      <c r="Z1569" s="21"/>
      <c r="AA1569" s="4" t="s">
        <v>46</v>
      </c>
      <c r="AB1569" s="4" t="s">
        <v>117</v>
      </c>
      <c r="AC1569" s="4" t="s">
        <v>1305</v>
      </c>
      <c r="AD1569" s="4" t="s">
        <v>3364</v>
      </c>
      <c r="AE1569" s="4" t="s">
        <v>48</v>
      </c>
      <c r="AF1569" s="4" t="s">
        <v>41</v>
      </c>
      <c r="AG1569" s="4" t="s">
        <v>3190</v>
      </c>
    </row>
    <row r="1570" spans="1:33" ht="16.5" customHeight="1" x14ac:dyDescent="0.2">
      <c r="A1570" s="2" t="s">
        <v>31</v>
      </c>
      <c r="B1570" s="19" t="s">
        <v>110</v>
      </c>
      <c r="C1570" s="19"/>
      <c r="D1570" s="19"/>
      <c r="E1570" s="20" t="s">
        <v>33</v>
      </c>
      <c r="F1570" s="20"/>
      <c r="G1570" s="21" t="s">
        <v>3187</v>
      </c>
      <c r="H1570" s="21"/>
      <c r="I1570" s="21"/>
      <c r="J1570" s="3" t="s">
        <v>35</v>
      </c>
      <c r="K1570" s="4" t="s">
        <v>1301</v>
      </c>
      <c r="N1570" s="21" t="s">
        <v>3367</v>
      </c>
      <c r="O1570" s="21"/>
      <c r="P1570" s="21" t="s">
        <v>3368</v>
      </c>
      <c r="Q1570" s="21"/>
      <c r="R1570" s="21"/>
      <c r="S1570" s="3" t="s">
        <v>40</v>
      </c>
      <c r="T1570" s="21" t="s">
        <v>3369</v>
      </c>
      <c r="U1570" s="21"/>
      <c r="V1570" s="4" t="s">
        <v>59</v>
      </c>
      <c r="W1570" s="4" t="s">
        <v>54</v>
      </c>
      <c r="X1570" s="4" t="s">
        <v>60</v>
      </c>
      <c r="Y1570" s="21" t="s">
        <v>980</v>
      </c>
      <c r="Z1570" s="21"/>
      <c r="AA1570" s="4" t="s">
        <v>46</v>
      </c>
      <c r="AB1570" s="4" t="s">
        <v>117</v>
      </c>
      <c r="AC1570" s="4" t="s">
        <v>1305</v>
      </c>
      <c r="AD1570" s="4" t="s">
        <v>3370</v>
      </c>
      <c r="AE1570" s="4" t="s">
        <v>48</v>
      </c>
      <c r="AF1570" s="4" t="s">
        <v>41</v>
      </c>
      <c r="AG1570" s="4" t="s">
        <v>3190</v>
      </c>
    </row>
    <row r="1571" spans="1:33" ht="16.5" customHeight="1" x14ac:dyDescent="0.2">
      <c r="A1571" s="2" t="s">
        <v>31</v>
      </c>
      <c r="B1571" s="19" t="s">
        <v>110</v>
      </c>
      <c r="C1571" s="19"/>
      <c r="D1571" s="19"/>
      <c r="E1571" s="20" t="s">
        <v>33</v>
      </c>
      <c r="F1571" s="20"/>
      <c r="G1571" s="21" t="s">
        <v>3187</v>
      </c>
      <c r="H1571" s="21"/>
      <c r="I1571" s="21"/>
      <c r="J1571" s="3" t="s">
        <v>35</v>
      </c>
      <c r="K1571" s="4" t="s">
        <v>1301</v>
      </c>
      <c r="N1571" s="21" t="s">
        <v>3371</v>
      </c>
      <c r="O1571" s="21"/>
      <c r="P1571" s="21" t="s">
        <v>3372</v>
      </c>
      <c r="Q1571" s="21"/>
      <c r="R1571" s="21"/>
      <c r="S1571" s="3" t="s">
        <v>40</v>
      </c>
      <c r="T1571" s="21" t="s">
        <v>3373</v>
      </c>
      <c r="U1571" s="21"/>
      <c r="V1571" s="4" t="s">
        <v>59</v>
      </c>
      <c r="W1571" s="4" t="s">
        <v>54</v>
      </c>
      <c r="X1571" s="4" t="s">
        <v>60</v>
      </c>
      <c r="Y1571" s="21" t="s">
        <v>980</v>
      </c>
      <c r="Z1571" s="21"/>
      <c r="AA1571" s="4" t="s">
        <v>46</v>
      </c>
      <c r="AB1571" s="4" t="s">
        <v>117</v>
      </c>
      <c r="AC1571" s="4" t="s">
        <v>1305</v>
      </c>
      <c r="AD1571" s="4" t="s">
        <v>3374</v>
      </c>
      <c r="AE1571" s="4" t="s">
        <v>48</v>
      </c>
      <c r="AF1571" s="4" t="s">
        <v>41</v>
      </c>
      <c r="AG1571" s="4" t="s">
        <v>3190</v>
      </c>
    </row>
    <row r="1572" spans="1:33" ht="16.5" customHeight="1" x14ac:dyDescent="0.2">
      <c r="A1572" s="2" t="s">
        <v>31</v>
      </c>
      <c r="B1572" s="19" t="s">
        <v>110</v>
      </c>
      <c r="C1572" s="19"/>
      <c r="D1572" s="19"/>
      <c r="E1572" s="20" t="s">
        <v>33</v>
      </c>
      <c r="F1572" s="20"/>
      <c r="G1572" s="21" t="s">
        <v>3187</v>
      </c>
      <c r="H1572" s="21"/>
      <c r="I1572" s="21"/>
      <c r="J1572" s="3" t="s">
        <v>35</v>
      </c>
      <c r="K1572" s="4" t="s">
        <v>394</v>
      </c>
      <c r="N1572" s="21" t="s">
        <v>3375</v>
      </c>
      <c r="O1572" s="21"/>
      <c r="P1572" s="21" t="s">
        <v>3376</v>
      </c>
      <c r="Q1572" s="21"/>
      <c r="R1572" s="21"/>
      <c r="S1572" s="3" t="s">
        <v>40</v>
      </c>
      <c r="T1572" s="21" t="s">
        <v>3377</v>
      </c>
      <c r="U1572" s="21"/>
      <c r="V1572" s="4" t="s">
        <v>42</v>
      </c>
      <c r="W1572" s="4" t="s">
        <v>59</v>
      </c>
      <c r="X1572" s="4" t="s">
        <v>131</v>
      </c>
      <c r="Y1572" s="21" t="s">
        <v>398</v>
      </c>
      <c r="Z1572" s="21"/>
      <c r="AA1572" s="4" t="s">
        <v>46</v>
      </c>
      <c r="AB1572" s="4" t="s">
        <v>117</v>
      </c>
      <c r="AC1572" s="4" t="s">
        <v>970</v>
      </c>
      <c r="AD1572" s="4" t="s">
        <v>3378</v>
      </c>
      <c r="AE1572" s="4" t="s">
        <v>48</v>
      </c>
      <c r="AF1572" s="4" t="s">
        <v>41</v>
      </c>
      <c r="AG1572" s="4" t="s">
        <v>3190</v>
      </c>
    </row>
    <row r="1573" spans="1:33" ht="16.5" customHeight="1" x14ac:dyDescent="0.2">
      <c r="A1573" s="2" t="s">
        <v>31</v>
      </c>
      <c r="B1573" s="19" t="s">
        <v>50</v>
      </c>
      <c r="C1573" s="19"/>
      <c r="D1573" s="19"/>
      <c r="E1573" s="20" t="s">
        <v>33</v>
      </c>
      <c r="F1573" s="20"/>
      <c r="G1573" s="21" t="s">
        <v>3379</v>
      </c>
      <c r="H1573" s="21"/>
      <c r="I1573" s="21"/>
      <c r="J1573" s="3" t="s">
        <v>35</v>
      </c>
      <c r="K1573" s="4" t="s">
        <v>82</v>
      </c>
      <c r="L1573" s="4" t="s">
        <v>37</v>
      </c>
      <c r="N1573" s="21" t="s">
        <v>3380</v>
      </c>
      <c r="O1573" s="21"/>
      <c r="P1573" s="21" t="s">
        <v>3381</v>
      </c>
      <c r="Q1573" s="21"/>
      <c r="R1573" s="21"/>
      <c r="S1573" s="3" t="s">
        <v>40</v>
      </c>
      <c r="T1573" s="21" t="s">
        <v>41</v>
      </c>
      <c r="U1573" s="21"/>
      <c r="V1573" s="4" t="s">
        <v>42</v>
      </c>
      <c r="W1573" s="4" t="s">
        <v>1425</v>
      </c>
      <c r="X1573" s="4" t="s">
        <v>1426</v>
      </c>
      <c r="Y1573" s="21" t="s">
        <v>56</v>
      </c>
      <c r="Z1573" s="21"/>
      <c r="AA1573" s="4" t="s">
        <v>46</v>
      </c>
      <c r="AB1573" s="4" t="s">
        <v>47</v>
      </c>
      <c r="AC1573" s="4" t="s">
        <v>81</v>
      </c>
      <c r="AD1573" s="4" t="s">
        <v>41</v>
      </c>
      <c r="AE1573" s="4" t="s">
        <v>48</v>
      </c>
      <c r="AF1573" s="4" t="s">
        <v>41</v>
      </c>
      <c r="AG1573" s="4" t="s">
        <v>3382</v>
      </c>
    </row>
    <row r="1574" spans="1:33" ht="16.5" customHeight="1" x14ac:dyDescent="0.2">
      <c r="A1574" s="2" t="s">
        <v>31</v>
      </c>
      <c r="B1574" s="19" t="s">
        <v>50</v>
      </c>
      <c r="C1574" s="19"/>
      <c r="D1574" s="19"/>
      <c r="E1574" s="20" t="s">
        <v>33</v>
      </c>
      <c r="F1574" s="20"/>
      <c r="G1574" s="21" t="s">
        <v>3379</v>
      </c>
      <c r="H1574" s="21"/>
      <c r="I1574" s="21"/>
      <c r="J1574" s="3" t="s">
        <v>35</v>
      </c>
      <c r="K1574" s="4" t="s">
        <v>661</v>
      </c>
      <c r="L1574" s="4" t="s">
        <v>37</v>
      </c>
      <c r="N1574" s="21" t="s">
        <v>3383</v>
      </c>
      <c r="O1574" s="21"/>
      <c r="P1574" s="21" t="s">
        <v>3384</v>
      </c>
      <c r="Q1574" s="21"/>
      <c r="R1574" s="21"/>
      <c r="S1574" s="3" t="s">
        <v>40</v>
      </c>
      <c r="T1574" s="21" t="s">
        <v>41</v>
      </c>
      <c r="U1574" s="21"/>
      <c r="V1574" s="4" t="s">
        <v>42</v>
      </c>
      <c r="W1574" s="4" t="s">
        <v>54</v>
      </c>
      <c r="X1574" s="4" t="s">
        <v>55</v>
      </c>
      <c r="Y1574" s="21" t="s">
        <v>198</v>
      </c>
      <c r="Z1574" s="21"/>
      <c r="AA1574" s="4" t="s">
        <v>46</v>
      </c>
      <c r="AB1574" s="4" t="s">
        <v>47</v>
      </c>
      <c r="AC1574" s="4" t="s">
        <v>139</v>
      </c>
      <c r="AD1574" s="4" t="s">
        <v>140</v>
      </c>
      <c r="AE1574" s="4" t="s">
        <v>48</v>
      </c>
      <c r="AF1574" s="4" t="s">
        <v>41</v>
      </c>
      <c r="AG1574" s="4" t="s">
        <v>3382</v>
      </c>
    </row>
    <row r="1575" spans="1:33" ht="16.5" customHeight="1" x14ac:dyDescent="0.2">
      <c r="A1575" s="2" t="s">
        <v>31</v>
      </c>
      <c r="B1575" s="19" t="s">
        <v>50</v>
      </c>
      <c r="C1575" s="19"/>
      <c r="D1575" s="19"/>
      <c r="E1575" s="20" t="s">
        <v>33</v>
      </c>
      <c r="F1575" s="20"/>
      <c r="G1575" s="21" t="s">
        <v>3379</v>
      </c>
      <c r="H1575" s="21"/>
      <c r="I1575" s="21"/>
      <c r="J1575" s="3" t="s">
        <v>35</v>
      </c>
      <c r="K1575" s="4" t="s">
        <v>152</v>
      </c>
      <c r="L1575" s="4" t="s">
        <v>68</v>
      </c>
      <c r="N1575" s="21" t="s">
        <v>3385</v>
      </c>
      <c r="O1575" s="21"/>
      <c r="P1575" s="21" t="s">
        <v>3386</v>
      </c>
      <c r="Q1575" s="21"/>
      <c r="R1575" s="21"/>
      <c r="S1575" s="3" t="s">
        <v>40</v>
      </c>
      <c r="T1575" s="21" t="s">
        <v>41</v>
      </c>
      <c r="U1575" s="21"/>
      <c r="V1575" s="4" t="s">
        <v>42</v>
      </c>
      <c r="W1575" s="4" t="s">
        <v>54</v>
      </c>
      <c r="X1575" s="4" t="s">
        <v>55</v>
      </c>
      <c r="Y1575" s="21" t="s">
        <v>56</v>
      </c>
      <c r="Z1575" s="21"/>
      <c r="AA1575" s="4" t="s">
        <v>46</v>
      </c>
      <c r="AB1575" s="4" t="s">
        <v>47</v>
      </c>
      <c r="AC1575" s="4" t="s">
        <v>57</v>
      </c>
      <c r="AD1575" s="4" t="s">
        <v>98</v>
      </c>
      <c r="AE1575" s="4" t="s">
        <v>48</v>
      </c>
      <c r="AF1575" s="4" t="s">
        <v>41</v>
      </c>
      <c r="AG1575" s="4" t="s">
        <v>3382</v>
      </c>
    </row>
    <row r="1576" spans="1:33" ht="16.5" customHeight="1" x14ac:dyDescent="0.2">
      <c r="A1576" s="2" t="s">
        <v>31</v>
      </c>
      <c r="B1576" s="19" t="s">
        <v>50</v>
      </c>
      <c r="C1576" s="19"/>
      <c r="D1576" s="19"/>
      <c r="E1576" s="20" t="s">
        <v>33</v>
      </c>
      <c r="F1576" s="20"/>
      <c r="G1576" s="21" t="s">
        <v>3379</v>
      </c>
      <c r="H1576" s="21"/>
      <c r="I1576" s="21"/>
      <c r="J1576" s="3" t="s">
        <v>35</v>
      </c>
      <c r="K1576" s="4" t="s">
        <v>413</v>
      </c>
      <c r="L1576" s="4" t="s">
        <v>37</v>
      </c>
      <c r="N1576" s="21" t="s">
        <v>3387</v>
      </c>
      <c r="O1576" s="21"/>
      <c r="P1576" s="21" t="s">
        <v>3388</v>
      </c>
      <c r="Q1576" s="21"/>
      <c r="R1576" s="21"/>
      <c r="S1576" s="3" t="s">
        <v>40</v>
      </c>
      <c r="T1576" s="21" t="s">
        <v>41</v>
      </c>
      <c r="U1576" s="21"/>
      <c r="V1576" s="4" t="s">
        <v>42</v>
      </c>
      <c r="W1576" s="4" t="s">
        <v>54</v>
      </c>
      <c r="X1576" s="4" t="s">
        <v>55</v>
      </c>
      <c r="Y1576" s="21" t="s">
        <v>198</v>
      </c>
      <c r="Z1576" s="21"/>
      <c r="AA1576" s="4" t="s">
        <v>46</v>
      </c>
      <c r="AB1576" s="4" t="s">
        <v>47</v>
      </c>
      <c r="AC1576" s="4" t="s">
        <v>139</v>
      </c>
      <c r="AD1576" s="4" t="s">
        <v>140</v>
      </c>
      <c r="AE1576" s="4" t="s">
        <v>48</v>
      </c>
      <c r="AF1576" s="4" t="s">
        <v>41</v>
      </c>
      <c r="AG1576" s="4" t="s">
        <v>3382</v>
      </c>
    </row>
    <row r="1577" spans="1:33" ht="16.5" customHeight="1" x14ac:dyDescent="0.2">
      <c r="A1577" s="2" t="s">
        <v>31</v>
      </c>
      <c r="B1577" s="19" t="s">
        <v>50</v>
      </c>
      <c r="C1577" s="19"/>
      <c r="D1577" s="19"/>
      <c r="E1577" s="20" t="s">
        <v>33</v>
      </c>
      <c r="F1577" s="20"/>
      <c r="G1577" s="21" t="s">
        <v>3379</v>
      </c>
      <c r="H1577" s="21"/>
      <c r="I1577" s="21"/>
      <c r="J1577" s="3" t="s">
        <v>35</v>
      </c>
      <c r="K1577" s="4" t="s">
        <v>193</v>
      </c>
      <c r="L1577" s="4" t="s">
        <v>37</v>
      </c>
      <c r="N1577" s="21" t="s">
        <v>3389</v>
      </c>
      <c r="O1577" s="21"/>
      <c r="P1577" s="21" t="s">
        <v>3390</v>
      </c>
      <c r="Q1577" s="21"/>
      <c r="R1577" s="21"/>
      <c r="S1577" s="3" t="s">
        <v>40</v>
      </c>
      <c r="T1577" s="21" t="s">
        <v>41</v>
      </c>
      <c r="U1577" s="21"/>
      <c r="V1577" s="4" t="s">
        <v>42</v>
      </c>
      <c r="W1577" s="4" t="s">
        <v>54</v>
      </c>
      <c r="X1577" s="4" t="s">
        <v>55</v>
      </c>
      <c r="Y1577" s="21" t="s">
        <v>198</v>
      </c>
      <c r="Z1577" s="21"/>
      <c r="AA1577" s="4" t="s">
        <v>46</v>
      </c>
      <c r="AB1577" s="4" t="s">
        <v>47</v>
      </c>
      <c r="AC1577" s="4" t="s">
        <v>139</v>
      </c>
      <c r="AD1577" s="4" t="s">
        <v>140</v>
      </c>
      <c r="AE1577" s="4" t="s">
        <v>48</v>
      </c>
      <c r="AF1577" s="4" t="s">
        <v>41</v>
      </c>
      <c r="AG1577" s="4" t="s">
        <v>3382</v>
      </c>
    </row>
    <row r="1578" spans="1:33" ht="16.5" customHeight="1" x14ac:dyDescent="0.2">
      <c r="A1578" s="2" t="s">
        <v>31</v>
      </c>
      <c r="B1578" s="19" t="s">
        <v>50</v>
      </c>
      <c r="C1578" s="19"/>
      <c r="D1578" s="19"/>
      <c r="E1578" s="20" t="s">
        <v>33</v>
      </c>
      <c r="F1578" s="20"/>
      <c r="G1578" s="21" t="s">
        <v>3379</v>
      </c>
      <c r="H1578" s="21"/>
      <c r="I1578" s="21"/>
      <c r="J1578" s="3" t="s">
        <v>35</v>
      </c>
      <c r="K1578" s="4" t="s">
        <v>661</v>
      </c>
      <c r="L1578" s="4" t="s">
        <v>37</v>
      </c>
      <c r="N1578" s="21" t="s">
        <v>3391</v>
      </c>
      <c r="O1578" s="21"/>
      <c r="P1578" s="21" t="s">
        <v>3392</v>
      </c>
      <c r="Q1578" s="21"/>
      <c r="R1578" s="21"/>
      <c r="S1578" s="3" t="s">
        <v>40</v>
      </c>
      <c r="T1578" s="21" t="s">
        <v>41</v>
      </c>
      <c r="U1578" s="21"/>
      <c r="V1578" s="4" t="s">
        <v>42</v>
      </c>
      <c r="W1578" s="4" t="s">
        <v>54</v>
      </c>
      <c r="X1578" s="4" t="s">
        <v>55</v>
      </c>
      <c r="Y1578" s="21" t="s">
        <v>198</v>
      </c>
      <c r="Z1578" s="21"/>
      <c r="AA1578" s="4" t="s">
        <v>46</v>
      </c>
      <c r="AB1578" s="4" t="s">
        <v>47</v>
      </c>
      <c r="AC1578" s="4" t="s">
        <v>139</v>
      </c>
      <c r="AD1578" s="4" t="s">
        <v>140</v>
      </c>
      <c r="AE1578" s="4" t="s">
        <v>48</v>
      </c>
      <c r="AF1578" s="4" t="s">
        <v>41</v>
      </c>
      <c r="AG1578" s="4" t="s">
        <v>3382</v>
      </c>
    </row>
    <row r="1579" spans="1:33" ht="16.5" customHeight="1" x14ac:dyDescent="0.2">
      <c r="A1579" s="2" t="s">
        <v>31</v>
      </c>
      <c r="B1579" s="19" t="s">
        <v>3393</v>
      </c>
      <c r="C1579" s="19"/>
      <c r="D1579" s="19"/>
      <c r="E1579" s="20" t="s">
        <v>33</v>
      </c>
      <c r="F1579" s="20"/>
      <c r="G1579" s="21" t="s">
        <v>3394</v>
      </c>
      <c r="H1579" s="21"/>
      <c r="I1579" s="21"/>
      <c r="J1579" s="3" t="s">
        <v>35</v>
      </c>
      <c r="K1579" s="4" t="s">
        <v>3395</v>
      </c>
      <c r="L1579" s="4" t="s">
        <v>37</v>
      </c>
      <c r="N1579" s="21" t="s">
        <v>3396</v>
      </c>
      <c r="O1579" s="21"/>
      <c r="P1579" s="21" t="s">
        <v>3397</v>
      </c>
      <c r="Q1579" s="21"/>
      <c r="R1579" s="21"/>
      <c r="S1579" s="3" t="s">
        <v>40</v>
      </c>
      <c r="T1579" s="21" t="s">
        <v>41</v>
      </c>
      <c r="U1579" s="21"/>
      <c r="V1579" s="4" t="s">
        <v>42</v>
      </c>
      <c r="W1579" s="4" t="s">
        <v>59</v>
      </c>
      <c r="X1579" s="4" t="s">
        <v>131</v>
      </c>
      <c r="Y1579" s="21" t="s">
        <v>45</v>
      </c>
      <c r="Z1579" s="21"/>
      <c r="AA1579" s="4" t="s">
        <v>46</v>
      </c>
      <c r="AB1579" s="4" t="s">
        <v>47</v>
      </c>
      <c r="AD1579" s="4" t="s">
        <v>3398</v>
      </c>
      <c r="AE1579" s="4" t="s">
        <v>48</v>
      </c>
      <c r="AF1579" s="4" t="s">
        <v>41</v>
      </c>
      <c r="AG1579" s="4" t="s">
        <v>3399</v>
      </c>
    </row>
    <row r="1580" spans="1:33" ht="16.5" customHeight="1" x14ac:dyDescent="0.2">
      <c r="A1580" s="2" t="s">
        <v>31</v>
      </c>
      <c r="B1580" s="19" t="s">
        <v>50</v>
      </c>
      <c r="C1580" s="19"/>
      <c r="D1580" s="19"/>
      <c r="E1580" s="20" t="s">
        <v>33</v>
      </c>
      <c r="F1580" s="20"/>
      <c r="G1580" s="21" t="s">
        <v>3394</v>
      </c>
      <c r="H1580" s="21"/>
      <c r="I1580" s="21"/>
      <c r="J1580" s="3" t="s">
        <v>35</v>
      </c>
      <c r="K1580" s="4" t="s">
        <v>82</v>
      </c>
      <c r="L1580" s="4" t="s">
        <v>37</v>
      </c>
      <c r="N1580" s="21" t="s">
        <v>3400</v>
      </c>
      <c r="O1580" s="21"/>
      <c r="P1580" s="21" t="s">
        <v>3401</v>
      </c>
      <c r="Q1580" s="21"/>
      <c r="R1580" s="21"/>
      <c r="S1580" s="3" t="s">
        <v>40</v>
      </c>
      <c r="T1580" s="21" t="s">
        <v>41</v>
      </c>
      <c r="U1580" s="21"/>
      <c r="V1580" s="4" t="s">
        <v>42</v>
      </c>
      <c r="W1580" s="4" t="s">
        <v>765</v>
      </c>
      <c r="X1580" s="4" t="s">
        <v>766</v>
      </c>
      <c r="Y1580" s="21" t="s">
        <v>56</v>
      </c>
      <c r="Z1580" s="21"/>
      <c r="AA1580" s="4" t="s">
        <v>46</v>
      </c>
      <c r="AB1580" s="4" t="s">
        <v>47</v>
      </c>
      <c r="AC1580" s="4" t="s">
        <v>139</v>
      </c>
      <c r="AD1580" s="4" t="s">
        <v>140</v>
      </c>
      <c r="AE1580" s="4" t="s">
        <v>48</v>
      </c>
      <c r="AF1580" s="4" t="s">
        <v>41</v>
      </c>
      <c r="AG1580" s="4" t="s">
        <v>3399</v>
      </c>
    </row>
    <row r="1581" spans="1:33" ht="16.5" customHeight="1" x14ac:dyDescent="0.2">
      <c r="A1581" s="2" t="s">
        <v>31</v>
      </c>
      <c r="B1581" s="19" t="s">
        <v>50</v>
      </c>
      <c r="C1581" s="19"/>
      <c r="D1581" s="19"/>
      <c r="E1581" s="20" t="s">
        <v>33</v>
      </c>
      <c r="F1581" s="20"/>
      <c r="G1581" s="21" t="s">
        <v>3394</v>
      </c>
      <c r="H1581" s="21"/>
      <c r="I1581" s="21"/>
      <c r="J1581" s="3" t="s">
        <v>35</v>
      </c>
      <c r="K1581" s="4" t="s">
        <v>413</v>
      </c>
      <c r="L1581" s="4" t="s">
        <v>37</v>
      </c>
      <c r="N1581" s="21" t="s">
        <v>3402</v>
      </c>
      <c r="O1581" s="21"/>
      <c r="P1581" s="21" t="s">
        <v>3403</v>
      </c>
      <c r="Q1581" s="21"/>
      <c r="R1581" s="21"/>
      <c r="S1581" s="3" t="s">
        <v>40</v>
      </c>
      <c r="T1581" s="21" t="s">
        <v>41</v>
      </c>
      <c r="U1581" s="21"/>
      <c r="V1581" s="4" t="s">
        <v>42</v>
      </c>
      <c r="W1581" s="4" t="s">
        <v>54</v>
      </c>
      <c r="X1581" s="4" t="s">
        <v>55</v>
      </c>
      <c r="Y1581" s="21" t="s">
        <v>198</v>
      </c>
      <c r="Z1581" s="21"/>
      <c r="AA1581" s="4" t="s">
        <v>46</v>
      </c>
      <c r="AB1581" s="4" t="s">
        <v>47</v>
      </c>
      <c r="AC1581" s="4" t="s">
        <v>139</v>
      </c>
      <c r="AD1581" s="4" t="s">
        <v>140</v>
      </c>
      <c r="AE1581" s="4" t="s">
        <v>48</v>
      </c>
      <c r="AF1581" s="4" t="s">
        <v>41</v>
      </c>
      <c r="AG1581" s="4" t="s">
        <v>3399</v>
      </c>
    </row>
    <row r="1582" spans="1:33" ht="16.5" customHeight="1" x14ac:dyDescent="0.2">
      <c r="A1582" s="2" t="s">
        <v>31</v>
      </c>
      <c r="B1582" s="19" t="s">
        <v>50</v>
      </c>
      <c r="C1582" s="19"/>
      <c r="D1582" s="19"/>
      <c r="E1582" s="20" t="s">
        <v>33</v>
      </c>
      <c r="F1582" s="20"/>
      <c r="G1582" s="21" t="s">
        <v>3394</v>
      </c>
      <c r="H1582" s="21"/>
      <c r="I1582" s="21"/>
      <c r="J1582" s="3" t="s">
        <v>35</v>
      </c>
      <c r="K1582" s="4" t="s">
        <v>413</v>
      </c>
      <c r="L1582" s="4" t="s">
        <v>37</v>
      </c>
      <c r="N1582" s="21" t="s">
        <v>3402</v>
      </c>
      <c r="O1582" s="21"/>
      <c r="P1582" s="21" t="s">
        <v>3403</v>
      </c>
      <c r="Q1582" s="21"/>
      <c r="R1582" s="21"/>
      <c r="S1582" s="3" t="s">
        <v>40</v>
      </c>
      <c r="T1582" s="21" t="s">
        <v>41</v>
      </c>
      <c r="U1582" s="21"/>
      <c r="V1582" s="4" t="s">
        <v>59</v>
      </c>
      <c r="W1582" s="4" t="s">
        <v>54</v>
      </c>
      <c r="X1582" s="4" t="s">
        <v>60</v>
      </c>
      <c r="Y1582" s="21" t="s">
        <v>198</v>
      </c>
      <c r="Z1582" s="21"/>
      <c r="AA1582" s="4" t="s">
        <v>46</v>
      </c>
      <c r="AB1582" s="4" t="s">
        <v>47</v>
      </c>
      <c r="AC1582" s="4" t="s">
        <v>139</v>
      </c>
      <c r="AD1582" s="4" t="s">
        <v>140</v>
      </c>
      <c r="AE1582" s="4" t="s">
        <v>48</v>
      </c>
      <c r="AF1582" s="4" t="s">
        <v>41</v>
      </c>
      <c r="AG1582" s="4" t="s">
        <v>3399</v>
      </c>
    </row>
    <row r="1583" spans="1:33" ht="16.5" customHeight="1" x14ac:dyDescent="0.2">
      <c r="A1583" s="2" t="s">
        <v>31</v>
      </c>
      <c r="B1583" s="19" t="s">
        <v>110</v>
      </c>
      <c r="C1583" s="19"/>
      <c r="D1583" s="19"/>
      <c r="E1583" s="20" t="s">
        <v>33</v>
      </c>
      <c r="F1583" s="20"/>
      <c r="G1583" s="21" t="s">
        <v>3394</v>
      </c>
      <c r="H1583" s="21"/>
      <c r="I1583" s="21"/>
      <c r="J1583" s="3" t="s">
        <v>35</v>
      </c>
      <c r="K1583" s="4" t="s">
        <v>394</v>
      </c>
      <c r="N1583" s="21" t="s">
        <v>3404</v>
      </c>
      <c r="O1583" s="21"/>
      <c r="P1583" s="21" t="s">
        <v>3405</v>
      </c>
      <c r="Q1583" s="21"/>
      <c r="R1583" s="21"/>
      <c r="S1583" s="3" t="s">
        <v>40</v>
      </c>
      <c r="T1583" s="21" t="s">
        <v>403</v>
      </c>
      <c r="U1583" s="21"/>
      <c r="V1583" s="4" t="s">
        <v>59</v>
      </c>
      <c r="W1583" s="4" t="s">
        <v>54</v>
      </c>
      <c r="X1583" s="4" t="s">
        <v>60</v>
      </c>
      <c r="Y1583" s="21" t="s">
        <v>398</v>
      </c>
      <c r="Z1583" s="21"/>
      <c r="AA1583" s="4" t="s">
        <v>46</v>
      </c>
      <c r="AB1583" s="4" t="s">
        <v>117</v>
      </c>
      <c r="AC1583" s="4" t="s">
        <v>399</v>
      </c>
      <c r="AD1583" s="4" t="s">
        <v>406</v>
      </c>
      <c r="AE1583" s="4" t="s">
        <v>48</v>
      </c>
      <c r="AF1583" s="4" t="s">
        <v>41</v>
      </c>
      <c r="AG1583" s="4" t="s">
        <v>3399</v>
      </c>
    </row>
    <row r="1584" spans="1:33" ht="16.5" customHeight="1" x14ac:dyDescent="0.2">
      <c r="A1584" s="2" t="s">
        <v>31</v>
      </c>
      <c r="B1584" s="19" t="s">
        <v>50</v>
      </c>
      <c r="C1584" s="19"/>
      <c r="D1584" s="19"/>
      <c r="E1584" s="20" t="s">
        <v>33</v>
      </c>
      <c r="F1584" s="20"/>
      <c r="G1584" s="21" t="s">
        <v>3406</v>
      </c>
      <c r="H1584" s="21"/>
      <c r="I1584" s="21"/>
      <c r="J1584" s="3" t="s">
        <v>35</v>
      </c>
      <c r="K1584" s="4" t="s">
        <v>247</v>
      </c>
      <c r="L1584" s="4" t="s">
        <v>231</v>
      </c>
      <c r="N1584" s="21" t="s">
        <v>3407</v>
      </c>
      <c r="O1584" s="21"/>
      <c r="P1584" s="21" t="s">
        <v>3408</v>
      </c>
      <c r="Q1584" s="21"/>
      <c r="R1584" s="21"/>
      <c r="S1584" s="3" t="s">
        <v>40</v>
      </c>
      <c r="T1584" s="21" t="s">
        <v>41</v>
      </c>
      <c r="U1584" s="21"/>
      <c r="V1584" s="4" t="s">
        <v>42</v>
      </c>
      <c r="W1584" s="4" t="s">
        <v>104</v>
      </c>
      <c r="X1584" s="4" t="s">
        <v>105</v>
      </c>
      <c r="Y1584" s="21" t="s">
        <v>65</v>
      </c>
      <c r="Z1584" s="21"/>
      <c r="AA1584" s="4" t="s">
        <v>46</v>
      </c>
      <c r="AB1584" s="4" t="s">
        <v>47</v>
      </c>
      <c r="AC1584" s="4" t="s">
        <v>66</v>
      </c>
      <c r="AD1584" s="4" t="s">
        <v>1205</v>
      </c>
      <c r="AE1584" s="4" t="s">
        <v>48</v>
      </c>
      <c r="AF1584" s="4" t="s">
        <v>41</v>
      </c>
      <c r="AG1584" s="4" t="s">
        <v>3409</v>
      </c>
    </row>
    <row r="1585" spans="1:33" ht="16.5" customHeight="1" x14ac:dyDescent="0.2">
      <c r="A1585" s="2" t="s">
        <v>31</v>
      </c>
      <c r="B1585" s="19" t="s">
        <v>32</v>
      </c>
      <c r="C1585" s="19"/>
      <c r="D1585" s="19"/>
      <c r="E1585" s="20" t="s">
        <v>33</v>
      </c>
      <c r="F1585" s="20"/>
      <c r="G1585" s="21" t="s">
        <v>3410</v>
      </c>
      <c r="H1585" s="21"/>
      <c r="I1585" s="21"/>
      <c r="J1585" s="3" t="s">
        <v>35</v>
      </c>
      <c r="K1585" s="4" t="s">
        <v>3395</v>
      </c>
      <c r="L1585" s="4" t="s">
        <v>37</v>
      </c>
      <c r="N1585" s="21" t="s">
        <v>3411</v>
      </c>
      <c r="O1585" s="21"/>
      <c r="P1585" s="21" t="s">
        <v>3412</v>
      </c>
      <c r="Q1585" s="21"/>
      <c r="R1585" s="21"/>
      <c r="S1585" s="3" t="s">
        <v>40</v>
      </c>
      <c r="T1585" s="21" t="s">
        <v>41</v>
      </c>
      <c r="U1585" s="21"/>
      <c r="V1585" s="4" t="s">
        <v>42</v>
      </c>
      <c r="W1585" s="4" t="s">
        <v>54</v>
      </c>
      <c r="X1585" s="4" t="s">
        <v>55</v>
      </c>
      <c r="Y1585" s="21" t="s">
        <v>45</v>
      </c>
      <c r="Z1585" s="21"/>
      <c r="AA1585" s="4" t="s">
        <v>46</v>
      </c>
      <c r="AB1585" s="4" t="s">
        <v>47</v>
      </c>
      <c r="AD1585" s="4" t="s">
        <v>41</v>
      </c>
      <c r="AE1585" s="4" t="s">
        <v>48</v>
      </c>
      <c r="AF1585" s="4" t="s">
        <v>41</v>
      </c>
      <c r="AG1585" s="4" t="s">
        <v>3413</v>
      </c>
    </row>
    <row r="1586" spans="1:33" ht="16.5" customHeight="1" x14ac:dyDescent="0.2">
      <c r="A1586" s="2" t="s">
        <v>31</v>
      </c>
      <c r="B1586" s="19" t="s">
        <v>50</v>
      </c>
      <c r="C1586" s="19"/>
      <c r="D1586" s="19"/>
      <c r="E1586" s="20" t="s">
        <v>33</v>
      </c>
      <c r="F1586" s="20"/>
      <c r="G1586" s="21" t="s">
        <v>3410</v>
      </c>
      <c r="H1586" s="21"/>
      <c r="I1586" s="21"/>
      <c r="J1586" s="3" t="s">
        <v>35</v>
      </c>
      <c r="K1586" s="4" t="s">
        <v>661</v>
      </c>
      <c r="L1586" s="4" t="s">
        <v>37</v>
      </c>
      <c r="N1586" s="21" t="s">
        <v>3414</v>
      </c>
      <c r="O1586" s="21"/>
      <c r="P1586" s="21" t="s">
        <v>3415</v>
      </c>
      <c r="Q1586" s="21"/>
      <c r="R1586" s="21"/>
      <c r="S1586" s="3" t="s">
        <v>40</v>
      </c>
      <c r="T1586" s="21" t="s">
        <v>41</v>
      </c>
      <c r="U1586" s="21"/>
      <c r="V1586" s="4" t="s">
        <v>42</v>
      </c>
      <c r="W1586" s="4" t="s">
        <v>161</v>
      </c>
      <c r="X1586" s="4" t="s">
        <v>162</v>
      </c>
      <c r="Y1586" s="21" t="s">
        <v>198</v>
      </c>
      <c r="Z1586" s="21"/>
      <c r="AA1586" s="4" t="s">
        <v>46</v>
      </c>
      <c r="AB1586" s="4" t="s">
        <v>47</v>
      </c>
      <c r="AC1586" s="4" t="s">
        <v>257</v>
      </c>
      <c r="AD1586" s="4" t="s">
        <v>258</v>
      </c>
      <c r="AE1586" s="4" t="s">
        <v>48</v>
      </c>
      <c r="AF1586" s="4" t="s">
        <v>41</v>
      </c>
      <c r="AG1586" s="4" t="s">
        <v>3413</v>
      </c>
    </row>
    <row r="1587" spans="1:33" ht="16.5" customHeight="1" x14ac:dyDescent="0.2">
      <c r="A1587" s="2" t="s">
        <v>31</v>
      </c>
      <c r="B1587" s="19" t="s">
        <v>50</v>
      </c>
      <c r="C1587" s="19"/>
      <c r="D1587" s="19"/>
      <c r="E1587" s="20" t="s">
        <v>33</v>
      </c>
      <c r="F1587" s="20"/>
      <c r="G1587" s="21" t="s">
        <v>3410</v>
      </c>
      <c r="H1587" s="21"/>
      <c r="I1587" s="21"/>
      <c r="J1587" s="3" t="s">
        <v>35</v>
      </c>
      <c r="K1587" s="4" t="s">
        <v>82</v>
      </c>
      <c r="L1587" s="4" t="s">
        <v>37</v>
      </c>
      <c r="N1587" s="21" t="s">
        <v>3416</v>
      </c>
      <c r="O1587" s="21"/>
      <c r="P1587" s="21" t="s">
        <v>3417</v>
      </c>
      <c r="Q1587" s="21"/>
      <c r="R1587" s="21"/>
      <c r="S1587" s="3" t="s">
        <v>40</v>
      </c>
      <c r="T1587" s="21" t="s">
        <v>41</v>
      </c>
      <c r="U1587" s="21"/>
      <c r="V1587" s="4" t="s">
        <v>42</v>
      </c>
      <c r="W1587" s="4" t="s">
        <v>43</v>
      </c>
      <c r="X1587" s="4" t="s">
        <v>44</v>
      </c>
      <c r="Y1587" s="21" t="s">
        <v>56</v>
      </c>
      <c r="Z1587" s="21"/>
      <c r="AA1587" s="4" t="s">
        <v>46</v>
      </c>
      <c r="AB1587" s="4" t="s">
        <v>47</v>
      </c>
      <c r="AC1587" s="4" t="s">
        <v>139</v>
      </c>
      <c r="AD1587" s="4" t="s">
        <v>140</v>
      </c>
      <c r="AE1587" s="4" t="s">
        <v>48</v>
      </c>
      <c r="AF1587" s="4" t="s">
        <v>41</v>
      </c>
      <c r="AG1587" s="4" t="s">
        <v>3413</v>
      </c>
    </row>
    <row r="1588" spans="1:33" ht="16.5" customHeight="1" x14ac:dyDescent="0.2">
      <c r="A1588" s="2" t="s">
        <v>31</v>
      </c>
      <c r="B1588" s="19" t="s">
        <v>50</v>
      </c>
      <c r="C1588" s="19"/>
      <c r="D1588" s="19"/>
      <c r="E1588" s="20" t="s">
        <v>33</v>
      </c>
      <c r="F1588" s="20"/>
      <c r="G1588" s="21" t="s">
        <v>3410</v>
      </c>
      <c r="H1588" s="21"/>
      <c r="I1588" s="21"/>
      <c r="J1588" s="3" t="s">
        <v>35</v>
      </c>
      <c r="K1588" s="4" t="s">
        <v>146</v>
      </c>
      <c r="L1588" s="4" t="s">
        <v>68</v>
      </c>
      <c r="N1588" s="21" t="s">
        <v>3418</v>
      </c>
      <c r="O1588" s="21"/>
      <c r="P1588" s="21" t="s">
        <v>3419</v>
      </c>
      <c r="Q1588" s="21"/>
      <c r="R1588" s="21"/>
      <c r="S1588" s="3" t="s">
        <v>40</v>
      </c>
      <c r="T1588" s="21" t="s">
        <v>41</v>
      </c>
      <c r="U1588" s="21"/>
      <c r="V1588" s="4" t="s">
        <v>42</v>
      </c>
      <c r="W1588" s="4" t="s">
        <v>43</v>
      </c>
      <c r="X1588" s="4" t="s">
        <v>44</v>
      </c>
      <c r="Y1588" s="21" t="s">
        <v>138</v>
      </c>
      <c r="Z1588" s="21"/>
      <c r="AA1588" s="4" t="s">
        <v>46</v>
      </c>
      <c r="AB1588" s="4" t="s">
        <v>47</v>
      </c>
      <c r="AC1588" s="4" t="s">
        <v>139</v>
      </c>
      <c r="AD1588" s="4" t="s">
        <v>151</v>
      </c>
      <c r="AE1588" s="4" t="s">
        <v>48</v>
      </c>
      <c r="AF1588" s="4" t="s">
        <v>41</v>
      </c>
      <c r="AG1588" s="4" t="s">
        <v>3413</v>
      </c>
    </row>
    <row r="1589" spans="1:33" ht="16.5" customHeight="1" x14ac:dyDescent="0.2">
      <c r="A1589" s="2" t="s">
        <v>31</v>
      </c>
      <c r="B1589" s="19" t="s">
        <v>110</v>
      </c>
      <c r="C1589" s="19"/>
      <c r="D1589" s="19"/>
      <c r="E1589" s="20" t="s">
        <v>33</v>
      </c>
      <c r="F1589" s="20"/>
      <c r="G1589" s="21" t="s">
        <v>3410</v>
      </c>
      <c r="H1589" s="21"/>
      <c r="I1589" s="21"/>
      <c r="J1589" s="3" t="s">
        <v>35</v>
      </c>
      <c r="K1589" s="4" t="s">
        <v>1301</v>
      </c>
      <c r="N1589" s="21" t="s">
        <v>3420</v>
      </c>
      <c r="O1589" s="21"/>
      <c r="P1589" s="21" t="s">
        <v>3421</v>
      </c>
      <c r="Q1589" s="21"/>
      <c r="R1589" s="21"/>
      <c r="S1589" s="3" t="s">
        <v>40</v>
      </c>
      <c r="T1589" s="21" t="s">
        <v>3422</v>
      </c>
      <c r="U1589" s="21"/>
      <c r="V1589" s="4" t="s">
        <v>59</v>
      </c>
      <c r="W1589" s="4" t="s">
        <v>54</v>
      </c>
      <c r="X1589" s="4" t="s">
        <v>60</v>
      </c>
      <c r="Y1589" s="21" t="s">
        <v>959</v>
      </c>
      <c r="Z1589" s="21"/>
      <c r="AA1589" s="4" t="s">
        <v>46</v>
      </c>
      <c r="AB1589" s="4" t="s">
        <v>117</v>
      </c>
      <c r="AC1589" s="4" t="s">
        <v>960</v>
      </c>
      <c r="AD1589" s="4" t="s">
        <v>3423</v>
      </c>
      <c r="AE1589" s="4" t="s">
        <v>48</v>
      </c>
      <c r="AF1589" s="4" t="s">
        <v>41</v>
      </c>
      <c r="AG1589" s="4" t="s">
        <v>3413</v>
      </c>
    </row>
    <row r="1590" spans="1:33" ht="16.5" customHeight="1" x14ac:dyDescent="0.2">
      <c r="A1590" s="2" t="s">
        <v>31</v>
      </c>
      <c r="B1590" s="19" t="s">
        <v>110</v>
      </c>
      <c r="C1590" s="19"/>
      <c r="D1590" s="19"/>
      <c r="E1590" s="20" t="s">
        <v>33</v>
      </c>
      <c r="F1590" s="20"/>
      <c r="G1590" s="21" t="s">
        <v>3410</v>
      </c>
      <c r="H1590" s="21"/>
      <c r="I1590" s="21"/>
      <c r="J1590" s="3" t="s">
        <v>35</v>
      </c>
      <c r="K1590" s="4" t="s">
        <v>1301</v>
      </c>
      <c r="N1590" s="21" t="s">
        <v>3424</v>
      </c>
      <c r="O1590" s="21"/>
      <c r="P1590" s="21" t="s">
        <v>3425</v>
      </c>
      <c r="Q1590" s="21"/>
      <c r="R1590" s="21"/>
      <c r="S1590" s="3" t="s">
        <v>40</v>
      </c>
      <c r="T1590" s="21" t="s">
        <v>947</v>
      </c>
      <c r="U1590" s="21"/>
      <c r="V1590" s="4" t="s">
        <v>59</v>
      </c>
      <c r="W1590" s="4" t="s">
        <v>54</v>
      </c>
      <c r="X1590" s="4" t="s">
        <v>60</v>
      </c>
      <c r="Y1590" s="21" t="s">
        <v>980</v>
      </c>
      <c r="Z1590" s="21"/>
      <c r="AA1590" s="4" t="s">
        <v>46</v>
      </c>
      <c r="AB1590" s="4" t="s">
        <v>117</v>
      </c>
      <c r="AC1590" s="4" t="s">
        <v>1305</v>
      </c>
      <c r="AD1590" s="4" t="s">
        <v>3426</v>
      </c>
      <c r="AE1590" s="4" t="s">
        <v>48</v>
      </c>
      <c r="AF1590" s="4" t="s">
        <v>41</v>
      </c>
      <c r="AG1590" s="4" t="s">
        <v>3413</v>
      </c>
    </row>
    <row r="1591" spans="1:33" ht="16.5" customHeight="1" x14ac:dyDescent="0.2">
      <c r="A1591" s="2" t="s">
        <v>31</v>
      </c>
      <c r="B1591" s="19" t="s">
        <v>110</v>
      </c>
      <c r="C1591" s="19"/>
      <c r="D1591" s="19"/>
      <c r="E1591" s="20" t="s">
        <v>33</v>
      </c>
      <c r="F1591" s="20"/>
      <c r="G1591" s="21" t="s">
        <v>3410</v>
      </c>
      <c r="H1591" s="21"/>
      <c r="I1591" s="21"/>
      <c r="J1591" s="3" t="s">
        <v>35</v>
      </c>
      <c r="K1591" s="4" t="s">
        <v>394</v>
      </c>
      <c r="N1591" s="21" t="s">
        <v>3427</v>
      </c>
      <c r="O1591" s="21"/>
      <c r="P1591" s="21" t="s">
        <v>3428</v>
      </c>
      <c r="Q1591" s="21"/>
      <c r="R1591" s="21"/>
      <c r="S1591" s="3" t="s">
        <v>40</v>
      </c>
      <c r="T1591" s="21" t="s">
        <v>3429</v>
      </c>
      <c r="U1591" s="21"/>
      <c r="V1591" s="4" t="s">
        <v>59</v>
      </c>
      <c r="W1591" s="4" t="s">
        <v>130</v>
      </c>
      <c r="X1591" s="4" t="s">
        <v>131</v>
      </c>
      <c r="Y1591" s="21" t="s">
        <v>924</v>
      </c>
      <c r="Z1591" s="21"/>
      <c r="AA1591" s="4" t="s">
        <v>46</v>
      </c>
      <c r="AB1591" s="4" t="s">
        <v>117</v>
      </c>
      <c r="AC1591" s="4" t="s">
        <v>2341</v>
      </c>
      <c r="AD1591" s="4" t="s">
        <v>3430</v>
      </c>
      <c r="AE1591" s="4" t="s">
        <v>48</v>
      </c>
      <c r="AF1591" s="4" t="s">
        <v>41</v>
      </c>
      <c r="AG1591" s="4" t="s">
        <v>3413</v>
      </c>
    </row>
    <row r="1592" spans="1:33" ht="16.5" customHeight="1" x14ac:dyDescent="0.2">
      <c r="A1592" s="2" t="s">
        <v>31</v>
      </c>
      <c r="B1592" s="19" t="s">
        <v>50</v>
      </c>
      <c r="C1592" s="19"/>
      <c r="D1592" s="19"/>
      <c r="E1592" s="20" t="s">
        <v>33</v>
      </c>
      <c r="F1592" s="20"/>
      <c r="G1592" s="21" t="s">
        <v>3431</v>
      </c>
      <c r="H1592" s="21"/>
      <c r="I1592" s="21"/>
      <c r="J1592" s="3" t="s">
        <v>35</v>
      </c>
      <c r="K1592" s="4" t="s">
        <v>152</v>
      </c>
      <c r="L1592" s="4" t="s">
        <v>37</v>
      </c>
      <c r="N1592" s="21" t="s">
        <v>3432</v>
      </c>
      <c r="O1592" s="21"/>
      <c r="P1592" s="21" t="s">
        <v>3433</v>
      </c>
      <c r="Q1592" s="21"/>
      <c r="R1592" s="21"/>
      <c r="S1592" s="3" t="s">
        <v>40</v>
      </c>
      <c r="T1592" s="21" t="s">
        <v>41</v>
      </c>
      <c r="U1592" s="21"/>
      <c r="V1592" s="4" t="s">
        <v>59</v>
      </c>
      <c r="W1592" s="4" t="s">
        <v>310</v>
      </c>
      <c r="X1592" s="4" t="s">
        <v>86</v>
      </c>
      <c r="Y1592" s="21" t="s">
        <v>56</v>
      </c>
      <c r="Z1592" s="21"/>
      <c r="AA1592" s="4" t="s">
        <v>46</v>
      </c>
      <c r="AB1592" s="4" t="s">
        <v>47</v>
      </c>
      <c r="AC1592" s="4" t="s">
        <v>57</v>
      </c>
      <c r="AD1592" s="4" t="s">
        <v>58</v>
      </c>
      <c r="AE1592" s="4" t="s">
        <v>48</v>
      </c>
      <c r="AF1592" s="4" t="s">
        <v>41</v>
      </c>
      <c r="AG1592" s="4" t="s">
        <v>3434</v>
      </c>
    </row>
    <row r="1593" spans="1:33" ht="16.5" customHeight="1" x14ac:dyDescent="0.2">
      <c r="A1593" s="2" t="s">
        <v>31</v>
      </c>
      <c r="B1593" s="19" t="s">
        <v>110</v>
      </c>
      <c r="C1593" s="19"/>
      <c r="D1593" s="19"/>
      <c r="E1593" s="20" t="s">
        <v>33</v>
      </c>
      <c r="F1593" s="20"/>
      <c r="G1593" s="21" t="s">
        <v>3431</v>
      </c>
      <c r="H1593" s="21"/>
      <c r="I1593" s="21"/>
      <c r="J1593" s="3" t="s">
        <v>35</v>
      </c>
      <c r="K1593" s="4" t="s">
        <v>976</v>
      </c>
      <c r="N1593" s="21" t="s">
        <v>3435</v>
      </c>
      <c r="O1593" s="21"/>
      <c r="P1593" s="21" t="s">
        <v>3436</v>
      </c>
      <c r="Q1593" s="21"/>
      <c r="R1593" s="21"/>
      <c r="S1593" s="3" t="s">
        <v>40</v>
      </c>
      <c r="T1593" s="21" t="s">
        <v>3437</v>
      </c>
      <c r="U1593" s="21"/>
      <c r="V1593" s="4" t="s">
        <v>59</v>
      </c>
      <c r="W1593" s="4" t="s">
        <v>54</v>
      </c>
      <c r="X1593" s="4" t="s">
        <v>60</v>
      </c>
      <c r="Y1593" s="21" t="s">
        <v>980</v>
      </c>
      <c r="Z1593" s="21"/>
      <c r="AA1593" s="4" t="s">
        <v>46</v>
      </c>
      <c r="AB1593" s="4" t="s">
        <v>117</v>
      </c>
      <c r="AC1593" s="4" t="s">
        <v>1305</v>
      </c>
      <c r="AD1593" s="4" t="s">
        <v>3438</v>
      </c>
      <c r="AE1593" s="4" t="s">
        <v>48</v>
      </c>
      <c r="AF1593" s="4" t="s">
        <v>41</v>
      </c>
      <c r="AG1593" s="4" t="s">
        <v>3434</v>
      </c>
    </row>
    <row r="1594" spans="1:33" ht="16.5" customHeight="1" x14ac:dyDescent="0.2">
      <c r="A1594" s="2" t="s">
        <v>31</v>
      </c>
      <c r="B1594" s="19" t="s">
        <v>110</v>
      </c>
      <c r="C1594" s="19"/>
      <c r="D1594" s="19"/>
      <c r="E1594" s="20" t="s">
        <v>33</v>
      </c>
      <c r="F1594" s="20"/>
      <c r="G1594" s="21" t="s">
        <v>3431</v>
      </c>
      <c r="H1594" s="21"/>
      <c r="I1594" s="21"/>
      <c r="J1594" s="3" t="s">
        <v>35</v>
      </c>
      <c r="K1594" s="4" t="s">
        <v>1301</v>
      </c>
      <c r="N1594" s="21" t="s">
        <v>3439</v>
      </c>
      <c r="O1594" s="21"/>
      <c r="P1594" s="21" t="s">
        <v>3440</v>
      </c>
      <c r="Q1594" s="21"/>
      <c r="R1594" s="21"/>
      <c r="S1594" s="3" t="s">
        <v>40</v>
      </c>
      <c r="T1594" s="21" t="s">
        <v>3441</v>
      </c>
      <c r="U1594" s="21"/>
      <c r="V1594" s="4" t="s">
        <v>59</v>
      </c>
      <c r="W1594" s="4" t="s">
        <v>54</v>
      </c>
      <c r="X1594" s="4" t="s">
        <v>60</v>
      </c>
      <c r="Y1594" s="21" t="s">
        <v>980</v>
      </c>
      <c r="Z1594" s="21"/>
      <c r="AA1594" s="4" t="s">
        <v>46</v>
      </c>
      <c r="AB1594" s="4" t="s">
        <v>117</v>
      </c>
      <c r="AC1594" s="4" t="s">
        <v>1305</v>
      </c>
      <c r="AD1594" s="4" t="s">
        <v>3370</v>
      </c>
      <c r="AE1594" s="4" t="s">
        <v>48</v>
      </c>
      <c r="AF1594" s="4" t="s">
        <v>41</v>
      </c>
      <c r="AG1594" s="4" t="s">
        <v>3434</v>
      </c>
    </row>
    <row r="1595" spans="1:33" ht="16.5" customHeight="1" x14ac:dyDescent="0.2">
      <c r="A1595" s="2" t="s">
        <v>31</v>
      </c>
      <c r="B1595" s="19" t="s">
        <v>110</v>
      </c>
      <c r="C1595" s="19"/>
      <c r="D1595" s="19"/>
      <c r="E1595" s="20" t="s">
        <v>33</v>
      </c>
      <c r="F1595" s="20"/>
      <c r="G1595" s="21" t="s">
        <v>3431</v>
      </c>
      <c r="H1595" s="21"/>
      <c r="I1595" s="21"/>
      <c r="J1595" s="3" t="s">
        <v>35</v>
      </c>
      <c r="K1595" s="4" t="s">
        <v>394</v>
      </c>
      <c r="N1595" s="21" t="s">
        <v>3442</v>
      </c>
      <c r="O1595" s="21"/>
      <c r="P1595" s="21" t="s">
        <v>3443</v>
      </c>
      <c r="Q1595" s="21"/>
      <c r="R1595" s="21"/>
      <c r="S1595" s="3" t="s">
        <v>40</v>
      </c>
      <c r="T1595" s="21" t="s">
        <v>3444</v>
      </c>
      <c r="U1595" s="21"/>
      <c r="V1595" s="4" t="s">
        <v>59</v>
      </c>
      <c r="W1595" s="4" t="s">
        <v>54</v>
      </c>
      <c r="X1595" s="4" t="s">
        <v>60</v>
      </c>
      <c r="Y1595" s="21" t="s">
        <v>924</v>
      </c>
      <c r="Z1595" s="21"/>
      <c r="AA1595" s="4" t="s">
        <v>46</v>
      </c>
      <c r="AB1595" s="4" t="s">
        <v>117</v>
      </c>
      <c r="AC1595" s="4" t="s">
        <v>925</v>
      </c>
      <c r="AD1595" s="4" t="s">
        <v>3445</v>
      </c>
      <c r="AE1595" s="4" t="s">
        <v>48</v>
      </c>
      <c r="AF1595" s="4" t="s">
        <v>41</v>
      </c>
      <c r="AG1595" s="4" t="s">
        <v>3434</v>
      </c>
    </row>
    <row r="1596" spans="1:33" ht="16.5" customHeight="1" x14ac:dyDescent="0.2">
      <c r="A1596" s="2" t="s">
        <v>31</v>
      </c>
      <c r="B1596" s="19" t="s">
        <v>110</v>
      </c>
      <c r="C1596" s="19"/>
      <c r="D1596" s="19"/>
      <c r="E1596" s="20" t="s">
        <v>33</v>
      </c>
      <c r="F1596" s="20"/>
      <c r="G1596" s="21" t="s">
        <v>3431</v>
      </c>
      <c r="H1596" s="21"/>
      <c r="I1596" s="21"/>
      <c r="J1596" s="3" t="s">
        <v>35</v>
      </c>
      <c r="K1596" s="4" t="s">
        <v>1301</v>
      </c>
      <c r="N1596" s="21" t="s">
        <v>3446</v>
      </c>
      <c r="O1596" s="21"/>
      <c r="P1596" s="21" t="s">
        <v>3447</v>
      </c>
      <c r="Q1596" s="21"/>
      <c r="R1596" s="21"/>
      <c r="S1596" s="3" t="s">
        <v>40</v>
      </c>
      <c r="T1596" s="21" t="s">
        <v>3448</v>
      </c>
      <c r="U1596" s="21"/>
      <c r="V1596" s="4" t="s">
        <v>59</v>
      </c>
      <c r="W1596" s="4" t="s">
        <v>54</v>
      </c>
      <c r="X1596" s="4" t="s">
        <v>60</v>
      </c>
      <c r="Y1596" s="21" t="s">
        <v>959</v>
      </c>
      <c r="Z1596" s="21"/>
      <c r="AA1596" s="4" t="s">
        <v>46</v>
      </c>
      <c r="AB1596" s="4" t="s">
        <v>117</v>
      </c>
      <c r="AC1596" s="4" t="s">
        <v>960</v>
      </c>
      <c r="AD1596" s="4" t="s">
        <v>3449</v>
      </c>
      <c r="AE1596" s="4" t="s">
        <v>48</v>
      </c>
      <c r="AF1596" s="4" t="s">
        <v>41</v>
      </c>
      <c r="AG1596" s="4" t="s">
        <v>3434</v>
      </c>
    </row>
    <row r="1597" spans="1:33" ht="16.5" customHeight="1" x14ac:dyDescent="0.2">
      <c r="A1597" s="2" t="s">
        <v>31</v>
      </c>
      <c r="B1597" s="19" t="s">
        <v>110</v>
      </c>
      <c r="C1597" s="19"/>
      <c r="D1597" s="19"/>
      <c r="E1597" s="20" t="s">
        <v>33</v>
      </c>
      <c r="F1597" s="20"/>
      <c r="G1597" s="21" t="s">
        <v>3431</v>
      </c>
      <c r="H1597" s="21"/>
      <c r="I1597" s="21"/>
      <c r="J1597" s="3" t="s">
        <v>35</v>
      </c>
      <c r="K1597" s="4" t="s">
        <v>1301</v>
      </c>
      <c r="N1597" s="21" t="s">
        <v>3450</v>
      </c>
      <c r="O1597" s="21"/>
      <c r="P1597" s="21" t="s">
        <v>3451</v>
      </c>
      <c r="Q1597" s="21"/>
      <c r="R1597" s="21"/>
      <c r="S1597" s="3" t="s">
        <v>40</v>
      </c>
      <c r="T1597" s="21" t="s">
        <v>3452</v>
      </c>
      <c r="U1597" s="21"/>
      <c r="V1597" s="4" t="s">
        <v>59</v>
      </c>
      <c r="W1597" s="4" t="s">
        <v>54</v>
      </c>
      <c r="X1597" s="4" t="s">
        <v>60</v>
      </c>
      <c r="Y1597" s="21" t="s">
        <v>980</v>
      </c>
      <c r="Z1597" s="21"/>
      <c r="AA1597" s="4" t="s">
        <v>46</v>
      </c>
      <c r="AB1597" s="4" t="s">
        <v>117</v>
      </c>
      <c r="AC1597" s="4" t="s">
        <v>1305</v>
      </c>
      <c r="AD1597" s="4" t="s">
        <v>1836</v>
      </c>
      <c r="AE1597" s="4" t="s">
        <v>48</v>
      </c>
      <c r="AF1597" s="4" t="s">
        <v>41</v>
      </c>
      <c r="AG1597" s="4" t="s">
        <v>3434</v>
      </c>
    </row>
    <row r="1598" spans="1:33" ht="16.5" customHeight="1" x14ac:dyDescent="0.2">
      <c r="A1598" s="2" t="s">
        <v>31</v>
      </c>
      <c r="B1598" s="19" t="s">
        <v>32</v>
      </c>
      <c r="C1598" s="19"/>
      <c r="D1598" s="19"/>
      <c r="E1598" s="20" t="s">
        <v>33</v>
      </c>
      <c r="F1598" s="20"/>
      <c r="G1598" s="21" t="s">
        <v>3453</v>
      </c>
      <c r="H1598" s="21"/>
      <c r="I1598" s="21"/>
      <c r="J1598" s="3" t="s">
        <v>35</v>
      </c>
      <c r="K1598" s="4" t="s">
        <v>646</v>
      </c>
      <c r="L1598" s="4" t="s">
        <v>37</v>
      </c>
      <c r="N1598" s="21" t="s">
        <v>3454</v>
      </c>
      <c r="O1598" s="21"/>
      <c r="P1598" s="21" t="s">
        <v>3455</v>
      </c>
      <c r="Q1598" s="21"/>
      <c r="R1598" s="21"/>
      <c r="S1598" s="3" t="s">
        <v>40</v>
      </c>
      <c r="T1598" s="21" t="s">
        <v>41</v>
      </c>
      <c r="U1598" s="21"/>
      <c r="V1598" s="4" t="s">
        <v>42</v>
      </c>
      <c r="W1598" s="4" t="s">
        <v>54</v>
      </c>
      <c r="X1598" s="4" t="s">
        <v>55</v>
      </c>
      <c r="Y1598" s="21" t="s">
        <v>45</v>
      </c>
      <c r="Z1598" s="21"/>
      <c r="AA1598" s="4" t="s">
        <v>46</v>
      </c>
      <c r="AB1598" s="4" t="s">
        <v>47</v>
      </c>
      <c r="AD1598" s="4" t="s">
        <v>41</v>
      </c>
      <c r="AE1598" s="4" t="s">
        <v>48</v>
      </c>
      <c r="AF1598" s="4" t="s">
        <v>41</v>
      </c>
      <c r="AG1598" s="4" t="s">
        <v>3456</v>
      </c>
    </row>
    <row r="1599" spans="1:33" ht="16.5" customHeight="1" x14ac:dyDescent="0.2">
      <c r="A1599" s="2" t="s">
        <v>31</v>
      </c>
      <c r="B1599" s="19" t="s">
        <v>50</v>
      </c>
      <c r="C1599" s="19"/>
      <c r="D1599" s="19"/>
      <c r="E1599" s="20" t="s">
        <v>33</v>
      </c>
      <c r="F1599" s="20"/>
      <c r="G1599" s="21" t="s">
        <v>3453</v>
      </c>
      <c r="H1599" s="21"/>
      <c r="I1599" s="21"/>
      <c r="J1599" s="3" t="s">
        <v>35</v>
      </c>
      <c r="K1599" s="4" t="s">
        <v>247</v>
      </c>
      <c r="L1599" s="4" t="s">
        <v>37</v>
      </c>
      <c r="N1599" s="21" t="s">
        <v>3457</v>
      </c>
      <c r="O1599" s="21"/>
      <c r="P1599" s="21" t="s">
        <v>3458</v>
      </c>
      <c r="Q1599" s="21"/>
      <c r="R1599" s="21"/>
      <c r="S1599" s="3" t="s">
        <v>40</v>
      </c>
      <c r="T1599" s="21" t="s">
        <v>41</v>
      </c>
      <c r="U1599" s="21"/>
      <c r="V1599" s="4" t="s">
        <v>42</v>
      </c>
      <c r="W1599" s="4" t="s">
        <v>217</v>
      </c>
      <c r="X1599" s="4" t="s">
        <v>218</v>
      </c>
      <c r="Y1599" s="21" t="s">
        <v>65</v>
      </c>
      <c r="Z1599" s="21"/>
      <c r="AA1599" s="4" t="s">
        <v>46</v>
      </c>
      <c r="AB1599" s="4" t="s">
        <v>47</v>
      </c>
      <c r="AC1599" s="4" t="s">
        <v>57</v>
      </c>
      <c r="AD1599" s="4" t="s">
        <v>58</v>
      </c>
      <c r="AE1599" s="4" t="s">
        <v>48</v>
      </c>
      <c r="AF1599" s="4" t="s">
        <v>41</v>
      </c>
      <c r="AG1599" s="4" t="s">
        <v>3456</v>
      </c>
    </row>
    <row r="1600" spans="1:33" ht="16.5" customHeight="1" x14ac:dyDescent="0.2">
      <c r="A1600" s="2" t="s">
        <v>31</v>
      </c>
      <c r="B1600" s="19" t="s">
        <v>50</v>
      </c>
      <c r="C1600" s="19"/>
      <c r="D1600" s="19"/>
      <c r="E1600" s="20" t="s">
        <v>33</v>
      </c>
      <c r="F1600" s="20"/>
      <c r="G1600" s="21" t="s">
        <v>3453</v>
      </c>
      <c r="H1600" s="21"/>
      <c r="I1600" s="21"/>
      <c r="J1600" s="3" t="s">
        <v>35</v>
      </c>
      <c r="K1600" s="4" t="s">
        <v>120</v>
      </c>
      <c r="L1600" s="4" t="s">
        <v>68</v>
      </c>
      <c r="N1600" s="21" t="s">
        <v>3459</v>
      </c>
      <c r="O1600" s="21"/>
      <c r="P1600" s="21" t="s">
        <v>3460</v>
      </c>
      <c r="Q1600" s="21"/>
      <c r="R1600" s="21"/>
      <c r="S1600" s="3" t="s">
        <v>40</v>
      </c>
      <c r="T1600" s="21" t="s">
        <v>41</v>
      </c>
      <c r="U1600" s="21"/>
      <c r="V1600" s="4" t="s">
        <v>42</v>
      </c>
      <c r="W1600" s="4" t="s">
        <v>209</v>
      </c>
      <c r="X1600" s="4" t="s">
        <v>210</v>
      </c>
      <c r="Y1600" s="21" t="s">
        <v>65</v>
      </c>
      <c r="Z1600" s="21"/>
      <c r="AA1600" s="4" t="s">
        <v>46</v>
      </c>
      <c r="AB1600" s="4" t="s">
        <v>47</v>
      </c>
      <c r="AC1600" s="4" t="s">
        <v>57</v>
      </c>
      <c r="AD1600" s="4" t="s">
        <v>98</v>
      </c>
      <c r="AE1600" s="4" t="s">
        <v>48</v>
      </c>
      <c r="AF1600" s="4" t="s">
        <v>41</v>
      </c>
      <c r="AG1600" s="4" t="s">
        <v>3456</v>
      </c>
    </row>
    <row r="1601" spans="1:33" ht="16.5" customHeight="1" x14ac:dyDescent="0.2">
      <c r="A1601" s="2" t="s">
        <v>31</v>
      </c>
      <c r="B1601" s="19" t="s">
        <v>50</v>
      </c>
      <c r="C1601" s="19"/>
      <c r="D1601" s="19"/>
      <c r="E1601" s="20" t="s">
        <v>33</v>
      </c>
      <c r="F1601" s="20"/>
      <c r="G1601" s="21" t="s">
        <v>3453</v>
      </c>
      <c r="H1601" s="21"/>
      <c r="I1601" s="21"/>
      <c r="J1601" s="3" t="s">
        <v>35</v>
      </c>
      <c r="K1601" s="4" t="s">
        <v>74</v>
      </c>
      <c r="L1601" s="4" t="s">
        <v>68</v>
      </c>
      <c r="N1601" s="21" t="s">
        <v>3461</v>
      </c>
      <c r="O1601" s="21"/>
      <c r="P1601" s="21" t="s">
        <v>3462</v>
      </c>
      <c r="Q1601" s="21"/>
      <c r="R1601" s="21"/>
      <c r="S1601" s="3" t="s">
        <v>40</v>
      </c>
      <c r="T1601" s="21" t="s">
        <v>41</v>
      </c>
      <c r="U1601" s="21"/>
      <c r="V1601" s="4" t="s">
        <v>42</v>
      </c>
      <c r="W1601" s="4" t="s">
        <v>256</v>
      </c>
      <c r="X1601" s="4" t="s">
        <v>172</v>
      </c>
      <c r="Y1601" s="21" t="s">
        <v>65</v>
      </c>
      <c r="Z1601" s="21"/>
      <c r="AA1601" s="4" t="s">
        <v>46</v>
      </c>
      <c r="AB1601" s="4" t="s">
        <v>47</v>
      </c>
      <c r="AC1601" s="4" t="s">
        <v>57</v>
      </c>
      <c r="AD1601" s="4" t="s">
        <v>98</v>
      </c>
      <c r="AE1601" s="4" t="s">
        <v>48</v>
      </c>
      <c r="AF1601" s="4" t="s">
        <v>41</v>
      </c>
      <c r="AG1601" s="4" t="s">
        <v>3456</v>
      </c>
    </row>
    <row r="1602" spans="1:33" ht="16.5" customHeight="1" x14ac:dyDescent="0.2">
      <c r="A1602" s="2" t="s">
        <v>31</v>
      </c>
      <c r="B1602" s="19" t="s">
        <v>50</v>
      </c>
      <c r="C1602" s="19"/>
      <c r="D1602" s="19"/>
      <c r="E1602" s="20" t="s">
        <v>33</v>
      </c>
      <c r="F1602" s="20"/>
      <c r="G1602" s="21" t="s">
        <v>3453</v>
      </c>
      <c r="H1602" s="21"/>
      <c r="I1602" s="21"/>
      <c r="J1602" s="3" t="s">
        <v>35</v>
      </c>
      <c r="K1602" s="4" t="s">
        <v>152</v>
      </c>
      <c r="L1602" s="4" t="s">
        <v>37</v>
      </c>
      <c r="N1602" s="21" t="s">
        <v>3463</v>
      </c>
      <c r="O1602" s="21"/>
      <c r="P1602" s="21" t="s">
        <v>3464</v>
      </c>
      <c r="Q1602" s="21"/>
      <c r="R1602" s="21"/>
      <c r="S1602" s="3" t="s">
        <v>40</v>
      </c>
      <c r="T1602" s="21" t="s">
        <v>41</v>
      </c>
      <c r="U1602" s="21"/>
      <c r="V1602" s="4" t="s">
        <v>42</v>
      </c>
      <c r="W1602" s="4" t="s">
        <v>59</v>
      </c>
      <c r="X1602" s="4" t="s">
        <v>131</v>
      </c>
      <c r="Y1602" s="21" t="s">
        <v>56</v>
      </c>
      <c r="Z1602" s="21"/>
      <c r="AA1602" s="4" t="s">
        <v>46</v>
      </c>
      <c r="AB1602" s="4" t="s">
        <v>47</v>
      </c>
      <c r="AC1602" s="4" t="s">
        <v>57</v>
      </c>
      <c r="AD1602" s="4" t="s">
        <v>58</v>
      </c>
      <c r="AE1602" s="4" t="s">
        <v>48</v>
      </c>
      <c r="AF1602" s="4" t="s">
        <v>41</v>
      </c>
      <c r="AG1602" s="4" t="s">
        <v>3456</v>
      </c>
    </row>
    <row r="1603" spans="1:33" ht="16.5" customHeight="1" x14ac:dyDescent="0.2">
      <c r="A1603" s="2" t="s">
        <v>31</v>
      </c>
      <c r="B1603" s="19" t="s">
        <v>110</v>
      </c>
      <c r="C1603" s="19"/>
      <c r="D1603" s="19"/>
      <c r="E1603" s="20" t="s">
        <v>33</v>
      </c>
      <c r="F1603" s="20"/>
      <c r="G1603" s="21" t="s">
        <v>3453</v>
      </c>
      <c r="H1603" s="21"/>
      <c r="I1603" s="21"/>
      <c r="J1603" s="3" t="s">
        <v>35</v>
      </c>
      <c r="K1603" s="4" t="s">
        <v>2530</v>
      </c>
      <c r="N1603" s="21" t="s">
        <v>3465</v>
      </c>
      <c r="O1603" s="21"/>
      <c r="P1603" s="21" t="s">
        <v>3466</v>
      </c>
      <c r="Q1603" s="21"/>
      <c r="R1603" s="21"/>
      <c r="S1603" s="3" t="s">
        <v>40</v>
      </c>
      <c r="T1603" s="21" t="s">
        <v>3467</v>
      </c>
      <c r="U1603" s="21"/>
      <c r="V1603" s="4" t="s">
        <v>59</v>
      </c>
      <c r="W1603" s="4" t="s">
        <v>130</v>
      </c>
      <c r="X1603" s="4" t="s">
        <v>131</v>
      </c>
      <c r="Y1603" s="21" t="s">
        <v>398</v>
      </c>
      <c r="Z1603" s="21"/>
      <c r="AA1603" s="4" t="s">
        <v>46</v>
      </c>
      <c r="AB1603" s="4" t="s">
        <v>117</v>
      </c>
      <c r="AC1603" s="4" t="s">
        <v>970</v>
      </c>
      <c r="AD1603" s="4" t="s">
        <v>3468</v>
      </c>
      <c r="AE1603" s="4" t="s">
        <v>48</v>
      </c>
      <c r="AF1603" s="4" t="s">
        <v>41</v>
      </c>
      <c r="AG1603" s="4" t="s">
        <v>3456</v>
      </c>
    </row>
    <row r="1604" spans="1:33" ht="16.5" customHeight="1" x14ac:dyDescent="0.2">
      <c r="A1604" s="2" t="s">
        <v>31</v>
      </c>
      <c r="B1604" s="19" t="s">
        <v>3393</v>
      </c>
      <c r="C1604" s="19"/>
      <c r="D1604" s="19"/>
      <c r="E1604" s="20" t="s">
        <v>33</v>
      </c>
      <c r="F1604" s="20"/>
      <c r="G1604" s="21" t="s">
        <v>3469</v>
      </c>
      <c r="H1604" s="21"/>
      <c r="I1604" s="21"/>
      <c r="J1604" s="3" t="s">
        <v>35</v>
      </c>
      <c r="K1604" s="4" t="s">
        <v>665</v>
      </c>
      <c r="L1604" s="4" t="s">
        <v>37</v>
      </c>
      <c r="N1604" s="21" t="s">
        <v>3470</v>
      </c>
      <c r="O1604" s="21"/>
      <c r="P1604" s="21" t="s">
        <v>3471</v>
      </c>
      <c r="Q1604" s="21"/>
      <c r="R1604" s="21"/>
      <c r="S1604" s="3" t="s">
        <v>40</v>
      </c>
      <c r="T1604" s="21" t="s">
        <v>41</v>
      </c>
      <c r="U1604" s="21"/>
      <c r="V1604" s="4" t="s">
        <v>42</v>
      </c>
      <c r="W1604" s="4" t="s">
        <v>59</v>
      </c>
      <c r="X1604" s="4" t="s">
        <v>131</v>
      </c>
      <c r="Y1604" s="21" t="s">
        <v>669</v>
      </c>
      <c r="Z1604" s="21"/>
      <c r="AA1604" s="4" t="s">
        <v>46</v>
      </c>
      <c r="AB1604" s="4" t="s">
        <v>47</v>
      </c>
      <c r="AD1604" s="4" t="s">
        <v>3472</v>
      </c>
      <c r="AE1604" s="4" t="s">
        <v>48</v>
      </c>
      <c r="AF1604" s="4" t="s">
        <v>41</v>
      </c>
      <c r="AG1604" s="4" t="s">
        <v>3473</v>
      </c>
    </row>
    <row r="1605" spans="1:33" ht="16.5" customHeight="1" x14ac:dyDescent="0.2">
      <c r="A1605" s="2" t="s">
        <v>31</v>
      </c>
      <c r="B1605" s="19" t="s">
        <v>110</v>
      </c>
      <c r="C1605" s="19"/>
      <c r="D1605" s="19"/>
      <c r="E1605" s="20" t="s">
        <v>33</v>
      </c>
      <c r="F1605" s="20"/>
      <c r="G1605" s="21" t="s">
        <v>3469</v>
      </c>
      <c r="H1605" s="21"/>
      <c r="I1605" s="21"/>
      <c r="J1605" s="3" t="s">
        <v>35</v>
      </c>
      <c r="K1605" s="4" t="s">
        <v>1301</v>
      </c>
      <c r="N1605" s="21" t="s">
        <v>3474</v>
      </c>
      <c r="O1605" s="21"/>
      <c r="P1605" s="21" t="s">
        <v>3475</v>
      </c>
      <c r="Q1605" s="21"/>
      <c r="R1605" s="21"/>
      <c r="S1605" s="3" t="s">
        <v>40</v>
      </c>
      <c r="T1605" s="21" t="s">
        <v>2330</v>
      </c>
      <c r="U1605" s="21"/>
      <c r="V1605" s="4" t="s">
        <v>59</v>
      </c>
      <c r="W1605" s="4" t="s">
        <v>381</v>
      </c>
      <c r="X1605" s="4" t="s">
        <v>55</v>
      </c>
      <c r="Y1605" s="21" t="s">
        <v>980</v>
      </c>
      <c r="Z1605" s="21"/>
      <c r="AA1605" s="4" t="s">
        <v>46</v>
      </c>
      <c r="AB1605" s="4" t="s">
        <v>117</v>
      </c>
      <c r="AC1605" s="4" t="s">
        <v>1305</v>
      </c>
      <c r="AD1605" s="4" t="s">
        <v>2331</v>
      </c>
      <c r="AE1605" s="4" t="s">
        <v>48</v>
      </c>
      <c r="AF1605" s="4" t="s">
        <v>41</v>
      </c>
      <c r="AG1605" s="4" t="s">
        <v>3473</v>
      </c>
    </row>
    <row r="1606" spans="1:33" ht="16.5" customHeight="1" x14ac:dyDescent="0.2">
      <c r="A1606" s="2" t="s">
        <v>31</v>
      </c>
      <c r="B1606" s="19" t="s">
        <v>50</v>
      </c>
      <c r="C1606" s="19"/>
      <c r="D1606" s="19"/>
      <c r="E1606" s="20" t="s">
        <v>33</v>
      </c>
      <c r="F1606" s="20"/>
      <c r="G1606" s="21" t="s">
        <v>3476</v>
      </c>
      <c r="H1606" s="21"/>
      <c r="I1606" s="21"/>
      <c r="J1606" s="3" t="s">
        <v>35</v>
      </c>
      <c r="K1606" s="4" t="s">
        <v>193</v>
      </c>
      <c r="L1606" s="4" t="s">
        <v>37</v>
      </c>
      <c r="N1606" s="21" t="s">
        <v>3477</v>
      </c>
      <c r="O1606" s="21"/>
      <c r="P1606" s="21" t="s">
        <v>3478</v>
      </c>
      <c r="Q1606" s="21"/>
      <c r="R1606" s="21"/>
      <c r="S1606" s="3" t="s">
        <v>40</v>
      </c>
      <c r="T1606" s="21" t="s">
        <v>41</v>
      </c>
      <c r="U1606" s="21"/>
      <c r="V1606" s="4" t="s">
        <v>42</v>
      </c>
      <c r="W1606" s="4" t="s">
        <v>607</v>
      </c>
      <c r="X1606" s="4" t="s">
        <v>471</v>
      </c>
      <c r="Y1606" s="21" t="s">
        <v>198</v>
      </c>
      <c r="Z1606" s="21"/>
      <c r="AA1606" s="4" t="s">
        <v>46</v>
      </c>
      <c r="AB1606" s="4" t="s">
        <v>47</v>
      </c>
      <c r="AC1606" s="4" t="s">
        <v>257</v>
      </c>
      <c r="AD1606" s="4" t="s">
        <v>258</v>
      </c>
      <c r="AE1606" s="4" t="s">
        <v>48</v>
      </c>
      <c r="AF1606" s="4" t="s">
        <v>41</v>
      </c>
      <c r="AG1606" s="4" t="s">
        <v>3479</v>
      </c>
    </row>
    <row r="1607" spans="1:33" ht="16.5" customHeight="1" x14ac:dyDescent="0.2">
      <c r="A1607" s="2" t="s">
        <v>31</v>
      </c>
      <c r="B1607" s="19" t="s">
        <v>50</v>
      </c>
      <c r="C1607" s="19"/>
      <c r="D1607" s="19"/>
      <c r="E1607" s="20" t="s">
        <v>33</v>
      </c>
      <c r="F1607" s="20"/>
      <c r="G1607" s="21" t="s">
        <v>3476</v>
      </c>
      <c r="H1607" s="21"/>
      <c r="I1607" s="21"/>
      <c r="J1607" s="3" t="s">
        <v>35</v>
      </c>
      <c r="K1607" s="4" t="s">
        <v>204</v>
      </c>
      <c r="L1607" s="4" t="s">
        <v>37</v>
      </c>
      <c r="N1607" s="21" t="s">
        <v>3480</v>
      </c>
      <c r="O1607" s="21"/>
      <c r="P1607" s="21" t="s">
        <v>3481</v>
      </c>
      <c r="Q1607" s="21"/>
      <c r="R1607" s="21"/>
      <c r="S1607" s="3" t="s">
        <v>40</v>
      </c>
      <c r="T1607" s="21" t="s">
        <v>41</v>
      </c>
      <c r="U1607" s="21"/>
      <c r="V1607" s="4" t="s">
        <v>42</v>
      </c>
      <c r="W1607" s="4" t="s">
        <v>234</v>
      </c>
      <c r="X1607" s="4" t="s">
        <v>235</v>
      </c>
      <c r="Y1607" s="21" t="s">
        <v>198</v>
      </c>
      <c r="Z1607" s="21"/>
      <c r="AA1607" s="4" t="s">
        <v>46</v>
      </c>
      <c r="AB1607" s="4" t="s">
        <v>47</v>
      </c>
      <c r="AC1607" s="4" t="s">
        <v>81</v>
      </c>
      <c r="AD1607" s="4" t="s">
        <v>41</v>
      </c>
      <c r="AE1607" s="4" t="s">
        <v>48</v>
      </c>
      <c r="AF1607" s="4" t="s">
        <v>41</v>
      </c>
      <c r="AG1607" s="4" t="s">
        <v>3479</v>
      </c>
    </row>
    <row r="1608" spans="1:33" ht="16.5" customHeight="1" x14ac:dyDescent="0.2">
      <c r="A1608" s="2" t="s">
        <v>31</v>
      </c>
      <c r="B1608" s="19" t="s">
        <v>50</v>
      </c>
      <c r="C1608" s="19"/>
      <c r="D1608" s="19"/>
      <c r="E1608" s="20" t="s">
        <v>33</v>
      </c>
      <c r="F1608" s="20"/>
      <c r="G1608" s="21" t="s">
        <v>3476</v>
      </c>
      <c r="H1608" s="21"/>
      <c r="I1608" s="21"/>
      <c r="J1608" s="3" t="s">
        <v>35</v>
      </c>
      <c r="K1608" s="4" t="s">
        <v>61</v>
      </c>
      <c r="L1608" s="4" t="s">
        <v>37</v>
      </c>
      <c r="N1608" s="21" t="s">
        <v>3482</v>
      </c>
      <c r="O1608" s="21"/>
      <c r="P1608" s="21" t="s">
        <v>3483</v>
      </c>
      <c r="Q1608" s="21"/>
      <c r="R1608" s="21"/>
      <c r="S1608" s="3" t="s">
        <v>40</v>
      </c>
      <c r="T1608" s="21" t="s">
        <v>41</v>
      </c>
      <c r="U1608" s="21"/>
      <c r="V1608" s="4" t="s">
        <v>42</v>
      </c>
      <c r="W1608" s="4" t="s">
        <v>182</v>
      </c>
      <c r="X1608" s="4" t="s">
        <v>294</v>
      </c>
      <c r="Y1608" s="21" t="s">
        <v>65</v>
      </c>
      <c r="Z1608" s="21"/>
      <c r="AA1608" s="4" t="s">
        <v>46</v>
      </c>
      <c r="AB1608" s="4" t="s">
        <v>47</v>
      </c>
      <c r="AC1608" s="4" t="s">
        <v>66</v>
      </c>
      <c r="AD1608" s="4" t="s">
        <v>73</v>
      </c>
      <c r="AE1608" s="4" t="s">
        <v>48</v>
      </c>
      <c r="AF1608" s="4" t="s">
        <v>41</v>
      </c>
      <c r="AG1608" s="4" t="s">
        <v>3479</v>
      </c>
    </row>
    <row r="1609" spans="1:33" ht="16.5" customHeight="1" x14ac:dyDescent="0.2">
      <c r="A1609" s="2" t="s">
        <v>31</v>
      </c>
      <c r="B1609" s="19" t="s">
        <v>50</v>
      </c>
      <c r="C1609" s="19"/>
      <c r="D1609" s="19"/>
      <c r="E1609" s="20" t="s">
        <v>33</v>
      </c>
      <c r="F1609" s="20"/>
      <c r="G1609" s="21" t="s">
        <v>3476</v>
      </c>
      <c r="H1609" s="21"/>
      <c r="I1609" s="21"/>
      <c r="J1609" s="3" t="s">
        <v>35</v>
      </c>
      <c r="K1609" s="4" t="s">
        <v>3338</v>
      </c>
      <c r="L1609" s="4" t="s">
        <v>37</v>
      </c>
      <c r="N1609" s="21" t="s">
        <v>3484</v>
      </c>
      <c r="O1609" s="21"/>
      <c r="P1609" s="21" t="s">
        <v>3485</v>
      </c>
      <c r="Q1609" s="21"/>
      <c r="R1609" s="21"/>
      <c r="S1609" s="3" t="s">
        <v>40</v>
      </c>
      <c r="T1609" s="21" t="s">
        <v>41</v>
      </c>
      <c r="U1609" s="21"/>
      <c r="V1609" s="4" t="s">
        <v>42</v>
      </c>
      <c r="W1609" s="4" t="s">
        <v>104</v>
      </c>
      <c r="X1609" s="4" t="s">
        <v>105</v>
      </c>
      <c r="Y1609" s="21" t="s">
        <v>65</v>
      </c>
      <c r="Z1609" s="21"/>
      <c r="AA1609" s="4" t="s">
        <v>46</v>
      </c>
      <c r="AB1609" s="4" t="s">
        <v>47</v>
      </c>
      <c r="AC1609" s="4" t="s">
        <v>81</v>
      </c>
      <c r="AD1609" s="4" t="s">
        <v>41</v>
      </c>
      <c r="AE1609" s="4" t="s">
        <v>48</v>
      </c>
      <c r="AF1609" s="4" t="s">
        <v>41</v>
      </c>
      <c r="AG1609" s="4" t="s">
        <v>3479</v>
      </c>
    </row>
    <row r="1610" spans="1:33" ht="16.5" customHeight="1" x14ac:dyDescent="0.2">
      <c r="A1610" s="2" t="s">
        <v>31</v>
      </c>
      <c r="B1610" s="19" t="s">
        <v>50</v>
      </c>
      <c r="C1610" s="19"/>
      <c r="D1610" s="19"/>
      <c r="E1610" s="20" t="s">
        <v>33</v>
      </c>
      <c r="F1610" s="20"/>
      <c r="G1610" s="21" t="s">
        <v>3476</v>
      </c>
      <c r="H1610" s="21"/>
      <c r="I1610" s="21"/>
      <c r="J1610" s="3" t="s">
        <v>35</v>
      </c>
      <c r="K1610" s="4" t="s">
        <v>661</v>
      </c>
      <c r="L1610" s="4" t="s">
        <v>37</v>
      </c>
      <c r="N1610" s="21" t="s">
        <v>3486</v>
      </c>
      <c r="O1610" s="21"/>
      <c r="P1610" s="21" t="s">
        <v>3487</v>
      </c>
      <c r="Q1610" s="21"/>
      <c r="R1610" s="21"/>
      <c r="S1610" s="3" t="s">
        <v>40</v>
      </c>
      <c r="T1610" s="21" t="s">
        <v>41</v>
      </c>
      <c r="U1610" s="21"/>
      <c r="V1610" s="4" t="s">
        <v>42</v>
      </c>
      <c r="W1610" s="4" t="s">
        <v>108</v>
      </c>
      <c r="X1610" s="4" t="s">
        <v>109</v>
      </c>
      <c r="Y1610" s="21" t="s">
        <v>198</v>
      </c>
      <c r="Z1610" s="21"/>
      <c r="AA1610" s="4" t="s">
        <v>46</v>
      </c>
      <c r="AB1610" s="4" t="s">
        <v>47</v>
      </c>
      <c r="AC1610" s="4" t="s">
        <v>139</v>
      </c>
      <c r="AD1610" s="4" t="s">
        <v>140</v>
      </c>
      <c r="AE1610" s="4" t="s">
        <v>48</v>
      </c>
      <c r="AF1610" s="4" t="s">
        <v>41</v>
      </c>
      <c r="AG1610" s="4" t="s">
        <v>3479</v>
      </c>
    </row>
    <row r="1611" spans="1:33" ht="16.5" customHeight="1" x14ac:dyDescent="0.2">
      <c r="A1611" s="2" t="s">
        <v>31</v>
      </c>
      <c r="B1611" s="19" t="s">
        <v>50</v>
      </c>
      <c r="C1611" s="19"/>
      <c r="D1611" s="19"/>
      <c r="E1611" s="20" t="s">
        <v>33</v>
      </c>
      <c r="F1611" s="20"/>
      <c r="G1611" s="21" t="s">
        <v>3476</v>
      </c>
      <c r="H1611" s="21"/>
      <c r="I1611" s="21"/>
      <c r="J1611" s="3" t="s">
        <v>35</v>
      </c>
      <c r="K1611" s="4" t="s">
        <v>146</v>
      </c>
      <c r="L1611" s="4" t="s">
        <v>68</v>
      </c>
      <c r="N1611" s="21" t="s">
        <v>3488</v>
      </c>
      <c r="O1611" s="21"/>
      <c r="P1611" s="21" t="s">
        <v>3489</v>
      </c>
      <c r="Q1611" s="21"/>
      <c r="R1611" s="21"/>
      <c r="S1611" s="3" t="s">
        <v>40</v>
      </c>
      <c r="T1611" s="21" t="s">
        <v>41</v>
      </c>
      <c r="U1611" s="21"/>
      <c r="V1611" s="4" t="s">
        <v>42</v>
      </c>
      <c r="W1611" s="4" t="s">
        <v>54</v>
      </c>
      <c r="X1611" s="4" t="s">
        <v>55</v>
      </c>
      <c r="Y1611" s="21" t="s">
        <v>138</v>
      </c>
      <c r="Z1611" s="21"/>
      <c r="AA1611" s="4" t="s">
        <v>46</v>
      </c>
      <c r="AB1611" s="4" t="s">
        <v>47</v>
      </c>
      <c r="AC1611" s="4" t="s">
        <v>57</v>
      </c>
      <c r="AD1611" s="4" t="s">
        <v>98</v>
      </c>
      <c r="AE1611" s="4" t="s">
        <v>48</v>
      </c>
      <c r="AF1611" s="4" t="s">
        <v>41</v>
      </c>
      <c r="AG1611" s="4" t="s">
        <v>3479</v>
      </c>
    </row>
    <row r="1612" spans="1:33" ht="16.5" customHeight="1" x14ac:dyDescent="0.2">
      <c r="A1612" s="2" t="s">
        <v>31</v>
      </c>
      <c r="B1612" s="19" t="s">
        <v>50</v>
      </c>
      <c r="C1612" s="19"/>
      <c r="D1612" s="19"/>
      <c r="E1612" s="20" t="s">
        <v>33</v>
      </c>
      <c r="F1612" s="20"/>
      <c r="G1612" s="21" t="s">
        <v>3476</v>
      </c>
      <c r="H1612" s="21"/>
      <c r="I1612" s="21"/>
      <c r="J1612" s="3" t="s">
        <v>35</v>
      </c>
      <c r="K1612" s="4" t="s">
        <v>247</v>
      </c>
      <c r="L1612" s="4" t="s">
        <v>37</v>
      </c>
      <c r="N1612" s="21" t="s">
        <v>3490</v>
      </c>
      <c r="O1612" s="21"/>
      <c r="P1612" s="21" t="s">
        <v>3491</v>
      </c>
      <c r="Q1612" s="21"/>
      <c r="R1612" s="21"/>
      <c r="S1612" s="3" t="s">
        <v>40</v>
      </c>
      <c r="T1612" s="21" t="s">
        <v>41</v>
      </c>
      <c r="U1612" s="21"/>
      <c r="V1612" s="4" t="s">
        <v>42</v>
      </c>
      <c r="W1612" s="4" t="s">
        <v>54</v>
      </c>
      <c r="X1612" s="4" t="s">
        <v>55</v>
      </c>
      <c r="Y1612" s="21" t="s">
        <v>65</v>
      </c>
      <c r="Z1612" s="21"/>
      <c r="AA1612" s="4" t="s">
        <v>46</v>
      </c>
      <c r="AB1612" s="4" t="s">
        <v>47</v>
      </c>
      <c r="AC1612" s="4" t="s">
        <v>66</v>
      </c>
      <c r="AD1612" s="4" t="s">
        <v>73</v>
      </c>
      <c r="AE1612" s="4" t="s">
        <v>48</v>
      </c>
      <c r="AF1612" s="4" t="s">
        <v>41</v>
      </c>
      <c r="AG1612" s="4" t="s">
        <v>3479</v>
      </c>
    </row>
    <row r="1613" spans="1:33" ht="16.5" customHeight="1" x14ac:dyDescent="0.2">
      <c r="A1613" s="2" t="s">
        <v>31</v>
      </c>
      <c r="B1613" s="19" t="s">
        <v>50</v>
      </c>
      <c r="C1613" s="19"/>
      <c r="D1613" s="19"/>
      <c r="E1613" s="20" t="s">
        <v>33</v>
      </c>
      <c r="F1613" s="20"/>
      <c r="G1613" s="21" t="s">
        <v>3476</v>
      </c>
      <c r="H1613" s="21"/>
      <c r="I1613" s="21"/>
      <c r="J1613" s="3" t="s">
        <v>35</v>
      </c>
      <c r="K1613" s="4" t="s">
        <v>661</v>
      </c>
      <c r="L1613" s="4" t="s">
        <v>37</v>
      </c>
      <c r="N1613" s="21" t="s">
        <v>3492</v>
      </c>
      <c r="O1613" s="21"/>
      <c r="P1613" s="21" t="s">
        <v>3493</v>
      </c>
      <c r="Q1613" s="21"/>
      <c r="R1613" s="21"/>
      <c r="S1613" s="3" t="s">
        <v>40</v>
      </c>
      <c r="T1613" s="21" t="s">
        <v>41</v>
      </c>
      <c r="U1613" s="21"/>
      <c r="V1613" s="4" t="s">
        <v>42</v>
      </c>
      <c r="W1613" s="4" t="s">
        <v>54</v>
      </c>
      <c r="X1613" s="4" t="s">
        <v>55</v>
      </c>
      <c r="Y1613" s="21" t="s">
        <v>198</v>
      </c>
      <c r="Z1613" s="21"/>
      <c r="AA1613" s="4" t="s">
        <v>46</v>
      </c>
      <c r="AB1613" s="4" t="s">
        <v>47</v>
      </c>
      <c r="AC1613" s="4" t="s">
        <v>139</v>
      </c>
      <c r="AD1613" s="4" t="s">
        <v>140</v>
      </c>
      <c r="AE1613" s="4" t="s">
        <v>48</v>
      </c>
      <c r="AF1613" s="4" t="s">
        <v>41</v>
      </c>
      <c r="AG1613" s="4" t="s">
        <v>3479</v>
      </c>
    </row>
    <row r="1614" spans="1:33" ht="16.5" customHeight="1" x14ac:dyDescent="0.2">
      <c r="A1614" s="2" t="s">
        <v>31</v>
      </c>
      <c r="B1614" s="19" t="s">
        <v>50</v>
      </c>
      <c r="C1614" s="19"/>
      <c r="D1614" s="19"/>
      <c r="E1614" s="20" t="s">
        <v>33</v>
      </c>
      <c r="F1614" s="20"/>
      <c r="G1614" s="21" t="s">
        <v>3476</v>
      </c>
      <c r="H1614" s="21"/>
      <c r="I1614" s="21"/>
      <c r="J1614" s="3" t="s">
        <v>35</v>
      </c>
      <c r="K1614" s="4" t="s">
        <v>82</v>
      </c>
      <c r="L1614" s="4" t="s">
        <v>37</v>
      </c>
      <c r="N1614" s="21" t="s">
        <v>3494</v>
      </c>
      <c r="O1614" s="21"/>
      <c r="P1614" s="21" t="s">
        <v>3495</v>
      </c>
      <c r="Q1614" s="21"/>
      <c r="R1614" s="21"/>
      <c r="S1614" s="3" t="s">
        <v>40</v>
      </c>
      <c r="T1614" s="21" t="s">
        <v>41</v>
      </c>
      <c r="U1614" s="21"/>
      <c r="V1614" s="4" t="s">
        <v>42</v>
      </c>
      <c r="W1614" s="4" t="s">
        <v>59</v>
      </c>
      <c r="X1614" s="4" t="s">
        <v>131</v>
      </c>
      <c r="Y1614" s="21" t="s">
        <v>56</v>
      </c>
      <c r="Z1614" s="21"/>
      <c r="AA1614" s="4" t="s">
        <v>46</v>
      </c>
      <c r="AB1614" s="4" t="s">
        <v>47</v>
      </c>
      <c r="AC1614" s="4" t="s">
        <v>57</v>
      </c>
      <c r="AD1614" s="4" t="s">
        <v>58</v>
      </c>
      <c r="AE1614" s="4" t="s">
        <v>48</v>
      </c>
      <c r="AF1614" s="4" t="s">
        <v>41</v>
      </c>
      <c r="AG1614" s="4" t="s">
        <v>3479</v>
      </c>
    </row>
    <row r="1615" spans="1:33" ht="16.5" customHeight="1" x14ac:dyDescent="0.2">
      <c r="A1615" s="2" t="s">
        <v>31</v>
      </c>
      <c r="B1615" s="19" t="s">
        <v>50</v>
      </c>
      <c r="C1615" s="19"/>
      <c r="D1615" s="19"/>
      <c r="E1615" s="20" t="s">
        <v>33</v>
      </c>
      <c r="F1615" s="20"/>
      <c r="G1615" s="21" t="s">
        <v>3496</v>
      </c>
      <c r="H1615" s="21"/>
      <c r="I1615" s="21"/>
      <c r="J1615" s="3" t="s">
        <v>35</v>
      </c>
      <c r="K1615" s="4" t="s">
        <v>3338</v>
      </c>
      <c r="L1615" s="4" t="s">
        <v>445</v>
      </c>
      <c r="N1615" s="21" t="s">
        <v>3497</v>
      </c>
      <c r="O1615" s="21"/>
      <c r="P1615" s="21" t="s">
        <v>3498</v>
      </c>
      <c r="Q1615" s="21"/>
      <c r="R1615" s="21"/>
      <c r="S1615" s="3" t="s">
        <v>40</v>
      </c>
      <c r="T1615" s="21" t="s">
        <v>41</v>
      </c>
      <c r="U1615" s="21"/>
      <c r="V1615" s="4" t="s">
        <v>42</v>
      </c>
      <c r="W1615" s="4" t="s">
        <v>202</v>
      </c>
      <c r="X1615" s="4" t="s">
        <v>203</v>
      </c>
      <c r="Y1615" s="21" t="s">
        <v>65</v>
      </c>
      <c r="Z1615" s="21"/>
      <c r="AA1615" s="4" t="s">
        <v>46</v>
      </c>
      <c r="AB1615" s="4" t="s">
        <v>47</v>
      </c>
      <c r="AC1615" s="4" t="s">
        <v>57</v>
      </c>
      <c r="AD1615" s="4" t="s">
        <v>449</v>
      </c>
      <c r="AE1615" s="4" t="s">
        <v>48</v>
      </c>
      <c r="AF1615" s="4" t="s">
        <v>41</v>
      </c>
      <c r="AG1615" s="4" t="s">
        <v>3499</v>
      </c>
    </row>
    <row r="1616" spans="1:33" ht="16.5" customHeight="1" x14ac:dyDescent="0.2">
      <c r="A1616" s="2" t="s">
        <v>31</v>
      </c>
      <c r="B1616" s="19" t="s">
        <v>50</v>
      </c>
      <c r="C1616" s="19"/>
      <c r="D1616" s="19"/>
      <c r="E1616" s="20" t="s">
        <v>33</v>
      </c>
      <c r="F1616" s="20"/>
      <c r="G1616" s="21" t="s">
        <v>3496</v>
      </c>
      <c r="H1616" s="21"/>
      <c r="I1616" s="21"/>
      <c r="J1616" s="3" t="s">
        <v>35</v>
      </c>
      <c r="K1616" s="4" t="s">
        <v>74</v>
      </c>
      <c r="L1616" s="4" t="s">
        <v>37</v>
      </c>
      <c r="N1616" s="21" t="s">
        <v>3500</v>
      </c>
      <c r="O1616" s="21"/>
      <c r="P1616" s="21" t="s">
        <v>3501</v>
      </c>
      <c r="Q1616" s="21"/>
      <c r="R1616" s="21"/>
      <c r="S1616" s="3" t="s">
        <v>40</v>
      </c>
      <c r="T1616" s="21" t="s">
        <v>41</v>
      </c>
      <c r="U1616" s="21"/>
      <c r="V1616" s="4" t="s">
        <v>42</v>
      </c>
      <c r="W1616" s="4" t="s">
        <v>43</v>
      </c>
      <c r="X1616" s="4" t="s">
        <v>44</v>
      </c>
      <c r="Y1616" s="21" t="s">
        <v>65</v>
      </c>
      <c r="Z1616" s="21"/>
      <c r="AA1616" s="4" t="s">
        <v>46</v>
      </c>
      <c r="AB1616" s="4" t="s">
        <v>47</v>
      </c>
      <c r="AC1616" s="4" t="s">
        <v>57</v>
      </c>
      <c r="AD1616" s="4" t="s">
        <v>58</v>
      </c>
      <c r="AE1616" s="4" t="s">
        <v>48</v>
      </c>
      <c r="AF1616" s="4" t="s">
        <v>41</v>
      </c>
      <c r="AG1616" s="4" t="s">
        <v>3499</v>
      </c>
    </row>
    <row r="1617" spans="1:33" ht="16.5" customHeight="1" x14ac:dyDescent="0.2">
      <c r="A1617" s="2" t="s">
        <v>31</v>
      </c>
      <c r="B1617" s="19" t="s">
        <v>50</v>
      </c>
      <c r="C1617" s="19"/>
      <c r="D1617" s="19"/>
      <c r="E1617" s="20" t="s">
        <v>33</v>
      </c>
      <c r="F1617" s="20"/>
      <c r="G1617" s="21" t="s">
        <v>3496</v>
      </c>
      <c r="H1617" s="21"/>
      <c r="I1617" s="21"/>
      <c r="J1617" s="3" t="s">
        <v>35</v>
      </c>
      <c r="K1617" s="4" t="s">
        <v>3352</v>
      </c>
      <c r="L1617" s="4" t="s">
        <v>37</v>
      </c>
      <c r="N1617" s="21" t="s">
        <v>3502</v>
      </c>
      <c r="O1617" s="21"/>
      <c r="P1617" s="21" t="s">
        <v>3503</v>
      </c>
      <c r="Q1617" s="21"/>
      <c r="R1617" s="21"/>
      <c r="S1617" s="3" t="s">
        <v>40</v>
      </c>
      <c r="T1617" s="21" t="s">
        <v>41</v>
      </c>
      <c r="U1617" s="21"/>
      <c r="V1617" s="4" t="s">
        <v>42</v>
      </c>
      <c r="W1617" s="4" t="s">
        <v>54</v>
      </c>
      <c r="X1617" s="4" t="s">
        <v>55</v>
      </c>
      <c r="Y1617" s="21" t="s">
        <v>56</v>
      </c>
      <c r="Z1617" s="21"/>
      <c r="AA1617" s="4" t="s">
        <v>46</v>
      </c>
      <c r="AB1617" s="4" t="s">
        <v>47</v>
      </c>
      <c r="AC1617" s="4" t="s">
        <v>57</v>
      </c>
      <c r="AD1617" s="4" t="s">
        <v>58</v>
      </c>
      <c r="AE1617" s="4" t="s">
        <v>48</v>
      </c>
      <c r="AF1617" s="4" t="s">
        <v>41</v>
      </c>
      <c r="AG1617" s="4" t="s">
        <v>3499</v>
      </c>
    </row>
    <row r="1618" spans="1:33" ht="16.5" customHeight="1" x14ac:dyDescent="0.2">
      <c r="A1618" s="2" t="s">
        <v>31</v>
      </c>
      <c r="B1618" s="19" t="s">
        <v>50</v>
      </c>
      <c r="C1618" s="19"/>
      <c r="D1618" s="19"/>
      <c r="E1618" s="20" t="s">
        <v>33</v>
      </c>
      <c r="F1618" s="20"/>
      <c r="G1618" s="21" t="s">
        <v>3496</v>
      </c>
      <c r="H1618" s="21"/>
      <c r="I1618" s="21"/>
      <c r="J1618" s="3" t="s">
        <v>35</v>
      </c>
      <c r="K1618" s="4" t="s">
        <v>3504</v>
      </c>
      <c r="L1618" s="4" t="s">
        <v>68</v>
      </c>
      <c r="N1618" s="21" t="s">
        <v>3505</v>
      </c>
      <c r="O1618" s="21"/>
      <c r="P1618" s="21" t="s">
        <v>3506</v>
      </c>
      <c r="Q1618" s="21"/>
      <c r="R1618" s="21"/>
      <c r="S1618" s="3" t="s">
        <v>40</v>
      </c>
      <c r="T1618" s="21" t="s">
        <v>41</v>
      </c>
      <c r="U1618" s="21"/>
      <c r="V1618" s="4" t="s">
        <v>42</v>
      </c>
      <c r="W1618" s="4" t="s">
        <v>54</v>
      </c>
      <c r="X1618" s="4" t="s">
        <v>55</v>
      </c>
      <c r="Y1618" s="21" t="s">
        <v>56</v>
      </c>
      <c r="Z1618" s="21"/>
      <c r="AA1618" s="4" t="s">
        <v>46</v>
      </c>
      <c r="AB1618" s="4" t="s">
        <v>47</v>
      </c>
      <c r="AC1618" s="4" t="s">
        <v>57</v>
      </c>
      <c r="AD1618" s="4" t="s">
        <v>98</v>
      </c>
      <c r="AE1618" s="4" t="s">
        <v>48</v>
      </c>
      <c r="AF1618" s="4" t="s">
        <v>41</v>
      </c>
      <c r="AG1618" s="4" t="s">
        <v>3499</v>
      </c>
    </row>
    <row r="1619" spans="1:33" ht="16.5" customHeight="1" x14ac:dyDescent="0.2">
      <c r="A1619" s="2" t="s">
        <v>31</v>
      </c>
      <c r="B1619" s="19" t="s">
        <v>50</v>
      </c>
      <c r="C1619" s="19"/>
      <c r="D1619" s="19"/>
      <c r="E1619" s="20" t="s">
        <v>33</v>
      </c>
      <c r="F1619" s="20"/>
      <c r="G1619" s="21" t="s">
        <v>3496</v>
      </c>
      <c r="H1619" s="21"/>
      <c r="I1619" s="21"/>
      <c r="J1619" s="3" t="s">
        <v>35</v>
      </c>
      <c r="K1619" s="4" t="s">
        <v>3504</v>
      </c>
      <c r="L1619" s="4" t="s">
        <v>37</v>
      </c>
      <c r="N1619" s="21" t="s">
        <v>3507</v>
      </c>
      <c r="O1619" s="21"/>
      <c r="P1619" s="21" t="s">
        <v>3508</v>
      </c>
      <c r="Q1619" s="21"/>
      <c r="R1619" s="21"/>
      <c r="S1619" s="3" t="s">
        <v>40</v>
      </c>
      <c r="T1619" s="21" t="s">
        <v>41</v>
      </c>
      <c r="U1619" s="21"/>
      <c r="V1619" s="4" t="s">
        <v>42</v>
      </c>
      <c r="W1619" s="4" t="s">
        <v>54</v>
      </c>
      <c r="X1619" s="4" t="s">
        <v>55</v>
      </c>
      <c r="Y1619" s="21" t="s">
        <v>56</v>
      </c>
      <c r="Z1619" s="21"/>
      <c r="AA1619" s="4" t="s">
        <v>46</v>
      </c>
      <c r="AB1619" s="4" t="s">
        <v>47</v>
      </c>
      <c r="AC1619" s="4" t="s">
        <v>57</v>
      </c>
      <c r="AD1619" s="4" t="s">
        <v>58</v>
      </c>
      <c r="AE1619" s="4" t="s">
        <v>48</v>
      </c>
      <c r="AF1619" s="4" t="s">
        <v>41</v>
      </c>
      <c r="AG1619" s="4" t="s">
        <v>3499</v>
      </c>
    </row>
    <row r="1620" spans="1:33" ht="16.5" customHeight="1" x14ac:dyDescent="0.2">
      <c r="A1620" s="2" t="s">
        <v>31</v>
      </c>
      <c r="B1620" s="19" t="s">
        <v>50</v>
      </c>
      <c r="C1620" s="19"/>
      <c r="D1620" s="19"/>
      <c r="E1620" s="20" t="s">
        <v>33</v>
      </c>
      <c r="F1620" s="20"/>
      <c r="G1620" s="21" t="s">
        <v>3496</v>
      </c>
      <c r="H1620" s="21"/>
      <c r="I1620" s="21"/>
      <c r="J1620" s="3" t="s">
        <v>35</v>
      </c>
      <c r="K1620" s="4" t="s">
        <v>3504</v>
      </c>
      <c r="L1620" s="4" t="s">
        <v>37</v>
      </c>
      <c r="N1620" s="21" t="s">
        <v>3509</v>
      </c>
      <c r="O1620" s="21"/>
      <c r="P1620" s="21" t="s">
        <v>3510</v>
      </c>
      <c r="Q1620" s="21"/>
      <c r="R1620" s="21"/>
      <c r="S1620" s="3" t="s">
        <v>40</v>
      </c>
      <c r="T1620" s="21" t="s">
        <v>41</v>
      </c>
      <c r="U1620" s="21"/>
      <c r="V1620" s="4" t="s">
        <v>59</v>
      </c>
      <c r="W1620" s="4" t="s">
        <v>54</v>
      </c>
      <c r="X1620" s="4" t="s">
        <v>60</v>
      </c>
      <c r="Y1620" s="21" t="s">
        <v>56</v>
      </c>
      <c r="Z1620" s="21"/>
      <c r="AA1620" s="4" t="s">
        <v>46</v>
      </c>
      <c r="AB1620" s="4" t="s">
        <v>47</v>
      </c>
      <c r="AC1620" s="4" t="s">
        <v>57</v>
      </c>
      <c r="AD1620" s="4" t="s">
        <v>58</v>
      </c>
      <c r="AE1620" s="4" t="s">
        <v>48</v>
      </c>
      <c r="AF1620" s="4" t="s">
        <v>41</v>
      </c>
      <c r="AG1620" s="4" t="s">
        <v>3499</v>
      </c>
    </row>
    <row r="1621" spans="1:33" ht="16.5" customHeight="1" x14ac:dyDescent="0.2">
      <c r="A1621" s="2" t="s">
        <v>31</v>
      </c>
      <c r="B1621" s="19" t="s">
        <v>50</v>
      </c>
      <c r="C1621" s="19"/>
      <c r="D1621" s="19"/>
      <c r="E1621" s="20" t="s">
        <v>33</v>
      </c>
      <c r="F1621" s="20"/>
      <c r="G1621" s="21" t="s">
        <v>3496</v>
      </c>
      <c r="H1621" s="21"/>
      <c r="I1621" s="21"/>
      <c r="J1621" s="3" t="s">
        <v>35</v>
      </c>
      <c r="K1621" s="4" t="s">
        <v>3511</v>
      </c>
      <c r="L1621" s="4" t="s">
        <v>37</v>
      </c>
      <c r="N1621" s="21" t="s">
        <v>3512</v>
      </c>
      <c r="O1621" s="21"/>
      <c r="P1621" s="21" t="s">
        <v>3513</v>
      </c>
      <c r="Q1621" s="21"/>
      <c r="R1621" s="21"/>
      <c r="S1621" s="3" t="s">
        <v>40</v>
      </c>
      <c r="T1621" s="21" t="s">
        <v>41</v>
      </c>
      <c r="U1621" s="21"/>
      <c r="V1621" s="4" t="s">
        <v>42</v>
      </c>
      <c r="W1621" s="4" t="s">
        <v>43</v>
      </c>
      <c r="X1621" s="4" t="s">
        <v>44</v>
      </c>
      <c r="Y1621" s="21" t="s">
        <v>198</v>
      </c>
      <c r="Z1621" s="21"/>
      <c r="AA1621" s="4" t="s">
        <v>46</v>
      </c>
      <c r="AB1621" s="4" t="s">
        <v>47</v>
      </c>
      <c r="AC1621" s="4" t="s">
        <v>257</v>
      </c>
      <c r="AD1621" s="4" t="s">
        <v>258</v>
      </c>
      <c r="AE1621" s="4" t="s">
        <v>48</v>
      </c>
      <c r="AF1621" s="4" t="s">
        <v>41</v>
      </c>
      <c r="AG1621" s="4" t="s">
        <v>3499</v>
      </c>
    </row>
    <row r="1622" spans="1:33" ht="16.5" customHeight="1" x14ac:dyDescent="0.2">
      <c r="A1622" s="2" t="s">
        <v>31</v>
      </c>
      <c r="B1622" s="19" t="s">
        <v>50</v>
      </c>
      <c r="C1622" s="19"/>
      <c r="D1622" s="19"/>
      <c r="E1622" s="20" t="s">
        <v>33</v>
      </c>
      <c r="F1622" s="20"/>
      <c r="G1622" s="21" t="s">
        <v>3496</v>
      </c>
      <c r="H1622" s="21"/>
      <c r="I1622" s="21"/>
      <c r="J1622" s="3" t="s">
        <v>35</v>
      </c>
      <c r="K1622" s="4" t="s">
        <v>3511</v>
      </c>
      <c r="L1622" s="4" t="s">
        <v>37</v>
      </c>
      <c r="N1622" s="21" t="s">
        <v>3512</v>
      </c>
      <c r="O1622" s="21"/>
      <c r="P1622" s="21" t="s">
        <v>3513</v>
      </c>
      <c r="Q1622" s="21"/>
      <c r="R1622" s="21"/>
      <c r="S1622" s="3" t="s">
        <v>40</v>
      </c>
      <c r="T1622" s="21" t="s">
        <v>41</v>
      </c>
      <c r="U1622" s="21"/>
      <c r="V1622" s="4" t="s">
        <v>59</v>
      </c>
      <c r="W1622" s="4" t="s">
        <v>43</v>
      </c>
      <c r="X1622" s="4" t="s">
        <v>319</v>
      </c>
      <c r="Y1622" s="21" t="s">
        <v>198</v>
      </c>
      <c r="Z1622" s="21"/>
      <c r="AA1622" s="4" t="s">
        <v>46</v>
      </c>
      <c r="AB1622" s="4" t="s">
        <v>47</v>
      </c>
      <c r="AC1622" s="4" t="s">
        <v>257</v>
      </c>
      <c r="AD1622" s="4" t="s">
        <v>258</v>
      </c>
      <c r="AE1622" s="4" t="s">
        <v>48</v>
      </c>
      <c r="AF1622" s="4" t="s">
        <v>41</v>
      </c>
      <c r="AG1622" s="4" t="s">
        <v>3499</v>
      </c>
    </row>
    <row r="1623" spans="1:33" ht="16.5" customHeight="1" x14ac:dyDescent="0.2">
      <c r="A1623" s="2" t="s">
        <v>31</v>
      </c>
      <c r="B1623" s="19" t="s">
        <v>50</v>
      </c>
      <c r="C1623" s="19"/>
      <c r="D1623" s="19"/>
      <c r="E1623" s="20" t="s">
        <v>33</v>
      </c>
      <c r="F1623" s="20"/>
      <c r="G1623" s="21" t="s">
        <v>3496</v>
      </c>
      <c r="H1623" s="21"/>
      <c r="I1623" s="21"/>
      <c r="J1623" s="3" t="s">
        <v>35</v>
      </c>
      <c r="K1623" s="4" t="s">
        <v>3511</v>
      </c>
      <c r="L1623" s="4" t="s">
        <v>37</v>
      </c>
      <c r="N1623" s="21" t="s">
        <v>3514</v>
      </c>
      <c r="O1623" s="21"/>
      <c r="P1623" s="21" t="s">
        <v>3515</v>
      </c>
      <c r="Q1623" s="21"/>
      <c r="R1623" s="21"/>
      <c r="S1623" s="3" t="s">
        <v>40</v>
      </c>
      <c r="T1623" s="21" t="s">
        <v>41</v>
      </c>
      <c r="U1623" s="21"/>
      <c r="V1623" s="4" t="s">
        <v>42</v>
      </c>
      <c r="W1623" s="4" t="s">
        <v>234</v>
      </c>
      <c r="X1623" s="4" t="s">
        <v>235</v>
      </c>
      <c r="Y1623" s="21" t="s">
        <v>198</v>
      </c>
      <c r="Z1623" s="21"/>
      <c r="AA1623" s="4" t="s">
        <v>46</v>
      </c>
      <c r="AB1623" s="4" t="s">
        <v>47</v>
      </c>
      <c r="AC1623" s="4" t="s">
        <v>257</v>
      </c>
      <c r="AD1623" s="4" t="s">
        <v>258</v>
      </c>
      <c r="AE1623" s="4" t="s">
        <v>48</v>
      </c>
      <c r="AF1623" s="4" t="s">
        <v>41</v>
      </c>
      <c r="AG1623" s="4" t="s">
        <v>3499</v>
      </c>
    </row>
    <row r="1624" spans="1:33" ht="16.5" customHeight="1" x14ac:dyDescent="0.2">
      <c r="A1624" s="2" t="s">
        <v>31</v>
      </c>
      <c r="B1624" s="19" t="s">
        <v>50</v>
      </c>
      <c r="C1624" s="19"/>
      <c r="D1624" s="19"/>
      <c r="E1624" s="20" t="s">
        <v>33</v>
      </c>
      <c r="F1624" s="20"/>
      <c r="G1624" s="21" t="s">
        <v>3496</v>
      </c>
      <c r="H1624" s="21"/>
      <c r="I1624" s="21"/>
      <c r="J1624" s="3" t="s">
        <v>35</v>
      </c>
      <c r="K1624" s="4" t="s">
        <v>3516</v>
      </c>
      <c r="L1624" s="4" t="s">
        <v>37</v>
      </c>
      <c r="N1624" s="21" t="s">
        <v>3517</v>
      </c>
      <c r="O1624" s="21"/>
      <c r="P1624" s="21" t="s">
        <v>3518</v>
      </c>
      <c r="Q1624" s="21"/>
      <c r="R1624" s="21"/>
      <c r="S1624" s="3" t="s">
        <v>40</v>
      </c>
      <c r="T1624" s="21" t="s">
        <v>41</v>
      </c>
      <c r="U1624" s="21"/>
      <c r="V1624" s="4" t="s">
        <v>42</v>
      </c>
      <c r="W1624" s="4" t="s">
        <v>229</v>
      </c>
      <c r="X1624" s="4" t="s">
        <v>448</v>
      </c>
      <c r="Y1624" s="21" t="s">
        <v>56</v>
      </c>
      <c r="Z1624" s="21"/>
      <c r="AA1624" s="4" t="s">
        <v>46</v>
      </c>
      <c r="AB1624" s="4" t="s">
        <v>47</v>
      </c>
      <c r="AC1624" s="4" t="s">
        <v>139</v>
      </c>
      <c r="AD1624" s="4" t="s">
        <v>140</v>
      </c>
      <c r="AE1624" s="4" t="s">
        <v>48</v>
      </c>
      <c r="AF1624" s="4" t="s">
        <v>41</v>
      </c>
      <c r="AG1624" s="4" t="s">
        <v>3499</v>
      </c>
    </row>
    <row r="1625" spans="1:33" ht="0.75" customHeight="1" x14ac:dyDescent="0.2"/>
    <row r="1626" spans="1:33" ht="12" customHeight="1" x14ac:dyDescent="0.2"/>
    <row r="1627" spans="1:33" ht="16.5" customHeight="1" x14ac:dyDescent="0.2">
      <c r="A1627" s="2" t="s">
        <v>31</v>
      </c>
      <c r="B1627" s="19" t="s">
        <v>50</v>
      </c>
      <c r="C1627" s="19"/>
      <c r="D1627" s="19"/>
      <c r="E1627" s="20" t="s">
        <v>33</v>
      </c>
      <c r="F1627" s="20"/>
      <c r="G1627" s="21" t="s">
        <v>3496</v>
      </c>
      <c r="H1627" s="21"/>
      <c r="I1627" s="21"/>
      <c r="J1627" s="3" t="s">
        <v>35</v>
      </c>
      <c r="K1627" s="4" t="s">
        <v>3504</v>
      </c>
      <c r="L1627" s="4" t="s">
        <v>68</v>
      </c>
      <c r="N1627" s="21" t="s">
        <v>3519</v>
      </c>
      <c r="O1627" s="21"/>
      <c r="P1627" s="21" t="s">
        <v>3520</v>
      </c>
      <c r="Q1627" s="21"/>
      <c r="R1627" s="21"/>
      <c r="S1627" s="3" t="s">
        <v>40</v>
      </c>
      <c r="T1627" s="21" t="s">
        <v>41</v>
      </c>
      <c r="U1627" s="21"/>
      <c r="V1627" s="4" t="s">
        <v>42</v>
      </c>
      <c r="W1627" s="4" t="s">
        <v>234</v>
      </c>
      <c r="X1627" s="4" t="s">
        <v>235</v>
      </c>
      <c r="Y1627" s="21" t="s">
        <v>56</v>
      </c>
      <c r="Z1627" s="21"/>
      <c r="AA1627" s="4" t="s">
        <v>46</v>
      </c>
      <c r="AB1627" s="4" t="s">
        <v>47</v>
      </c>
      <c r="AC1627" s="4" t="s">
        <v>139</v>
      </c>
      <c r="AD1627" s="4" t="s">
        <v>151</v>
      </c>
      <c r="AE1627" s="4" t="s">
        <v>48</v>
      </c>
      <c r="AF1627" s="4" t="s">
        <v>41</v>
      </c>
      <c r="AG1627" s="4" t="s">
        <v>3499</v>
      </c>
    </row>
    <row r="1628" spans="1:33" ht="16.5" customHeight="1" x14ac:dyDescent="0.2">
      <c r="A1628" s="2" t="s">
        <v>31</v>
      </c>
      <c r="B1628" s="19" t="s">
        <v>50</v>
      </c>
      <c r="C1628" s="19"/>
      <c r="D1628" s="19"/>
      <c r="E1628" s="20" t="s">
        <v>33</v>
      </c>
      <c r="F1628" s="20"/>
      <c r="G1628" s="21" t="s">
        <v>3496</v>
      </c>
      <c r="H1628" s="21"/>
      <c r="I1628" s="21"/>
      <c r="J1628" s="3" t="s">
        <v>35</v>
      </c>
      <c r="K1628" s="4" t="s">
        <v>3504</v>
      </c>
      <c r="L1628" s="4" t="s">
        <v>68</v>
      </c>
      <c r="N1628" s="21" t="s">
        <v>3519</v>
      </c>
      <c r="O1628" s="21"/>
      <c r="P1628" s="21" t="s">
        <v>3520</v>
      </c>
      <c r="Q1628" s="21"/>
      <c r="R1628" s="21"/>
      <c r="S1628" s="3" t="s">
        <v>40</v>
      </c>
      <c r="T1628" s="21" t="s">
        <v>41</v>
      </c>
      <c r="U1628" s="21"/>
      <c r="V1628" s="4" t="s">
        <v>59</v>
      </c>
      <c r="W1628" s="4" t="s">
        <v>234</v>
      </c>
      <c r="X1628" s="4" t="s">
        <v>339</v>
      </c>
      <c r="Y1628" s="21" t="s">
        <v>56</v>
      </c>
      <c r="Z1628" s="21"/>
      <c r="AA1628" s="4" t="s">
        <v>46</v>
      </c>
      <c r="AB1628" s="4" t="s">
        <v>47</v>
      </c>
      <c r="AC1628" s="4" t="s">
        <v>139</v>
      </c>
      <c r="AD1628" s="4" t="s">
        <v>151</v>
      </c>
      <c r="AE1628" s="4" t="s">
        <v>48</v>
      </c>
      <c r="AF1628" s="4" t="s">
        <v>41</v>
      </c>
      <c r="AG1628" s="4" t="s">
        <v>3499</v>
      </c>
    </row>
    <row r="1629" spans="1:33" ht="16.5" customHeight="1" x14ac:dyDescent="0.2">
      <c r="A1629" s="2" t="s">
        <v>31</v>
      </c>
      <c r="B1629" s="19" t="s">
        <v>50</v>
      </c>
      <c r="C1629" s="19"/>
      <c r="D1629" s="19"/>
      <c r="E1629" s="20" t="s">
        <v>33</v>
      </c>
      <c r="F1629" s="20"/>
      <c r="G1629" s="21" t="s">
        <v>3496</v>
      </c>
      <c r="H1629" s="21"/>
      <c r="I1629" s="21"/>
      <c r="J1629" s="3" t="s">
        <v>35</v>
      </c>
      <c r="K1629" s="4" t="s">
        <v>3338</v>
      </c>
      <c r="L1629" s="4" t="s">
        <v>37</v>
      </c>
      <c r="N1629" s="21" t="s">
        <v>3521</v>
      </c>
      <c r="O1629" s="21"/>
      <c r="P1629" s="21" t="s">
        <v>3522</v>
      </c>
      <c r="Q1629" s="21"/>
      <c r="R1629" s="21"/>
      <c r="S1629" s="3" t="s">
        <v>40</v>
      </c>
      <c r="T1629" s="21" t="s">
        <v>41</v>
      </c>
      <c r="U1629" s="21"/>
      <c r="V1629" s="4" t="s">
        <v>42</v>
      </c>
      <c r="W1629" s="4" t="s">
        <v>43</v>
      </c>
      <c r="X1629" s="4" t="s">
        <v>44</v>
      </c>
      <c r="Y1629" s="21" t="s">
        <v>65</v>
      </c>
      <c r="Z1629" s="21"/>
      <c r="AA1629" s="4" t="s">
        <v>46</v>
      </c>
      <c r="AB1629" s="4" t="s">
        <v>47</v>
      </c>
      <c r="AC1629" s="4" t="s">
        <v>57</v>
      </c>
      <c r="AD1629" s="4" t="s">
        <v>58</v>
      </c>
      <c r="AE1629" s="4" t="s">
        <v>48</v>
      </c>
      <c r="AF1629" s="4" t="s">
        <v>41</v>
      </c>
      <c r="AG1629" s="4" t="s">
        <v>3499</v>
      </c>
    </row>
    <row r="1630" spans="1:33" ht="16.5" customHeight="1" x14ac:dyDescent="0.2">
      <c r="A1630" s="2" t="s">
        <v>31</v>
      </c>
      <c r="B1630" s="19" t="s">
        <v>50</v>
      </c>
      <c r="C1630" s="19"/>
      <c r="D1630" s="19"/>
      <c r="E1630" s="20" t="s">
        <v>33</v>
      </c>
      <c r="F1630" s="20"/>
      <c r="G1630" s="21" t="s">
        <v>3496</v>
      </c>
      <c r="H1630" s="21"/>
      <c r="I1630" s="21"/>
      <c r="J1630" s="3" t="s">
        <v>35</v>
      </c>
      <c r="K1630" s="4" t="s">
        <v>152</v>
      </c>
      <c r="L1630" s="4" t="s">
        <v>37</v>
      </c>
      <c r="N1630" s="21" t="s">
        <v>3523</v>
      </c>
      <c r="O1630" s="21"/>
      <c r="P1630" s="21" t="s">
        <v>3524</v>
      </c>
      <c r="Q1630" s="21"/>
      <c r="R1630" s="21"/>
      <c r="S1630" s="3" t="s">
        <v>40</v>
      </c>
      <c r="T1630" s="21" t="s">
        <v>41</v>
      </c>
      <c r="U1630" s="21"/>
      <c r="V1630" s="4" t="s">
        <v>42</v>
      </c>
      <c r="W1630" s="4" t="s">
        <v>59</v>
      </c>
      <c r="X1630" s="4" t="s">
        <v>131</v>
      </c>
      <c r="Y1630" s="21" t="s">
        <v>56</v>
      </c>
      <c r="Z1630" s="21"/>
      <c r="AA1630" s="4" t="s">
        <v>46</v>
      </c>
      <c r="AB1630" s="4" t="s">
        <v>47</v>
      </c>
      <c r="AC1630" s="4" t="s">
        <v>57</v>
      </c>
      <c r="AD1630" s="4" t="s">
        <v>58</v>
      </c>
      <c r="AE1630" s="4" t="s">
        <v>48</v>
      </c>
      <c r="AF1630" s="4" t="s">
        <v>41</v>
      </c>
      <c r="AG1630" s="4" t="s">
        <v>3499</v>
      </c>
    </row>
    <row r="1631" spans="1:33" ht="16.5" customHeight="1" x14ac:dyDescent="0.2">
      <c r="A1631" s="2" t="s">
        <v>31</v>
      </c>
      <c r="B1631" s="19" t="s">
        <v>50</v>
      </c>
      <c r="C1631" s="19"/>
      <c r="D1631" s="19"/>
      <c r="E1631" s="20" t="s">
        <v>33</v>
      </c>
      <c r="F1631" s="20"/>
      <c r="G1631" s="21" t="s">
        <v>3496</v>
      </c>
      <c r="H1631" s="21"/>
      <c r="I1631" s="21"/>
      <c r="J1631" s="3" t="s">
        <v>35</v>
      </c>
      <c r="K1631" s="4" t="s">
        <v>204</v>
      </c>
      <c r="L1631" s="4" t="s">
        <v>37</v>
      </c>
      <c r="N1631" s="21" t="s">
        <v>3525</v>
      </c>
      <c r="O1631" s="21"/>
      <c r="P1631" s="21" t="s">
        <v>3526</v>
      </c>
      <c r="Q1631" s="21"/>
      <c r="R1631" s="21"/>
      <c r="S1631" s="3" t="s">
        <v>40</v>
      </c>
      <c r="T1631" s="21" t="s">
        <v>41</v>
      </c>
      <c r="U1631" s="21"/>
      <c r="V1631" s="4" t="s">
        <v>42</v>
      </c>
      <c r="W1631" s="4" t="s">
        <v>43</v>
      </c>
      <c r="X1631" s="4" t="s">
        <v>44</v>
      </c>
      <c r="Y1631" s="21" t="s">
        <v>198</v>
      </c>
      <c r="Z1631" s="21"/>
      <c r="AA1631" s="4" t="s">
        <v>46</v>
      </c>
      <c r="AB1631" s="4" t="s">
        <v>47</v>
      </c>
      <c r="AC1631" s="4" t="s">
        <v>257</v>
      </c>
      <c r="AD1631" s="4" t="s">
        <v>258</v>
      </c>
      <c r="AE1631" s="4" t="s">
        <v>48</v>
      </c>
      <c r="AF1631" s="4" t="s">
        <v>41</v>
      </c>
      <c r="AG1631" s="4" t="s">
        <v>3499</v>
      </c>
    </row>
    <row r="1632" spans="1:33" ht="16.5" customHeight="1" x14ac:dyDescent="0.2">
      <c r="A1632" s="2" t="s">
        <v>31</v>
      </c>
      <c r="B1632" s="19" t="s">
        <v>50</v>
      </c>
      <c r="C1632" s="19"/>
      <c r="D1632" s="19"/>
      <c r="E1632" s="20" t="s">
        <v>33</v>
      </c>
      <c r="F1632" s="20"/>
      <c r="G1632" s="21" t="s">
        <v>3496</v>
      </c>
      <c r="H1632" s="21"/>
      <c r="I1632" s="21"/>
      <c r="J1632" s="3" t="s">
        <v>35</v>
      </c>
      <c r="K1632" s="4" t="s">
        <v>3504</v>
      </c>
      <c r="L1632" s="4" t="s">
        <v>37</v>
      </c>
      <c r="N1632" s="21" t="s">
        <v>3527</v>
      </c>
      <c r="O1632" s="21"/>
      <c r="P1632" s="21" t="s">
        <v>3528</v>
      </c>
      <c r="Q1632" s="21"/>
      <c r="R1632" s="21"/>
      <c r="S1632" s="3" t="s">
        <v>40</v>
      </c>
      <c r="T1632" s="21" t="s">
        <v>41</v>
      </c>
      <c r="U1632" s="21"/>
      <c r="V1632" s="4" t="s">
        <v>42</v>
      </c>
      <c r="W1632" s="4" t="s">
        <v>54</v>
      </c>
      <c r="X1632" s="4" t="s">
        <v>55</v>
      </c>
      <c r="Y1632" s="21" t="s">
        <v>56</v>
      </c>
      <c r="Z1632" s="21"/>
      <c r="AA1632" s="4" t="s">
        <v>46</v>
      </c>
      <c r="AB1632" s="4" t="s">
        <v>47</v>
      </c>
      <c r="AC1632" s="4" t="s">
        <v>57</v>
      </c>
      <c r="AD1632" s="4" t="s">
        <v>58</v>
      </c>
      <c r="AE1632" s="4" t="s">
        <v>48</v>
      </c>
      <c r="AF1632" s="4" t="s">
        <v>41</v>
      </c>
      <c r="AG1632" s="4" t="s">
        <v>3499</v>
      </c>
    </row>
    <row r="1633" spans="1:33" ht="16.5" customHeight="1" x14ac:dyDescent="0.2">
      <c r="A1633" s="2" t="s">
        <v>31</v>
      </c>
      <c r="B1633" s="19" t="s">
        <v>50</v>
      </c>
      <c r="C1633" s="19"/>
      <c r="D1633" s="19"/>
      <c r="E1633" s="20" t="s">
        <v>33</v>
      </c>
      <c r="F1633" s="20"/>
      <c r="G1633" s="21" t="s">
        <v>3496</v>
      </c>
      <c r="H1633" s="21"/>
      <c r="I1633" s="21"/>
      <c r="J1633" s="3" t="s">
        <v>35</v>
      </c>
      <c r="K1633" s="4" t="s">
        <v>3338</v>
      </c>
      <c r="L1633" s="4" t="s">
        <v>37</v>
      </c>
      <c r="N1633" s="21" t="s">
        <v>3529</v>
      </c>
      <c r="O1633" s="21"/>
      <c r="P1633" s="21" t="s">
        <v>3530</v>
      </c>
      <c r="Q1633" s="21"/>
      <c r="R1633" s="21"/>
      <c r="S1633" s="3" t="s">
        <v>40</v>
      </c>
      <c r="T1633" s="21" t="s">
        <v>41</v>
      </c>
      <c r="U1633" s="21"/>
      <c r="V1633" s="4" t="s">
        <v>42</v>
      </c>
      <c r="W1633" s="4" t="s">
        <v>276</v>
      </c>
      <c r="X1633" s="4" t="s">
        <v>277</v>
      </c>
      <c r="Y1633" s="21" t="s">
        <v>65</v>
      </c>
      <c r="Z1633" s="21"/>
      <c r="AA1633" s="4" t="s">
        <v>46</v>
      </c>
      <c r="AB1633" s="4" t="s">
        <v>47</v>
      </c>
      <c r="AC1633" s="4" t="s">
        <v>57</v>
      </c>
      <c r="AD1633" s="4" t="s">
        <v>58</v>
      </c>
      <c r="AE1633" s="4" t="s">
        <v>48</v>
      </c>
      <c r="AF1633" s="4" t="s">
        <v>41</v>
      </c>
      <c r="AG1633" s="4" t="s">
        <v>3499</v>
      </c>
    </row>
    <row r="1634" spans="1:33" ht="16.5" customHeight="1" x14ac:dyDescent="0.2">
      <c r="A1634" s="2" t="s">
        <v>31</v>
      </c>
      <c r="B1634" s="19" t="s">
        <v>50</v>
      </c>
      <c r="C1634" s="19"/>
      <c r="D1634" s="19"/>
      <c r="E1634" s="20" t="s">
        <v>33</v>
      </c>
      <c r="F1634" s="20"/>
      <c r="G1634" s="21" t="s">
        <v>3496</v>
      </c>
      <c r="H1634" s="21"/>
      <c r="I1634" s="21"/>
      <c r="J1634" s="3" t="s">
        <v>35</v>
      </c>
      <c r="K1634" s="4" t="s">
        <v>3511</v>
      </c>
      <c r="L1634" s="4" t="s">
        <v>37</v>
      </c>
      <c r="N1634" s="21" t="s">
        <v>3531</v>
      </c>
      <c r="O1634" s="21"/>
      <c r="P1634" s="21" t="s">
        <v>3532</v>
      </c>
      <c r="Q1634" s="21"/>
      <c r="R1634" s="21"/>
      <c r="S1634" s="3" t="s">
        <v>40</v>
      </c>
      <c r="T1634" s="21" t="s">
        <v>41</v>
      </c>
      <c r="U1634" s="21"/>
      <c r="V1634" s="4" t="s">
        <v>42</v>
      </c>
      <c r="W1634" s="4" t="s">
        <v>43</v>
      </c>
      <c r="X1634" s="4" t="s">
        <v>44</v>
      </c>
      <c r="Y1634" s="21" t="s">
        <v>198</v>
      </c>
      <c r="Z1634" s="21"/>
      <c r="AA1634" s="4" t="s">
        <v>46</v>
      </c>
      <c r="AB1634" s="4" t="s">
        <v>47</v>
      </c>
      <c r="AC1634" s="4" t="s">
        <v>257</v>
      </c>
      <c r="AD1634" s="4" t="s">
        <v>258</v>
      </c>
      <c r="AE1634" s="4" t="s">
        <v>48</v>
      </c>
      <c r="AF1634" s="4" t="s">
        <v>41</v>
      </c>
      <c r="AG1634" s="4" t="s">
        <v>3499</v>
      </c>
    </row>
    <row r="1635" spans="1:33" ht="16.5" customHeight="1" x14ac:dyDescent="0.2">
      <c r="A1635" s="2" t="s">
        <v>31</v>
      </c>
      <c r="B1635" s="19" t="s">
        <v>50</v>
      </c>
      <c r="C1635" s="19"/>
      <c r="D1635" s="19"/>
      <c r="E1635" s="20" t="s">
        <v>33</v>
      </c>
      <c r="F1635" s="20"/>
      <c r="G1635" s="21" t="s">
        <v>3496</v>
      </c>
      <c r="H1635" s="21"/>
      <c r="I1635" s="21"/>
      <c r="J1635" s="3" t="s">
        <v>35</v>
      </c>
      <c r="K1635" s="4" t="s">
        <v>74</v>
      </c>
      <c r="L1635" s="4" t="s">
        <v>37</v>
      </c>
      <c r="N1635" s="21" t="s">
        <v>3533</v>
      </c>
      <c r="O1635" s="21"/>
      <c r="P1635" s="21" t="s">
        <v>3534</v>
      </c>
      <c r="Q1635" s="21"/>
      <c r="R1635" s="21"/>
      <c r="S1635" s="3" t="s">
        <v>40</v>
      </c>
      <c r="T1635" s="21" t="s">
        <v>41</v>
      </c>
      <c r="U1635" s="21"/>
      <c r="V1635" s="4" t="s">
        <v>42</v>
      </c>
      <c r="W1635" s="4" t="s">
        <v>43</v>
      </c>
      <c r="X1635" s="4" t="s">
        <v>44</v>
      </c>
      <c r="Y1635" s="21" t="s">
        <v>65</v>
      </c>
      <c r="Z1635" s="21"/>
      <c r="AA1635" s="4" t="s">
        <v>46</v>
      </c>
      <c r="AB1635" s="4" t="s">
        <v>47</v>
      </c>
      <c r="AC1635" s="4" t="s">
        <v>57</v>
      </c>
      <c r="AD1635" s="4" t="s">
        <v>58</v>
      </c>
      <c r="AE1635" s="4" t="s">
        <v>48</v>
      </c>
      <c r="AF1635" s="4" t="s">
        <v>41</v>
      </c>
      <c r="AG1635" s="4" t="s">
        <v>3499</v>
      </c>
    </row>
    <row r="1636" spans="1:33" ht="16.5" customHeight="1" x14ac:dyDescent="0.2">
      <c r="A1636" s="2" t="s">
        <v>31</v>
      </c>
      <c r="B1636" s="19" t="s">
        <v>50</v>
      </c>
      <c r="C1636" s="19"/>
      <c r="D1636" s="19"/>
      <c r="E1636" s="20" t="s">
        <v>33</v>
      </c>
      <c r="F1636" s="20"/>
      <c r="G1636" s="21" t="s">
        <v>3496</v>
      </c>
      <c r="H1636" s="21"/>
      <c r="I1636" s="21"/>
      <c r="J1636" s="3" t="s">
        <v>35</v>
      </c>
      <c r="K1636" s="4" t="s">
        <v>3504</v>
      </c>
      <c r="L1636" s="4" t="s">
        <v>37</v>
      </c>
      <c r="N1636" s="21" t="s">
        <v>3535</v>
      </c>
      <c r="O1636" s="21"/>
      <c r="P1636" s="21" t="s">
        <v>3536</v>
      </c>
      <c r="Q1636" s="21"/>
      <c r="R1636" s="21"/>
      <c r="S1636" s="3" t="s">
        <v>40</v>
      </c>
      <c r="T1636" s="21" t="s">
        <v>41</v>
      </c>
      <c r="U1636" s="21"/>
      <c r="V1636" s="4" t="s">
        <v>42</v>
      </c>
      <c r="W1636" s="4" t="s">
        <v>43</v>
      </c>
      <c r="X1636" s="4" t="s">
        <v>44</v>
      </c>
      <c r="Y1636" s="21" t="s">
        <v>56</v>
      </c>
      <c r="Z1636" s="21"/>
      <c r="AA1636" s="4" t="s">
        <v>46</v>
      </c>
      <c r="AB1636" s="4" t="s">
        <v>47</v>
      </c>
      <c r="AC1636" s="4" t="s">
        <v>139</v>
      </c>
      <c r="AD1636" s="4" t="s">
        <v>140</v>
      </c>
      <c r="AE1636" s="4" t="s">
        <v>48</v>
      </c>
      <c r="AF1636" s="4" t="s">
        <v>41</v>
      </c>
      <c r="AG1636" s="4" t="s">
        <v>3499</v>
      </c>
    </row>
    <row r="1637" spans="1:33" ht="16.5" customHeight="1" x14ac:dyDescent="0.2">
      <c r="A1637" s="2" t="s">
        <v>31</v>
      </c>
      <c r="B1637" s="19" t="s">
        <v>50</v>
      </c>
      <c r="C1637" s="19"/>
      <c r="D1637" s="19"/>
      <c r="E1637" s="20" t="s">
        <v>33</v>
      </c>
      <c r="F1637" s="20"/>
      <c r="G1637" s="21" t="s">
        <v>3496</v>
      </c>
      <c r="H1637" s="21"/>
      <c r="I1637" s="21"/>
      <c r="J1637" s="3" t="s">
        <v>35</v>
      </c>
      <c r="K1637" s="4" t="s">
        <v>3537</v>
      </c>
      <c r="L1637" s="4" t="s">
        <v>37</v>
      </c>
      <c r="N1637" s="21" t="s">
        <v>3538</v>
      </c>
      <c r="O1637" s="21"/>
      <c r="P1637" s="21" t="s">
        <v>3539</v>
      </c>
      <c r="Q1637" s="21"/>
      <c r="R1637" s="21"/>
      <c r="S1637" s="3" t="s">
        <v>40</v>
      </c>
      <c r="T1637" s="21" t="s">
        <v>41</v>
      </c>
      <c r="U1637" s="21"/>
      <c r="V1637" s="4" t="s">
        <v>42</v>
      </c>
      <c r="W1637" s="4" t="s">
        <v>234</v>
      </c>
      <c r="X1637" s="4" t="s">
        <v>235</v>
      </c>
      <c r="Y1637" s="21" t="s">
        <v>56</v>
      </c>
      <c r="Z1637" s="21"/>
      <c r="AA1637" s="4" t="s">
        <v>46</v>
      </c>
      <c r="AB1637" s="4" t="s">
        <v>47</v>
      </c>
      <c r="AC1637" s="4" t="s">
        <v>139</v>
      </c>
      <c r="AD1637" s="4" t="s">
        <v>140</v>
      </c>
      <c r="AE1637" s="4" t="s">
        <v>48</v>
      </c>
      <c r="AF1637" s="4" t="s">
        <v>41</v>
      </c>
      <c r="AG1637" s="4" t="s">
        <v>3499</v>
      </c>
    </row>
    <row r="1638" spans="1:33" ht="16.5" customHeight="1" x14ac:dyDescent="0.2">
      <c r="A1638" s="2" t="s">
        <v>31</v>
      </c>
      <c r="B1638" s="19" t="s">
        <v>50</v>
      </c>
      <c r="C1638" s="19"/>
      <c r="D1638" s="19"/>
      <c r="E1638" s="20" t="s">
        <v>33</v>
      </c>
      <c r="F1638" s="20"/>
      <c r="G1638" s="21" t="s">
        <v>3540</v>
      </c>
      <c r="H1638" s="21"/>
      <c r="I1638" s="21"/>
      <c r="J1638" s="3" t="s">
        <v>35</v>
      </c>
      <c r="K1638" s="4" t="s">
        <v>193</v>
      </c>
      <c r="L1638" s="4" t="s">
        <v>37</v>
      </c>
      <c r="N1638" s="21" t="s">
        <v>3541</v>
      </c>
      <c r="O1638" s="21"/>
      <c r="P1638" s="21" t="s">
        <v>3542</v>
      </c>
      <c r="Q1638" s="21"/>
      <c r="R1638" s="21"/>
      <c r="S1638" s="3" t="s">
        <v>40</v>
      </c>
      <c r="T1638" s="21" t="s">
        <v>41</v>
      </c>
      <c r="U1638" s="21"/>
      <c r="V1638" s="4" t="s">
        <v>42</v>
      </c>
      <c r="W1638" s="4" t="s">
        <v>607</v>
      </c>
      <c r="X1638" s="4" t="s">
        <v>471</v>
      </c>
      <c r="Y1638" s="21" t="s">
        <v>198</v>
      </c>
      <c r="Z1638" s="21"/>
      <c r="AA1638" s="4" t="s">
        <v>46</v>
      </c>
      <c r="AB1638" s="4" t="s">
        <v>47</v>
      </c>
      <c r="AC1638" s="4" t="s">
        <v>257</v>
      </c>
      <c r="AD1638" s="4" t="s">
        <v>258</v>
      </c>
      <c r="AE1638" s="4" t="s">
        <v>48</v>
      </c>
      <c r="AF1638" s="4" t="s">
        <v>41</v>
      </c>
      <c r="AG1638" s="4" t="s">
        <v>3543</v>
      </c>
    </row>
    <row r="1639" spans="1:33" ht="16.5" customHeight="1" x14ac:dyDescent="0.2">
      <c r="A1639" s="2" t="s">
        <v>31</v>
      </c>
      <c r="B1639" s="19" t="s">
        <v>50</v>
      </c>
      <c r="C1639" s="19"/>
      <c r="D1639" s="19"/>
      <c r="E1639" s="20" t="s">
        <v>33</v>
      </c>
      <c r="F1639" s="20"/>
      <c r="G1639" s="21" t="s">
        <v>3540</v>
      </c>
      <c r="H1639" s="21"/>
      <c r="I1639" s="21"/>
      <c r="J1639" s="3" t="s">
        <v>35</v>
      </c>
      <c r="K1639" s="4" t="s">
        <v>193</v>
      </c>
      <c r="L1639" s="4" t="s">
        <v>68</v>
      </c>
      <c r="N1639" s="21" t="s">
        <v>3544</v>
      </c>
      <c r="O1639" s="21"/>
      <c r="P1639" s="21" t="s">
        <v>3545</v>
      </c>
      <c r="Q1639" s="21"/>
      <c r="R1639" s="21"/>
      <c r="S1639" s="3" t="s">
        <v>40</v>
      </c>
      <c r="T1639" s="21" t="s">
        <v>41</v>
      </c>
      <c r="U1639" s="21"/>
      <c r="V1639" s="4" t="s">
        <v>42</v>
      </c>
      <c r="W1639" s="4" t="s">
        <v>54</v>
      </c>
      <c r="X1639" s="4" t="s">
        <v>55</v>
      </c>
      <c r="Y1639" s="21" t="s">
        <v>198</v>
      </c>
      <c r="Z1639" s="21"/>
      <c r="AA1639" s="4" t="s">
        <v>46</v>
      </c>
      <c r="AB1639" s="4" t="s">
        <v>47</v>
      </c>
      <c r="AC1639" s="4" t="s">
        <v>139</v>
      </c>
      <c r="AD1639" s="4" t="s">
        <v>151</v>
      </c>
      <c r="AE1639" s="4" t="s">
        <v>48</v>
      </c>
      <c r="AF1639" s="4" t="s">
        <v>41</v>
      </c>
      <c r="AG1639" s="4" t="s">
        <v>3543</v>
      </c>
    </row>
    <row r="1640" spans="1:33" ht="16.5" customHeight="1" x14ac:dyDescent="0.2">
      <c r="A1640" s="2" t="s">
        <v>31</v>
      </c>
      <c r="B1640" s="19" t="s">
        <v>50</v>
      </c>
      <c r="C1640" s="19"/>
      <c r="D1640" s="19"/>
      <c r="E1640" s="20" t="s">
        <v>33</v>
      </c>
      <c r="F1640" s="20"/>
      <c r="G1640" s="21" t="s">
        <v>3540</v>
      </c>
      <c r="H1640" s="21"/>
      <c r="I1640" s="21"/>
      <c r="J1640" s="3" t="s">
        <v>35</v>
      </c>
      <c r="K1640" s="4" t="s">
        <v>193</v>
      </c>
      <c r="L1640" s="4" t="s">
        <v>68</v>
      </c>
      <c r="N1640" s="21" t="s">
        <v>3546</v>
      </c>
      <c r="O1640" s="21"/>
      <c r="P1640" s="21" t="s">
        <v>3547</v>
      </c>
      <c r="Q1640" s="21"/>
      <c r="R1640" s="21"/>
      <c r="S1640" s="3" t="s">
        <v>40</v>
      </c>
      <c r="T1640" s="21" t="s">
        <v>41</v>
      </c>
      <c r="U1640" s="21"/>
      <c r="V1640" s="4" t="s">
        <v>59</v>
      </c>
      <c r="W1640" s="4" t="s">
        <v>54</v>
      </c>
      <c r="X1640" s="4" t="s">
        <v>60</v>
      </c>
      <c r="Y1640" s="21" t="s">
        <v>198</v>
      </c>
      <c r="Z1640" s="21"/>
      <c r="AA1640" s="4" t="s">
        <v>46</v>
      </c>
      <c r="AB1640" s="4" t="s">
        <v>47</v>
      </c>
      <c r="AC1640" s="4" t="s">
        <v>139</v>
      </c>
      <c r="AD1640" s="4" t="s">
        <v>151</v>
      </c>
      <c r="AE1640" s="4" t="s">
        <v>48</v>
      </c>
      <c r="AF1640" s="4" t="s">
        <v>41</v>
      </c>
      <c r="AG1640" s="4" t="s">
        <v>3543</v>
      </c>
    </row>
    <row r="1641" spans="1:33" ht="16.5" customHeight="1" x14ac:dyDescent="0.2">
      <c r="A1641" s="2" t="s">
        <v>31</v>
      </c>
      <c r="B1641" s="19" t="s">
        <v>50</v>
      </c>
      <c r="C1641" s="19"/>
      <c r="D1641" s="19"/>
      <c r="E1641" s="20" t="s">
        <v>33</v>
      </c>
      <c r="F1641" s="20"/>
      <c r="G1641" s="21" t="s">
        <v>3540</v>
      </c>
      <c r="H1641" s="21"/>
      <c r="I1641" s="21"/>
      <c r="J1641" s="3" t="s">
        <v>35</v>
      </c>
      <c r="K1641" s="4" t="s">
        <v>193</v>
      </c>
      <c r="L1641" s="4" t="s">
        <v>37</v>
      </c>
      <c r="N1641" s="21" t="s">
        <v>3548</v>
      </c>
      <c r="O1641" s="21"/>
      <c r="P1641" s="21" t="s">
        <v>3549</v>
      </c>
      <c r="Q1641" s="21"/>
      <c r="R1641" s="21"/>
      <c r="S1641" s="3" t="s">
        <v>40</v>
      </c>
      <c r="T1641" s="21" t="s">
        <v>41</v>
      </c>
      <c r="U1641" s="21"/>
      <c r="V1641" s="4" t="s">
        <v>42</v>
      </c>
      <c r="W1641" s="4" t="s">
        <v>130</v>
      </c>
      <c r="X1641" s="4" t="s">
        <v>60</v>
      </c>
      <c r="Y1641" s="21" t="s">
        <v>198</v>
      </c>
      <c r="Z1641" s="21"/>
      <c r="AA1641" s="4" t="s">
        <v>46</v>
      </c>
      <c r="AB1641" s="4" t="s">
        <v>47</v>
      </c>
      <c r="AC1641" s="4" t="s">
        <v>139</v>
      </c>
      <c r="AD1641" s="4" t="s">
        <v>140</v>
      </c>
      <c r="AE1641" s="4" t="s">
        <v>48</v>
      </c>
      <c r="AF1641" s="4" t="s">
        <v>41</v>
      </c>
      <c r="AG1641" s="4" t="s">
        <v>3543</v>
      </c>
    </row>
    <row r="1642" spans="1:33" ht="16.5" customHeight="1" x14ac:dyDescent="0.2">
      <c r="A1642" s="2" t="s">
        <v>31</v>
      </c>
      <c r="B1642" s="19" t="s">
        <v>50</v>
      </c>
      <c r="C1642" s="19"/>
      <c r="D1642" s="19"/>
      <c r="E1642" s="20" t="s">
        <v>33</v>
      </c>
      <c r="F1642" s="20"/>
      <c r="G1642" s="21" t="s">
        <v>3540</v>
      </c>
      <c r="H1642" s="21"/>
      <c r="I1642" s="21"/>
      <c r="J1642" s="3" t="s">
        <v>35</v>
      </c>
      <c r="K1642" s="4" t="s">
        <v>193</v>
      </c>
      <c r="L1642" s="4" t="s">
        <v>37</v>
      </c>
      <c r="N1642" s="21" t="s">
        <v>3550</v>
      </c>
      <c r="O1642" s="21"/>
      <c r="P1642" s="21" t="s">
        <v>3551</v>
      </c>
      <c r="Q1642" s="21"/>
      <c r="R1642" s="21"/>
      <c r="S1642" s="3" t="s">
        <v>40</v>
      </c>
      <c r="T1642" s="21" t="s">
        <v>41</v>
      </c>
      <c r="U1642" s="21"/>
      <c r="V1642" s="4" t="s">
        <v>42</v>
      </c>
      <c r="W1642" s="4" t="s">
        <v>130</v>
      </c>
      <c r="X1642" s="4" t="s">
        <v>60</v>
      </c>
      <c r="Y1642" s="21" t="s">
        <v>198</v>
      </c>
      <c r="Z1642" s="21"/>
      <c r="AA1642" s="4" t="s">
        <v>46</v>
      </c>
      <c r="AB1642" s="4" t="s">
        <v>47</v>
      </c>
      <c r="AC1642" s="4" t="s">
        <v>139</v>
      </c>
      <c r="AD1642" s="4" t="s">
        <v>140</v>
      </c>
      <c r="AE1642" s="4" t="s">
        <v>48</v>
      </c>
      <c r="AF1642" s="4" t="s">
        <v>41</v>
      </c>
      <c r="AG1642" s="4" t="s">
        <v>3543</v>
      </c>
    </row>
    <row r="1643" spans="1:33" ht="16.5" customHeight="1" x14ac:dyDescent="0.2">
      <c r="A1643" s="2" t="s">
        <v>31</v>
      </c>
      <c r="B1643" s="19" t="s">
        <v>50</v>
      </c>
      <c r="C1643" s="19"/>
      <c r="D1643" s="19"/>
      <c r="E1643" s="20" t="s">
        <v>33</v>
      </c>
      <c r="F1643" s="20"/>
      <c r="G1643" s="21" t="s">
        <v>3540</v>
      </c>
      <c r="H1643" s="21"/>
      <c r="I1643" s="21"/>
      <c r="J1643" s="3" t="s">
        <v>35</v>
      </c>
      <c r="K1643" s="4" t="s">
        <v>193</v>
      </c>
      <c r="L1643" s="4" t="s">
        <v>37</v>
      </c>
      <c r="N1643" s="21" t="s">
        <v>3552</v>
      </c>
      <c r="O1643" s="21"/>
      <c r="P1643" s="21" t="s">
        <v>3553</v>
      </c>
      <c r="Q1643" s="21"/>
      <c r="R1643" s="21"/>
      <c r="S1643" s="3" t="s">
        <v>40</v>
      </c>
      <c r="T1643" s="21" t="s">
        <v>41</v>
      </c>
      <c r="U1643" s="21"/>
      <c r="V1643" s="4" t="s">
        <v>42</v>
      </c>
      <c r="W1643" s="4" t="s">
        <v>130</v>
      </c>
      <c r="X1643" s="4" t="s">
        <v>60</v>
      </c>
      <c r="Y1643" s="21" t="s">
        <v>198</v>
      </c>
      <c r="Z1643" s="21"/>
      <c r="AA1643" s="4" t="s">
        <v>46</v>
      </c>
      <c r="AB1643" s="4" t="s">
        <v>47</v>
      </c>
      <c r="AC1643" s="4" t="s">
        <v>139</v>
      </c>
      <c r="AD1643" s="4" t="s">
        <v>140</v>
      </c>
      <c r="AE1643" s="4" t="s">
        <v>48</v>
      </c>
      <c r="AF1643" s="4" t="s">
        <v>41</v>
      </c>
      <c r="AG1643" s="4" t="s">
        <v>3543</v>
      </c>
    </row>
    <row r="1644" spans="1:33" ht="16.5" customHeight="1" x14ac:dyDescent="0.2">
      <c r="A1644" s="2" t="s">
        <v>31</v>
      </c>
      <c r="B1644" s="19" t="s">
        <v>50</v>
      </c>
      <c r="C1644" s="19"/>
      <c r="D1644" s="19"/>
      <c r="E1644" s="20" t="s">
        <v>33</v>
      </c>
      <c r="F1644" s="20"/>
      <c r="G1644" s="21" t="s">
        <v>3540</v>
      </c>
      <c r="H1644" s="21"/>
      <c r="I1644" s="21"/>
      <c r="J1644" s="3" t="s">
        <v>35</v>
      </c>
      <c r="K1644" s="4" t="s">
        <v>193</v>
      </c>
      <c r="L1644" s="4" t="s">
        <v>37</v>
      </c>
      <c r="N1644" s="21" t="s">
        <v>3552</v>
      </c>
      <c r="O1644" s="21"/>
      <c r="P1644" s="21" t="s">
        <v>3553</v>
      </c>
      <c r="Q1644" s="21"/>
      <c r="R1644" s="21"/>
      <c r="S1644" s="3" t="s">
        <v>40</v>
      </c>
      <c r="T1644" s="21" t="s">
        <v>41</v>
      </c>
      <c r="U1644" s="21"/>
      <c r="V1644" s="4" t="s">
        <v>59</v>
      </c>
      <c r="W1644" s="4" t="s">
        <v>130</v>
      </c>
      <c r="X1644" s="4" t="s">
        <v>131</v>
      </c>
      <c r="Y1644" s="21" t="s">
        <v>198</v>
      </c>
      <c r="Z1644" s="21"/>
      <c r="AA1644" s="4" t="s">
        <v>46</v>
      </c>
      <c r="AB1644" s="4" t="s">
        <v>47</v>
      </c>
      <c r="AC1644" s="4" t="s">
        <v>139</v>
      </c>
      <c r="AD1644" s="4" t="s">
        <v>140</v>
      </c>
      <c r="AE1644" s="4" t="s">
        <v>48</v>
      </c>
      <c r="AF1644" s="4" t="s">
        <v>41</v>
      </c>
      <c r="AG1644" s="4" t="s">
        <v>3543</v>
      </c>
    </row>
    <row r="1645" spans="1:33" ht="16.5" customHeight="1" x14ac:dyDescent="0.2">
      <c r="A1645" s="2" t="s">
        <v>31</v>
      </c>
      <c r="B1645" s="19" t="s">
        <v>50</v>
      </c>
      <c r="C1645" s="19"/>
      <c r="D1645" s="19"/>
      <c r="E1645" s="20" t="s">
        <v>33</v>
      </c>
      <c r="F1645" s="20"/>
      <c r="G1645" s="21" t="s">
        <v>3554</v>
      </c>
      <c r="H1645" s="21"/>
      <c r="I1645" s="21"/>
      <c r="J1645" s="3" t="s">
        <v>35</v>
      </c>
      <c r="K1645" s="4" t="s">
        <v>169</v>
      </c>
      <c r="L1645" s="4" t="s">
        <v>37</v>
      </c>
      <c r="N1645" s="21" t="s">
        <v>3555</v>
      </c>
      <c r="O1645" s="21"/>
      <c r="P1645" s="21" t="s">
        <v>3556</v>
      </c>
      <c r="Q1645" s="21"/>
      <c r="R1645" s="21"/>
      <c r="S1645" s="3" t="s">
        <v>40</v>
      </c>
      <c r="T1645" s="21" t="s">
        <v>41</v>
      </c>
      <c r="U1645" s="21"/>
      <c r="V1645" s="4" t="s">
        <v>42</v>
      </c>
      <c r="W1645" s="4" t="s">
        <v>54</v>
      </c>
      <c r="X1645" s="4" t="s">
        <v>55</v>
      </c>
      <c r="Y1645" s="21" t="s">
        <v>56</v>
      </c>
      <c r="Z1645" s="21"/>
      <c r="AA1645" s="4" t="s">
        <v>46</v>
      </c>
      <c r="AB1645" s="4" t="s">
        <v>47</v>
      </c>
      <c r="AC1645" s="4" t="s">
        <v>57</v>
      </c>
      <c r="AD1645" s="4" t="s">
        <v>58</v>
      </c>
      <c r="AE1645" s="4" t="s">
        <v>48</v>
      </c>
      <c r="AF1645" s="4" t="s">
        <v>41</v>
      </c>
      <c r="AG1645" s="4" t="s">
        <v>3557</v>
      </c>
    </row>
    <row r="1646" spans="1:33" ht="16.5" customHeight="1" x14ac:dyDescent="0.2">
      <c r="A1646" s="2" t="s">
        <v>31</v>
      </c>
      <c r="B1646" s="19" t="s">
        <v>50</v>
      </c>
      <c r="C1646" s="19"/>
      <c r="D1646" s="19"/>
      <c r="E1646" s="20" t="s">
        <v>33</v>
      </c>
      <c r="F1646" s="20"/>
      <c r="G1646" s="21" t="s">
        <v>3554</v>
      </c>
      <c r="H1646" s="21"/>
      <c r="I1646" s="21"/>
      <c r="J1646" s="3" t="s">
        <v>35</v>
      </c>
      <c r="K1646" s="4" t="s">
        <v>204</v>
      </c>
      <c r="L1646" s="4" t="s">
        <v>37</v>
      </c>
      <c r="N1646" s="21" t="s">
        <v>3558</v>
      </c>
      <c r="O1646" s="21"/>
      <c r="P1646" s="21" t="s">
        <v>3559</v>
      </c>
      <c r="Q1646" s="21"/>
      <c r="R1646" s="21"/>
      <c r="S1646" s="3" t="s">
        <v>40</v>
      </c>
      <c r="T1646" s="21" t="s">
        <v>41</v>
      </c>
      <c r="U1646" s="21"/>
      <c r="V1646" s="4" t="s">
        <v>42</v>
      </c>
      <c r="W1646" s="4" t="s">
        <v>54</v>
      </c>
      <c r="X1646" s="4" t="s">
        <v>55</v>
      </c>
      <c r="Y1646" s="21" t="s">
        <v>198</v>
      </c>
      <c r="Z1646" s="21"/>
      <c r="AA1646" s="4" t="s">
        <v>46</v>
      </c>
      <c r="AB1646" s="4" t="s">
        <v>47</v>
      </c>
      <c r="AC1646" s="4" t="s">
        <v>139</v>
      </c>
      <c r="AD1646" s="4" t="s">
        <v>140</v>
      </c>
      <c r="AE1646" s="4" t="s">
        <v>48</v>
      </c>
      <c r="AF1646" s="4" t="s">
        <v>41</v>
      </c>
      <c r="AG1646" s="4" t="s">
        <v>3557</v>
      </c>
    </row>
    <row r="1647" spans="1:33" ht="16.5" customHeight="1" x14ac:dyDescent="0.2">
      <c r="A1647" s="2" t="s">
        <v>31</v>
      </c>
      <c r="B1647" s="19" t="s">
        <v>50</v>
      </c>
      <c r="C1647" s="19"/>
      <c r="D1647" s="19"/>
      <c r="E1647" s="20" t="s">
        <v>33</v>
      </c>
      <c r="F1647" s="20"/>
      <c r="G1647" s="21" t="s">
        <v>3554</v>
      </c>
      <c r="H1647" s="21"/>
      <c r="I1647" s="21"/>
      <c r="J1647" s="3" t="s">
        <v>35</v>
      </c>
      <c r="K1647" s="4" t="s">
        <v>413</v>
      </c>
      <c r="L1647" s="4" t="s">
        <v>37</v>
      </c>
      <c r="N1647" s="21" t="s">
        <v>3560</v>
      </c>
      <c r="O1647" s="21"/>
      <c r="P1647" s="21" t="s">
        <v>3561</v>
      </c>
      <c r="Q1647" s="21"/>
      <c r="R1647" s="21"/>
      <c r="S1647" s="3" t="s">
        <v>40</v>
      </c>
      <c r="T1647" s="21" t="s">
        <v>41</v>
      </c>
      <c r="U1647" s="21"/>
      <c r="V1647" s="4" t="s">
        <v>42</v>
      </c>
      <c r="W1647" s="4" t="s">
        <v>54</v>
      </c>
      <c r="X1647" s="4" t="s">
        <v>55</v>
      </c>
      <c r="Y1647" s="21" t="s">
        <v>198</v>
      </c>
      <c r="Z1647" s="21"/>
      <c r="AA1647" s="4" t="s">
        <v>46</v>
      </c>
      <c r="AB1647" s="4" t="s">
        <v>47</v>
      </c>
      <c r="AC1647" s="4" t="s">
        <v>139</v>
      </c>
      <c r="AD1647" s="4" t="s">
        <v>140</v>
      </c>
      <c r="AE1647" s="4" t="s">
        <v>48</v>
      </c>
      <c r="AF1647" s="4" t="s">
        <v>41</v>
      </c>
      <c r="AG1647" s="4" t="s">
        <v>3557</v>
      </c>
    </row>
    <row r="1648" spans="1:33" ht="16.5" customHeight="1" x14ac:dyDescent="0.2">
      <c r="A1648" s="2" t="s">
        <v>31</v>
      </c>
      <c r="B1648" s="19" t="s">
        <v>50</v>
      </c>
      <c r="C1648" s="19"/>
      <c r="D1648" s="19"/>
      <c r="E1648" s="20" t="s">
        <v>33</v>
      </c>
      <c r="F1648" s="20"/>
      <c r="G1648" s="21" t="s">
        <v>3554</v>
      </c>
      <c r="H1648" s="21"/>
      <c r="I1648" s="21"/>
      <c r="J1648" s="3" t="s">
        <v>35</v>
      </c>
      <c r="K1648" s="4" t="s">
        <v>413</v>
      </c>
      <c r="L1648" s="4" t="s">
        <v>37</v>
      </c>
      <c r="N1648" s="21" t="s">
        <v>3562</v>
      </c>
      <c r="O1648" s="21"/>
      <c r="P1648" s="21" t="s">
        <v>3563</v>
      </c>
      <c r="Q1648" s="21"/>
      <c r="R1648" s="21"/>
      <c r="S1648" s="3" t="s">
        <v>40</v>
      </c>
      <c r="T1648" s="21" t="s">
        <v>41</v>
      </c>
      <c r="U1648" s="21"/>
      <c r="V1648" s="4" t="s">
        <v>42</v>
      </c>
      <c r="W1648" s="4" t="s">
        <v>54</v>
      </c>
      <c r="X1648" s="4" t="s">
        <v>55</v>
      </c>
      <c r="Y1648" s="21" t="s">
        <v>198</v>
      </c>
      <c r="Z1648" s="21"/>
      <c r="AA1648" s="4" t="s">
        <v>46</v>
      </c>
      <c r="AB1648" s="4" t="s">
        <v>47</v>
      </c>
      <c r="AC1648" s="4" t="s">
        <v>139</v>
      </c>
      <c r="AD1648" s="4" t="s">
        <v>140</v>
      </c>
      <c r="AE1648" s="4" t="s">
        <v>48</v>
      </c>
      <c r="AF1648" s="4" t="s">
        <v>41</v>
      </c>
      <c r="AG1648" s="4" t="s">
        <v>3557</v>
      </c>
    </row>
    <row r="1649" spans="1:33" ht="16.5" customHeight="1" x14ac:dyDescent="0.2">
      <c r="A1649" s="2" t="s">
        <v>31</v>
      </c>
      <c r="B1649" s="19" t="s">
        <v>50</v>
      </c>
      <c r="C1649" s="19"/>
      <c r="D1649" s="19"/>
      <c r="E1649" s="20" t="s">
        <v>33</v>
      </c>
      <c r="F1649" s="20"/>
      <c r="G1649" s="21" t="s">
        <v>3564</v>
      </c>
      <c r="H1649" s="21"/>
      <c r="I1649" s="21"/>
      <c r="J1649" s="3" t="s">
        <v>35</v>
      </c>
      <c r="K1649" s="4" t="s">
        <v>193</v>
      </c>
      <c r="L1649" s="4" t="s">
        <v>37</v>
      </c>
      <c r="N1649" s="21" t="s">
        <v>3565</v>
      </c>
      <c r="O1649" s="21"/>
      <c r="P1649" s="21" t="s">
        <v>3566</v>
      </c>
      <c r="Q1649" s="21"/>
      <c r="R1649" s="21"/>
      <c r="S1649" s="3" t="s">
        <v>40</v>
      </c>
      <c r="T1649" s="21" t="s">
        <v>41</v>
      </c>
      <c r="U1649" s="21"/>
      <c r="V1649" s="4" t="s">
        <v>42</v>
      </c>
      <c r="W1649" s="4" t="s">
        <v>54</v>
      </c>
      <c r="X1649" s="4" t="s">
        <v>55</v>
      </c>
      <c r="Y1649" s="21" t="s">
        <v>198</v>
      </c>
      <c r="Z1649" s="21"/>
      <c r="AA1649" s="4" t="s">
        <v>46</v>
      </c>
      <c r="AB1649" s="4" t="s">
        <v>47</v>
      </c>
      <c r="AC1649" s="4" t="s">
        <v>139</v>
      </c>
      <c r="AD1649" s="4" t="s">
        <v>140</v>
      </c>
      <c r="AE1649" s="4" t="s">
        <v>48</v>
      </c>
      <c r="AF1649" s="4" t="s">
        <v>41</v>
      </c>
      <c r="AG1649" s="4" t="s">
        <v>3567</v>
      </c>
    </row>
    <row r="1650" spans="1:33" ht="16.5" customHeight="1" x14ac:dyDescent="0.2">
      <c r="A1650" s="2" t="s">
        <v>31</v>
      </c>
      <c r="B1650" s="19" t="s">
        <v>110</v>
      </c>
      <c r="C1650" s="19"/>
      <c r="D1650" s="19"/>
      <c r="E1650" s="20" t="s">
        <v>33</v>
      </c>
      <c r="F1650" s="20"/>
      <c r="G1650" s="21" t="s">
        <v>3564</v>
      </c>
      <c r="H1650" s="21"/>
      <c r="I1650" s="21"/>
      <c r="J1650" s="3" t="s">
        <v>111</v>
      </c>
      <c r="K1650" s="4" t="s">
        <v>112</v>
      </c>
      <c r="N1650" s="21" t="s">
        <v>3568</v>
      </c>
      <c r="O1650" s="21"/>
      <c r="P1650" s="21" t="s">
        <v>3569</v>
      </c>
      <c r="Q1650" s="21"/>
      <c r="R1650" s="21"/>
      <c r="S1650" s="3" t="s">
        <v>40</v>
      </c>
      <c r="T1650" s="21" t="s">
        <v>115</v>
      </c>
      <c r="U1650" s="21"/>
      <c r="V1650" s="4" t="s">
        <v>42</v>
      </c>
      <c r="W1650" s="4" t="s">
        <v>54</v>
      </c>
      <c r="X1650" s="4" t="s">
        <v>55</v>
      </c>
      <c r="Y1650" s="21" t="s">
        <v>116</v>
      </c>
      <c r="Z1650" s="21"/>
      <c r="AA1650" s="4" t="s">
        <v>46</v>
      </c>
      <c r="AB1650" s="4" t="s">
        <v>117</v>
      </c>
      <c r="AC1650" s="4" t="s">
        <v>118</v>
      </c>
      <c r="AD1650" s="4" t="s">
        <v>119</v>
      </c>
      <c r="AE1650" s="4" t="s">
        <v>48</v>
      </c>
      <c r="AF1650" s="4" t="s">
        <v>41</v>
      </c>
      <c r="AG1650" s="4" t="s">
        <v>3567</v>
      </c>
    </row>
    <row r="1651" spans="1:33" ht="16.5" customHeight="1" x14ac:dyDescent="0.2">
      <c r="A1651" s="2" t="s">
        <v>31</v>
      </c>
      <c r="B1651" s="19" t="s">
        <v>32</v>
      </c>
      <c r="C1651" s="19"/>
      <c r="D1651" s="19"/>
      <c r="E1651" s="20" t="s">
        <v>33</v>
      </c>
      <c r="F1651" s="20"/>
      <c r="G1651" s="21" t="s">
        <v>3570</v>
      </c>
      <c r="H1651" s="21"/>
      <c r="I1651" s="21"/>
      <c r="J1651" s="3" t="s">
        <v>35</v>
      </c>
      <c r="K1651" s="4" t="s">
        <v>665</v>
      </c>
      <c r="L1651" s="4" t="s">
        <v>37</v>
      </c>
      <c r="N1651" s="21" t="s">
        <v>3571</v>
      </c>
      <c r="O1651" s="21"/>
      <c r="P1651" s="21" t="s">
        <v>3572</v>
      </c>
      <c r="Q1651" s="21"/>
      <c r="R1651" s="21"/>
      <c r="S1651" s="3" t="s">
        <v>40</v>
      </c>
      <c r="T1651" s="21" t="s">
        <v>668</v>
      </c>
      <c r="U1651" s="21"/>
      <c r="V1651" s="4" t="s">
        <v>59</v>
      </c>
      <c r="W1651" s="4" t="s">
        <v>54</v>
      </c>
      <c r="X1651" s="4" t="s">
        <v>60</v>
      </c>
      <c r="Y1651" s="21" t="s">
        <v>673</v>
      </c>
      <c r="Z1651" s="21"/>
      <c r="AA1651" s="4" t="s">
        <v>46</v>
      </c>
      <c r="AB1651" s="4" t="s">
        <v>47</v>
      </c>
      <c r="AD1651" s="4" t="s">
        <v>41</v>
      </c>
      <c r="AE1651" s="4" t="s">
        <v>48</v>
      </c>
      <c r="AF1651" s="4" t="s">
        <v>41</v>
      </c>
      <c r="AG1651" s="4" t="s">
        <v>3573</v>
      </c>
    </row>
    <row r="1652" spans="1:33" ht="16.5" customHeight="1" x14ac:dyDescent="0.2">
      <c r="A1652" s="2" t="s">
        <v>31</v>
      </c>
      <c r="B1652" s="19" t="s">
        <v>110</v>
      </c>
      <c r="C1652" s="19"/>
      <c r="D1652" s="19"/>
      <c r="E1652" s="20" t="s">
        <v>33</v>
      </c>
      <c r="F1652" s="20"/>
      <c r="G1652" s="21" t="s">
        <v>3570</v>
      </c>
      <c r="H1652" s="21"/>
      <c r="I1652" s="21"/>
      <c r="J1652" s="3" t="s">
        <v>35</v>
      </c>
      <c r="K1652" s="4" t="s">
        <v>1301</v>
      </c>
      <c r="N1652" s="21" t="s">
        <v>3574</v>
      </c>
      <c r="O1652" s="21"/>
      <c r="P1652" s="21" t="s">
        <v>3572</v>
      </c>
      <c r="Q1652" s="21"/>
      <c r="R1652" s="21"/>
      <c r="S1652" s="3" t="s">
        <v>40</v>
      </c>
      <c r="T1652" s="21" t="s">
        <v>3575</v>
      </c>
      <c r="U1652" s="21"/>
      <c r="V1652" s="4" t="s">
        <v>59</v>
      </c>
      <c r="W1652" s="4" t="s">
        <v>54</v>
      </c>
      <c r="X1652" s="4" t="s">
        <v>60</v>
      </c>
      <c r="Y1652" s="21" t="s">
        <v>980</v>
      </c>
      <c r="Z1652" s="21"/>
      <c r="AA1652" s="4" t="s">
        <v>46</v>
      </c>
      <c r="AB1652" s="4" t="s">
        <v>117</v>
      </c>
      <c r="AC1652" s="4" t="s">
        <v>1305</v>
      </c>
      <c r="AD1652" s="4" t="s">
        <v>3576</v>
      </c>
      <c r="AE1652" s="4" t="s">
        <v>48</v>
      </c>
      <c r="AF1652" s="4" t="s">
        <v>41</v>
      </c>
      <c r="AG1652" s="4" t="s">
        <v>3573</v>
      </c>
    </row>
    <row r="1653" spans="1:33" ht="16.5" customHeight="1" x14ac:dyDescent="0.2">
      <c r="A1653" s="2" t="s">
        <v>31</v>
      </c>
      <c r="B1653" s="19" t="s">
        <v>50</v>
      </c>
      <c r="C1653" s="19"/>
      <c r="D1653" s="19"/>
      <c r="E1653" s="20" t="s">
        <v>33</v>
      </c>
      <c r="F1653" s="20"/>
      <c r="G1653" s="21" t="s">
        <v>3577</v>
      </c>
      <c r="H1653" s="21"/>
      <c r="I1653" s="21"/>
      <c r="J1653" s="3" t="s">
        <v>35</v>
      </c>
      <c r="K1653" s="4" t="s">
        <v>99</v>
      </c>
      <c r="L1653" s="4" t="s">
        <v>445</v>
      </c>
      <c r="N1653" s="21" t="s">
        <v>3578</v>
      </c>
      <c r="O1653" s="21"/>
      <c r="P1653" s="21" t="s">
        <v>3579</v>
      </c>
      <c r="Q1653" s="21"/>
      <c r="R1653" s="21"/>
      <c r="S1653" s="3" t="s">
        <v>40</v>
      </c>
      <c r="T1653" s="21" t="s">
        <v>41</v>
      </c>
      <c r="U1653" s="21"/>
      <c r="V1653" s="4" t="s">
        <v>42</v>
      </c>
      <c r="W1653" s="4" t="s">
        <v>43</v>
      </c>
      <c r="X1653" s="4" t="s">
        <v>44</v>
      </c>
      <c r="Y1653" s="21" t="s">
        <v>56</v>
      </c>
      <c r="Z1653" s="21"/>
      <c r="AA1653" s="4" t="s">
        <v>46</v>
      </c>
      <c r="AB1653" s="4" t="s">
        <v>47</v>
      </c>
      <c r="AC1653" s="4" t="s">
        <v>139</v>
      </c>
      <c r="AD1653" s="4" t="s">
        <v>466</v>
      </c>
      <c r="AE1653" s="4" t="s">
        <v>48</v>
      </c>
      <c r="AF1653" s="4" t="s">
        <v>41</v>
      </c>
      <c r="AG1653" s="4" t="s">
        <v>3580</v>
      </c>
    </row>
    <row r="1654" spans="1:33" ht="16.5" customHeight="1" x14ac:dyDescent="0.2">
      <c r="A1654" s="2" t="s">
        <v>31</v>
      </c>
      <c r="B1654" s="19" t="s">
        <v>50</v>
      </c>
      <c r="C1654" s="19"/>
      <c r="D1654" s="19"/>
      <c r="E1654" s="20" t="s">
        <v>33</v>
      </c>
      <c r="F1654" s="20"/>
      <c r="G1654" s="21" t="s">
        <v>3577</v>
      </c>
      <c r="H1654" s="21"/>
      <c r="I1654" s="21"/>
      <c r="J1654" s="3" t="s">
        <v>35</v>
      </c>
      <c r="K1654" s="4" t="s">
        <v>82</v>
      </c>
      <c r="L1654" s="4" t="s">
        <v>68</v>
      </c>
      <c r="N1654" s="21" t="s">
        <v>3581</v>
      </c>
      <c r="O1654" s="21"/>
      <c r="P1654" s="21" t="s">
        <v>3582</v>
      </c>
      <c r="Q1654" s="21"/>
      <c r="R1654" s="21"/>
      <c r="S1654" s="3" t="s">
        <v>40</v>
      </c>
      <c r="T1654" s="21" t="s">
        <v>41</v>
      </c>
      <c r="U1654" s="21"/>
      <c r="V1654" s="4" t="s">
        <v>42</v>
      </c>
      <c r="W1654" s="4" t="s">
        <v>43</v>
      </c>
      <c r="X1654" s="4" t="s">
        <v>44</v>
      </c>
      <c r="Y1654" s="21" t="s">
        <v>56</v>
      </c>
      <c r="Z1654" s="21"/>
      <c r="AA1654" s="4" t="s">
        <v>46</v>
      </c>
      <c r="AB1654" s="4" t="s">
        <v>47</v>
      </c>
      <c r="AC1654" s="4" t="s">
        <v>139</v>
      </c>
      <c r="AD1654" s="4" t="s">
        <v>151</v>
      </c>
      <c r="AE1654" s="4" t="s">
        <v>48</v>
      </c>
      <c r="AF1654" s="4" t="s">
        <v>41</v>
      </c>
      <c r="AG1654" s="4" t="s">
        <v>3580</v>
      </c>
    </row>
    <row r="1655" spans="1:33" ht="16.5" customHeight="1" x14ac:dyDescent="0.2">
      <c r="A1655" s="2" t="s">
        <v>31</v>
      </c>
      <c r="B1655" s="19" t="s">
        <v>32</v>
      </c>
      <c r="C1655" s="19"/>
      <c r="D1655" s="19"/>
      <c r="E1655" s="20" t="s">
        <v>33</v>
      </c>
      <c r="F1655" s="20"/>
      <c r="G1655" s="21" t="s">
        <v>3583</v>
      </c>
      <c r="H1655" s="21"/>
      <c r="I1655" s="21"/>
      <c r="J1655" s="3" t="s">
        <v>35</v>
      </c>
      <c r="K1655" s="4" t="s">
        <v>2488</v>
      </c>
      <c r="L1655" s="4" t="s">
        <v>37</v>
      </c>
      <c r="N1655" s="21" t="s">
        <v>3584</v>
      </c>
      <c r="O1655" s="21"/>
      <c r="P1655" s="21" t="s">
        <v>3585</v>
      </c>
      <c r="Q1655" s="21"/>
      <c r="R1655" s="21"/>
      <c r="S1655" s="3" t="s">
        <v>40</v>
      </c>
      <c r="T1655" s="21" t="s">
        <v>2491</v>
      </c>
      <c r="U1655" s="21"/>
      <c r="V1655" s="4" t="s">
        <v>59</v>
      </c>
      <c r="W1655" s="4" t="s">
        <v>3586</v>
      </c>
      <c r="X1655" s="4" t="s">
        <v>3587</v>
      </c>
      <c r="Y1655" s="21" t="s">
        <v>669</v>
      </c>
      <c r="Z1655" s="21"/>
      <c r="AA1655" s="4" t="s">
        <v>46</v>
      </c>
      <c r="AB1655" s="4" t="s">
        <v>47</v>
      </c>
      <c r="AD1655" s="4" t="s">
        <v>41</v>
      </c>
      <c r="AE1655" s="4" t="s">
        <v>48</v>
      </c>
      <c r="AF1655" s="4" t="s">
        <v>41</v>
      </c>
      <c r="AG1655" s="4" t="s">
        <v>3588</v>
      </c>
    </row>
    <row r="1656" spans="1:33" ht="16.5" customHeight="1" x14ac:dyDescent="0.2">
      <c r="A1656" s="2" t="s">
        <v>31</v>
      </c>
      <c r="B1656" s="19" t="s">
        <v>32</v>
      </c>
      <c r="C1656" s="19"/>
      <c r="D1656" s="19"/>
      <c r="E1656" s="20" t="s">
        <v>33</v>
      </c>
      <c r="F1656" s="20"/>
      <c r="G1656" s="21" t="s">
        <v>3583</v>
      </c>
      <c r="H1656" s="21"/>
      <c r="I1656" s="21"/>
      <c r="J1656" s="3" t="s">
        <v>35</v>
      </c>
      <c r="K1656" s="4" t="s">
        <v>665</v>
      </c>
      <c r="L1656" s="4" t="s">
        <v>37</v>
      </c>
      <c r="N1656" s="21" t="s">
        <v>3589</v>
      </c>
      <c r="O1656" s="21"/>
      <c r="P1656" s="21" t="s">
        <v>3590</v>
      </c>
      <c r="Q1656" s="21"/>
      <c r="R1656" s="21"/>
      <c r="S1656" s="3" t="s">
        <v>40</v>
      </c>
      <c r="T1656" s="21" t="s">
        <v>668</v>
      </c>
      <c r="U1656" s="21"/>
      <c r="V1656" s="4" t="s">
        <v>59</v>
      </c>
      <c r="W1656" s="4" t="s">
        <v>3586</v>
      </c>
      <c r="X1656" s="4" t="s">
        <v>3587</v>
      </c>
      <c r="Y1656" s="21" t="s">
        <v>669</v>
      </c>
      <c r="Z1656" s="21"/>
      <c r="AA1656" s="4" t="s">
        <v>46</v>
      </c>
      <c r="AB1656" s="4" t="s">
        <v>47</v>
      </c>
      <c r="AD1656" s="4" t="s">
        <v>41</v>
      </c>
      <c r="AE1656" s="4" t="s">
        <v>48</v>
      </c>
      <c r="AF1656" s="4" t="s">
        <v>41</v>
      </c>
      <c r="AG1656" s="4" t="s">
        <v>3588</v>
      </c>
    </row>
    <row r="1657" spans="1:33" ht="16.5" customHeight="1" x14ac:dyDescent="0.2">
      <c r="A1657" s="2" t="s">
        <v>31</v>
      </c>
      <c r="B1657" s="19" t="s">
        <v>32</v>
      </c>
      <c r="C1657" s="19"/>
      <c r="D1657" s="19"/>
      <c r="E1657" s="20" t="s">
        <v>33</v>
      </c>
      <c r="F1657" s="20"/>
      <c r="G1657" s="21" t="s">
        <v>3583</v>
      </c>
      <c r="H1657" s="21"/>
      <c r="I1657" s="21"/>
      <c r="J1657" s="3" t="s">
        <v>35</v>
      </c>
      <c r="K1657" s="4" t="s">
        <v>665</v>
      </c>
      <c r="L1657" s="4" t="s">
        <v>37</v>
      </c>
      <c r="N1657" s="21" t="s">
        <v>3591</v>
      </c>
      <c r="O1657" s="21"/>
      <c r="P1657" s="21" t="s">
        <v>3592</v>
      </c>
      <c r="Q1657" s="21"/>
      <c r="R1657" s="21"/>
      <c r="S1657" s="3" t="s">
        <v>40</v>
      </c>
      <c r="T1657" s="21" t="s">
        <v>668</v>
      </c>
      <c r="U1657" s="21"/>
      <c r="V1657" s="4" t="s">
        <v>59</v>
      </c>
      <c r="W1657" s="4" t="s">
        <v>54</v>
      </c>
      <c r="X1657" s="4" t="s">
        <v>60</v>
      </c>
      <c r="Y1657" s="21" t="s">
        <v>669</v>
      </c>
      <c r="Z1657" s="21"/>
      <c r="AA1657" s="4" t="s">
        <v>46</v>
      </c>
      <c r="AB1657" s="4" t="s">
        <v>47</v>
      </c>
      <c r="AD1657" s="4" t="s">
        <v>41</v>
      </c>
      <c r="AE1657" s="4" t="s">
        <v>48</v>
      </c>
      <c r="AF1657" s="4" t="s">
        <v>41</v>
      </c>
      <c r="AG1657" s="4" t="s">
        <v>3588</v>
      </c>
    </row>
    <row r="1658" spans="1:33" ht="16.5" customHeight="1" x14ac:dyDescent="0.2">
      <c r="A1658" s="2" t="s">
        <v>31</v>
      </c>
      <c r="B1658" s="19" t="s">
        <v>32</v>
      </c>
      <c r="C1658" s="19"/>
      <c r="D1658" s="19"/>
      <c r="E1658" s="20" t="s">
        <v>33</v>
      </c>
      <c r="F1658" s="20"/>
      <c r="G1658" s="21" t="s">
        <v>3583</v>
      </c>
      <c r="H1658" s="21"/>
      <c r="I1658" s="21"/>
      <c r="J1658" s="3" t="s">
        <v>35</v>
      </c>
      <c r="K1658" s="4" t="s">
        <v>2488</v>
      </c>
      <c r="L1658" s="4" t="s">
        <v>37</v>
      </c>
      <c r="N1658" s="21" t="s">
        <v>3593</v>
      </c>
      <c r="O1658" s="21"/>
      <c r="P1658" s="21" t="s">
        <v>3594</v>
      </c>
      <c r="Q1658" s="21"/>
      <c r="R1658" s="21"/>
      <c r="S1658" s="3" t="s">
        <v>40</v>
      </c>
      <c r="T1658" s="21" t="s">
        <v>2491</v>
      </c>
      <c r="U1658" s="21"/>
      <c r="V1658" s="4" t="s">
        <v>59</v>
      </c>
      <c r="W1658" s="4" t="s">
        <v>54</v>
      </c>
      <c r="X1658" s="4" t="s">
        <v>60</v>
      </c>
      <c r="Y1658" s="21" t="s">
        <v>673</v>
      </c>
      <c r="Z1658" s="21"/>
      <c r="AA1658" s="4" t="s">
        <v>46</v>
      </c>
      <c r="AB1658" s="4" t="s">
        <v>47</v>
      </c>
      <c r="AD1658" s="4" t="s">
        <v>41</v>
      </c>
      <c r="AE1658" s="4" t="s">
        <v>48</v>
      </c>
      <c r="AF1658" s="4" t="s">
        <v>41</v>
      </c>
      <c r="AG1658" s="4" t="s">
        <v>3588</v>
      </c>
    </row>
    <row r="1659" spans="1:33" ht="16.5" customHeight="1" x14ac:dyDescent="0.2">
      <c r="A1659" s="2" t="s">
        <v>31</v>
      </c>
      <c r="B1659" s="19" t="s">
        <v>32</v>
      </c>
      <c r="C1659" s="19"/>
      <c r="D1659" s="19"/>
      <c r="E1659" s="20" t="s">
        <v>33</v>
      </c>
      <c r="F1659" s="20"/>
      <c r="G1659" s="21" t="s">
        <v>3583</v>
      </c>
      <c r="H1659" s="21"/>
      <c r="I1659" s="21"/>
      <c r="J1659" s="3" t="s">
        <v>35</v>
      </c>
      <c r="K1659" s="4" t="s">
        <v>2488</v>
      </c>
      <c r="L1659" s="4" t="s">
        <v>37</v>
      </c>
      <c r="N1659" s="21" t="s">
        <v>3595</v>
      </c>
      <c r="O1659" s="21"/>
      <c r="P1659" s="21" t="s">
        <v>3596</v>
      </c>
      <c r="Q1659" s="21"/>
      <c r="R1659" s="21"/>
      <c r="S1659" s="3" t="s">
        <v>40</v>
      </c>
      <c r="T1659" s="21" t="s">
        <v>2491</v>
      </c>
      <c r="U1659" s="21"/>
      <c r="V1659" s="4" t="s">
        <v>59</v>
      </c>
      <c r="W1659" s="4" t="s">
        <v>54</v>
      </c>
      <c r="X1659" s="4" t="s">
        <v>60</v>
      </c>
      <c r="Y1659" s="21" t="s">
        <v>673</v>
      </c>
      <c r="Z1659" s="21"/>
      <c r="AA1659" s="4" t="s">
        <v>46</v>
      </c>
      <c r="AB1659" s="4" t="s">
        <v>47</v>
      </c>
      <c r="AD1659" s="4" t="s">
        <v>41</v>
      </c>
      <c r="AE1659" s="4" t="s">
        <v>48</v>
      </c>
      <c r="AF1659" s="4" t="s">
        <v>41</v>
      </c>
      <c r="AG1659" s="4" t="s">
        <v>3588</v>
      </c>
    </row>
    <row r="1660" spans="1:33" ht="16.5" customHeight="1" x14ac:dyDescent="0.2">
      <c r="A1660" s="2" t="s">
        <v>31</v>
      </c>
      <c r="B1660" s="19" t="s">
        <v>50</v>
      </c>
      <c r="C1660" s="19"/>
      <c r="D1660" s="19"/>
      <c r="E1660" s="20" t="s">
        <v>33</v>
      </c>
      <c r="F1660" s="20"/>
      <c r="G1660" s="21" t="s">
        <v>3583</v>
      </c>
      <c r="H1660" s="21"/>
      <c r="I1660" s="21"/>
      <c r="J1660" s="3" t="s">
        <v>35</v>
      </c>
      <c r="K1660" s="4" t="s">
        <v>169</v>
      </c>
      <c r="L1660" s="4" t="s">
        <v>37</v>
      </c>
      <c r="N1660" s="21" t="s">
        <v>3597</v>
      </c>
      <c r="O1660" s="21"/>
      <c r="P1660" s="21" t="s">
        <v>3598</v>
      </c>
      <c r="Q1660" s="21"/>
      <c r="R1660" s="21"/>
      <c r="S1660" s="3" t="s">
        <v>40</v>
      </c>
      <c r="T1660" s="21" t="s">
        <v>41</v>
      </c>
      <c r="U1660" s="21"/>
      <c r="V1660" s="4" t="s">
        <v>42</v>
      </c>
      <c r="W1660" s="4" t="s">
        <v>229</v>
      </c>
      <c r="X1660" s="4" t="s">
        <v>448</v>
      </c>
      <c r="Y1660" s="21" t="s">
        <v>56</v>
      </c>
      <c r="Z1660" s="21"/>
      <c r="AA1660" s="4" t="s">
        <v>46</v>
      </c>
      <c r="AB1660" s="4" t="s">
        <v>47</v>
      </c>
      <c r="AC1660" s="4" t="s">
        <v>139</v>
      </c>
      <c r="AD1660" s="4" t="s">
        <v>140</v>
      </c>
      <c r="AE1660" s="4" t="s">
        <v>48</v>
      </c>
      <c r="AF1660" s="4" t="s">
        <v>41</v>
      </c>
      <c r="AG1660" s="4" t="s">
        <v>3588</v>
      </c>
    </row>
    <row r="1661" spans="1:33" ht="16.5" customHeight="1" x14ac:dyDescent="0.2">
      <c r="A1661" s="2" t="s">
        <v>31</v>
      </c>
      <c r="B1661" s="19" t="s">
        <v>50</v>
      </c>
      <c r="C1661" s="19"/>
      <c r="D1661" s="19"/>
      <c r="E1661" s="20" t="s">
        <v>33</v>
      </c>
      <c r="F1661" s="20"/>
      <c r="G1661" s="21" t="s">
        <v>3583</v>
      </c>
      <c r="H1661" s="21"/>
      <c r="I1661" s="21"/>
      <c r="J1661" s="3" t="s">
        <v>35</v>
      </c>
      <c r="K1661" s="4" t="s">
        <v>61</v>
      </c>
      <c r="L1661" s="4" t="s">
        <v>68</v>
      </c>
      <c r="N1661" s="21" t="s">
        <v>3599</v>
      </c>
      <c r="O1661" s="21"/>
      <c r="P1661" s="21" t="s">
        <v>3600</v>
      </c>
      <c r="Q1661" s="21"/>
      <c r="R1661" s="21"/>
      <c r="S1661" s="3" t="s">
        <v>40</v>
      </c>
      <c r="T1661" s="21" t="s">
        <v>41</v>
      </c>
      <c r="U1661" s="21"/>
      <c r="V1661" s="4" t="s">
        <v>42</v>
      </c>
      <c r="W1661" s="4" t="s">
        <v>130</v>
      </c>
      <c r="X1661" s="4" t="s">
        <v>60</v>
      </c>
      <c r="Y1661" s="21" t="s">
        <v>65</v>
      </c>
      <c r="Z1661" s="21"/>
      <c r="AA1661" s="4" t="s">
        <v>46</v>
      </c>
      <c r="AB1661" s="4" t="s">
        <v>47</v>
      </c>
      <c r="AC1661" s="4" t="s">
        <v>66</v>
      </c>
      <c r="AD1661" s="4" t="s">
        <v>69</v>
      </c>
      <c r="AE1661" s="4" t="s">
        <v>48</v>
      </c>
      <c r="AF1661" s="4" t="s">
        <v>41</v>
      </c>
      <c r="AG1661" s="4" t="s">
        <v>3588</v>
      </c>
    </row>
    <row r="1662" spans="1:33" ht="16.5" customHeight="1" x14ac:dyDescent="0.2">
      <c r="A1662" s="2" t="s">
        <v>31</v>
      </c>
      <c r="B1662" s="19" t="s">
        <v>50</v>
      </c>
      <c r="C1662" s="19"/>
      <c r="D1662" s="19"/>
      <c r="E1662" s="20" t="s">
        <v>33</v>
      </c>
      <c r="F1662" s="20"/>
      <c r="G1662" s="21" t="s">
        <v>3583</v>
      </c>
      <c r="H1662" s="21"/>
      <c r="I1662" s="21"/>
      <c r="J1662" s="3" t="s">
        <v>35</v>
      </c>
      <c r="K1662" s="4" t="s">
        <v>61</v>
      </c>
      <c r="L1662" s="4" t="s">
        <v>445</v>
      </c>
      <c r="N1662" s="21" t="s">
        <v>3601</v>
      </c>
      <c r="O1662" s="21"/>
      <c r="P1662" s="21" t="s">
        <v>3602</v>
      </c>
      <c r="Q1662" s="21"/>
      <c r="R1662" s="21"/>
      <c r="S1662" s="3" t="s">
        <v>40</v>
      </c>
      <c r="T1662" s="21" t="s">
        <v>41</v>
      </c>
      <c r="U1662" s="21"/>
      <c r="V1662" s="4" t="s">
        <v>42</v>
      </c>
      <c r="W1662" s="4" t="s">
        <v>642</v>
      </c>
      <c r="X1662" s="4" t="s">
        <v>643</v>
      </c>
      <c r="Y1662" s="21" t="s">
        <v>65</v>
      </c>
      <c r="Z1662" s="21"/>
      <c r="AA1662" s="4" t="s">
        <v>46</v>
      </c>
      <c r="AB1662" s="4" t="s">
        <v>47</v>
      </c>
      <c r="AC1662" s="4" t="s">
        <v>57</v>
      </c>
      <c r="AD1662" s="4" t="s">
        <v>449</v>
      </c>
      <c r="AE1662" s="4" t="s">
        <v>48</v>
      </c>
      <c r="AF1662" s="4" t="s">
        <v>41</v>
      </c>
      <c r="AG1662" s="4" t="s">
        <v>3588</v>
      </c>
    </row>
    <row r="1663" spans="1:33" ht="16.5" customHeight="1" x14ac:dyDescent="0.2">
      <c r="A1663" s="2" t="s">
        <v>31</v>
      </c>
      <c r="B1663" s="19" t="s">
        <v>50</v>
      </c>
      <c r="C1663" s="19"/>
      <c r="D1663" s="19"/>
      <c r="E1663" s="20" t="s">
        <v>33</v>
      </c>
      <c r="F1663" s="20"/>
      <c r="G1663" s="21" t="s">
        <v>3583</v>
      </c>
      <c r="H1663" s="21"/>
      <c r="I1663" s="21"/>
      <c r="J1663" s="3" t="s">
        <v>35</v>
      </c>
      <c r="K1663" s="4" t="s">
        <v>61</v>
      </c>
      <c r="L1663" s="4" t="s">
        <v>37</v>
      </c>
      <c r="N1663" s="21" t="s">
        <v>3603</v>
      </c>
      <c r="O1663" s="21"/>
      <c r="P1663" s="21" t="s">
        <v>3604</v>
      </c>
      <c r="Q1663" s="21"/>
      <c r="R1663" s="21"/>
      <c r="S1663" s="3" t="s">
        <v>40</v>
      </c>
      <c r="T1663" s="21" t="s">
        <v>41</v>
      </c>
      <c r="U1663" s="21"/>
      <c r="V1663" s="4" t="s">
        <v>42</v>
      </c>
      <c r="W1663" s="4" t="s">
        <v>3605</v>
      </c>
      <c r="X1663" s="4" t="s">
        <v>3606</v>
      </c>
      <c r="Y1663" s="21" t="s">
        <v>65</v>
      </c>
      <c r="Z1663" s="21"/>
      <c r="AA1663" s="4" t="s">
        <v>46</v>
      </c>
      <c r="AB1663" s="4" t="s">
        <v>47</v>
      </c>
      <c r="AC1663" s="4" t="s">
        <v>57</v>
      </c>
      <c r="AD1663" s="4" t="s">
        <v>58</v>
      </c>
      <c r="AE1663" s="4" t="s">
        <v>48</v>
      </c>
      <c r="AF1663" s="4" t="s">
        <v>41</v>
      </c>
      <c r="AG1663" s="4" t="s">
        <v>3588</v>
      </c>
    </row>
    <row r="1664" spans="1:33" ht="16.5" customHeight="1" x14ac:dyDescent="0.2">
      <c r="A1664" s="2" t="s">
        <v>31</v>
      </c>
      <c r="B1664" s="19" t="s">
        <v>50</v>
      </c>
      <c r="C1664" s="19"/>
      <c r="D1664" s="19"/>
      <c r="E1664" s="20" t="s">
        <v>33</v>
      </c>
      <c r="F1664" s="20"/>
      <c r="G1664" s="21" t="s">
        <v>3583</v>
      </c>
      <c r="H1664" s="21"/>
      <c r="I1664" s="21"/>
      <c r="J1664" s="3" t="s">
        <v>35</v>
      </c>
      <c r="K1664" s="4" t="s">
        <v>61</v>
      </c>
      <c r="L1664" s="4" t="s">
        <v>37</v>
      </c>
      <c r="N1664" s="21" t="s">
        <v>3603</v>
      </c>
      <c r="O1664" s="21"/>
      <c r="P1664" s="21" t="s">
        <v>3604</v>
      </c>
      <c r="Q1664" s="21"/>
      <c r="R1664" s="21"/>
      <c r="S1664" s="3" t="s">
        <v>40</v>
      </c>
      <c r="T1664" s="21" t="s">
        <v>41</v>
      </c>
      <c r="U1664" s="21"/>
      <c r="V1664" s="4" t="s">
        <v>59</v>
      </c>
      <c r="W1664" s="4" t="s">
        <v>3605</v>
      </c>
      <c r="X1664" s="4" t="s">
        <v>3607</v>
      </c>
      <c r="Y1664" s="21" t="s">
        <v>65</v>
      </c>
      <c r="Z1664" s="21"/>
      <c r="AA1664" s="4" t="s">
        <v>46</v>
      </c>
      <c r="AB1664" s="4" t="s">
        <v>47</v>
      </c>
      <c r="AC1664" s="4" t="s">
        <v>57</v>
      </c>
      <c r="AD1664" s="4" t="s">
        <v>58</v>
      </c>
      <c r="AE1664" s="4" t="s">
        <v>48</v>
      </c>
      <c r="AF1664" s="4" t="s">
        <v>41</v>
      </c>
      <c r="AG1664" s="4" t="s">
        <v>3588</v>
      </c>
    </row>
    <row r="1665" spans="1:33" ht="16.5" customHeight="1" x14ac:dyDescent="0.2">
      <c r="A1665" s="2" t="s">
        <v>31</v>
      </c>
      <c r="B1665" s="19" t="s">
        <v>50</v>
      </c>
      <c r="C1665" s="19"/>
      <c r="D1665" s="19"/>
      <c r="E1665" s="20" t="s">
        <v>33</v>
      </c>
      <c r="F1665" s="20"/>
      <c r="G1665" s="21" t="s">
        <v>3583</v>
      </c>
      <c r="H1665" s="21"/>
      <c r="I1665" s="21"/>
      <c r="J1665" s="3" t="s">
        <v>35</v>
      </c>
      <c r="K1665" s="4" t="s">
        <v>61</v>
      </c>
      <c r="L1665" s="4" t="s">
        <v>37</v>
      </c>
      <c r="N1665" s="21" t="s">
        <v>3603</v>
      </c>
      <c r="O1665" s="21"/>
      <c r="P1665" s="21" t="s">
        <v>3604</v>
      </c>
      <c r="Q1665" s="21"/>
      <c r="R1665" s="21"/>
      <c r="S1665" s="3" t="s">
        <v>40</v>
      </c>
      <c r="T1665" s="21" t="s">
        <v>41</v>
      </c>
      <c r="U1665" s="21"/>
      <c r="V1665" s="4" t="s">
        <v>130</v>
      </c>
      <c r="W1665" s="4" t="s">
        <v>3605</v>
      </c>
      <c r="X1665" s="4" t="s">
        <v>3608</v>
      </c>
      <c r="Y1665" s="21" t="s">
        <v>65</v>
      </c>
      <c r="Z1665" s="21"/>
      <c r="AA1665" s="4" t="s">
        <v>46</v>
      </c>
      <c r="AB1665" s="4" t="s">
        <v>47</v>
      </c>
      <c r="AC1665" s="4" t="s">
        <v>57</v>
      </c>
      <c r="AD1665" s="4" t="s">
        <v>58</v>
      </c>
      <c r="AE1665" s="4" t="s">
        <v>48</v>
      </c>
      <c r="AF1665" s="4" t="s">
        <v>41</v>
      </c>
      <c r="AG1665" s="4" t="s">
        <v>3588</v>
      </c>
    </row>
    <row r="1666" spans="1:33" ht="16.5" customHeight="1" x14ac:dyDescent="0.2">
      <c r="A1666" s="2" t="s">
        <v>31</v>
      </c>
      <c r="B1666" s="19" t="s">
        <v>50</v>
      </c>
      <c r="C1666" s="19"/>
      <c r="D1666" s="19"/>
      <c r="E1666" s="20" t="s">
        <v>33</v>
      </c>
      <c r="F1666" s="20"/>
      <c r="G1666" s="21" t="s">
        <v>3583</v>
      </c>
      <c r="H1666" s="21"/>
      <c r="I1666" s="21"/>
      <c r="J1666" s="3" t="s">
        <v>35</v>
      </c>
      <c r="K1666" s="4" t="s">
        <v>152</v>
      </c>
      <c r="L1666" s="4" t="s">
        <v>37</v>
      </c>
      <c r="N1666" s="21" t="s">
        <v>3609</v>
      </c>
      <c r="O1666" s="21"/>
      <c r="P1666" s="21" t="s">
        <v>3610</v>
      </c>
      <c r="Q1666" s="21"/>
      <c r="R1666" s="21"/>
      <c r="S1666" s="3" t="s">
        <v>40</v>
      </c>
      <c r="T1666" s="21" t="s">
        <v>41</v>
      </c>
      <c r="U1666" s="21"/>
      <c r="V1666" s="4" t="s">
        <v>42</v>
      </c>
      <c r="W1666" s="4" t="s">
        <v>54</v>
      </c>
      <c r="X1666" s="4" t="s">
        <v>55</v>
      </c>
      <c r="Y1666" s="21" t="s">
        <v>56</v>
      </c>
      <c r="Z1666" s="21"/>
      <c r="AA1666" s="4" t="s">
        <v>46</v>
      </c>
      <c r="AB1666" s="4" t="s">
        <v>47</v>
      </c>
      <c r="AC1666" s="4" t="s">
        <v>57</v>
      </c>
      <c r="AD1666" s="4" t="s">
        <v>58</v>
      </c>
      <c r="AE1666" s="4" t="s">
        <v>48</v>
      </c>
      <c r="AF1666" s="4" t="s">
        <v>41</v>
      </c>
      <c r="AG1666" s="4" t="s">
        <v>3588</v>
      </c>
    </row>
    <row r="1667" spans="1:33" ht="16.5" customHeight="1" x14ac:dyDescent="0.2">
      <c r="A1667" s="2" t="s">
        <v>31</v>
      </c>
      <c r="B1667" s="19" t="s">
        <v>50</v>
      </c>
      <c r="C1667" s="19"/>
      <c r="D1667" s="19"/>
      <c r="E1667" s="20" t="s">
        <v>33</v>
      </c>
      <c r="F1667" s="20"/>
      <c r="G1667" s="21" t="s">
        <v>3583</v>
      </c>
      <c r="H1667" s="21"/>
      <c r="I1667" s="21"/>
      <c r="J1667" s="3" t="s">
        <v>35</v>
      </c>
      <c r="K1667" s="4" t="s">
        <v>152</v>
      </c>
      <c r="L1667" s="4" t="s">
        <v>445</v>
      </c>
      <c r="N1667" s="21" t="s">
        <v>3611</v>
      </c>
      <c r="O1667" s="21"/>
      <c r="P1667" s="21" t="s">
        <v>3612</v>
      </c>
      <c r="Q1667" s="21"/>
      <c r="R1667" s="21"/>
      <c r="S1667" s="3" t="s">
        <v>40</v>
      </c>
      <c r="T1667" s="21" t="s">
        <v>41</v>
      </c>
      <c r="U1667" s="21"/>
      <c r="V1667" s="4" t="s">
        <v>42</v>
      </c>
      <c r="W1667" s="4" t="s">
        <v>3613</v>
      </c>
      <c r="X1667" s="4" t="s">
        <v>3607</v>
      </c>
      <c r="Y1667" s="21" t="s">
        <v>56</v>
      </c>
      <c r="Z1667" s="21"/>
      <c r="AA1667" s="4" t="s">
        <v>46</v>
      </c>
      <c r="AB1667" s="4" t="s">
        <v>47</v>
      </c>
      <c r="AC1667" s="4" t="s">
        <v>139</v>
      </c>
      <c r="AD1667" s="4" t="s">
        <v>466</v>
      </c>
      <c r="AE1667" s="4" t="s">
        <v>48</v>
      </c>
      <c r="AF1667" s="4" t="s">
        <v>41</v>
      </c>
      <c r="AG1667" s="4" t="s">
        <v>3588</v>
      </c>
    </row>
    <row r="1668" spans="1:33" ht="16.5" customHeight="1" x14ac:dyDescent="0.2">
      <c r="A1668" s="2" t="s">
        <v>31</v>
      </c>
      <c r="B1668" s="19" t="s">
        <v>50</v>
      </c>
      <c r="C1668" s="19"/>
      <c r="D1668" s="19"/>
      <c r="E1668" s="20" t="s">
        <v>33</v>
      </c>
      <c r="F1668" s="20"/>
      <c r="G1668" s="21" t="s">
        <v>3583</v>
      </c>
      <c r="H1668" s="21"/>
      <c r="I1668" s="21"/>
      <c r="J1668" s="3" t="s">
        <v>35</v>
      </c>
      <c r="K1668" s="4" t="s">
        <v>99</v>
      </c>
      <c r="L1668" s="4" t="s">
        <v>37</v>
      </c>
      <c r="N1668" s="21" t="s">
        <v>3614</v>
      </c>
      <c r="O1668" s="21"/>
      <c r="P1668" s="21" t="s">
        <v>3615</v>
      </c>
      <c r="Q1668" s="21"/>
      <c r="R1668" s="21"/>
      <c r="S1668" s="3" t="s">
        <v>40</v>
      </c>
      <c r="T1668" s="21" t="s">
        <v>41</v>
      </c>
      <c r="U1668" s="21"/>
      <c r="V1668" s="4" t="s">
        <v>42</v>
      </c>
      <c r="W1668" s="4" t="s">
        <v>161</v>
      </c>
      <c r="X1668" s="4" t="s">
        <v>162</v>
      </c>
      <c r="Y1668" s="21" t="s">
        <v>56</v>
      </c>
      <c r="Z1668" s="21"/>
      <c r="AA1668" s="4" t="s">
        <v>46</v>
      </c>
      <c r="AB1668" s="4" t="s">
        <v>47</v>
      </c>
      <c r="AC1668" s="4" t="s">
        <v>139</v>
      </c>
      <c r="AD1668" s="4" t="s">
        <v>140</v>
      </c>
      <c r="AE1668" s="4" t="s">
        <v>48</v>
      </c>
      <c r="AF1668" s="4" t="s">
        <v>41</v>
      </c>
      <c r="AG1668" s="4" t="s">
        <v>3588</v>
      </c>
    </row>
    <row r="1669" spans="1:33" ht="16.5" customHeight="1" x14ac:dyDescent="0.2">
      <c r="A1669" s="2" t="s">
        <v>31</v>
      </c>
      <c r="B1669" s="19" t="s">
        <v>50</v>
      </c>
      <c r="C1669" s="19"/>
      <c r="D1669" s="19"/>
      <c r="E1669" s="20" t="s">
        <v>33</v>
      </c>
      <c r="F1669" s="20"/>
      <c r="G1669" s="21" t="s">
        <v>3583</v>
      </c>
      <c r="H1669" s="21"/>
      <c r="I1669" s="21"/>
      <c r="J1669" s="3" t="s">
        <v>35</v>
      </c>
      <c r="K1669" s="4" t="s">
        <v>265</v>
      </c>
      <c r="L1669" s="4" t="s">
        <v>68</v>
      </c>
      <c r="N1669" s="21" t="s">
        <v>3616</v>
      </c>
      <c r="O1669" s="21"/>
      <c r="P1669" s="21" t="s">
        <v>3617</v>
      </c>
      <c r="Q1669" s="21"/>
      <c r="R1669" s="21"/>
      <c r="S1669" s="3" t="s">
        <v>40</v>
      </c>
      <c r="T1669" s="21" t="s">
        <v>41</v>
      </c>
      <c r="U1669" s="21"/>
      <c r="V1669" s="4" t="s">
        <v>42</v>
      </c>
      <c r="W1669" s="4" t="s">
        <v>642</v>
      </c>
      <c r="X1669" s="4" t="s">
        <v>643</v>
      </c>
      <c r="Y1669" s="21" t="s">
        <v>56</v>
      </c>
      <c r="Z1669" s="21"/>
      <c r="AA1669" s="4" t="s">
        <v>46</v>
      </c>
      <c r="AB1669" s="4" t="s">
        <v>47</v>
      </c>
      <c r="AC1669" s="4" t="s">
        <v>139</v>
      </c>
      <c r="AD1669" s="4" t="s">
        <v>151</v>
      </c>
      <c r="AE1669" s="4" t="s">
        <v>48</v>
      </c>
      <c r="AF1669" s="4" t="s">
        <v>41</v>
      </c>
      <c r="AG1669" s="4" t="s">
        <v>3588</v>
      </c>
    </row>
    <row r="1670" spans="1:33" ht="16.5" customHeight="1" x14ac:dyDescent="0.2">
      <c r="A1670" s="2" t="s">
        <v>31</v>
      </c>
      <c r="B1670" s="19" t="s">
        <v>50</v>
      </c>
      <c r="C1670" s="19"/>
      <c r="D1670" s="19"/>
      <c r="E1670" s="20" t="s">
        <v>33</v>
      </c>
      <c r="F1670" s="20"/>
      <c r="G1670" s="21" t="s">
        <v>3583</v>
      </c>
      <c r="H1670" s="21"/>
      <c r="I1670" s="21"/>
      <c r="J1670" s="3" t="s">
        <v>35</v>
      </c>
      <c r="K1670" s="4" t="s">
        <v>133</v>
      </c>
      <c r="L1670" s="4" t="s">
        <v>68</v>
      </c>
      <c r="N1670" s="21" t="s">
        <v>3618</v>
      </c>
      <c r="O1670" s="21"/>
      <c r="P1670" s="21" t="s">
        <v>3619</v>
      </c>
      <c r="Q1670" s="21"/>
      <c r="R1670" s="21"/>
      <c r="S1670" s="3" t="s">
        <v>40</v>
      </c>
      <c r="T1670" s="21" t="s">
        <v>41</v>
      </c>
      <c r="U1670" s="21"/>
      <c r="V1670" s="4" t="s">
        <v>59</v>
      </c>
      <c r="W1670" s="4" t="s">
        <v>410</v>
      </c>
      <c r="X1670" s="4" t="s">
        <v>560</v>
      </c>
      <c r="Y1670" s="21" t="s">
        <v>138</v>
      </c>
      <c r="Z1670" s="21"/>
      <c r="AA1670" s="4" t="s">
        <v>46</v>
      </c>
      <c r="AB1670" s="4" t="s">
        <v>47</v>
      </c>
      <c r="AC1670" s="4" t="s">
        <v>139</v>
      </c>
      <c r="AD1670" s="4" t="s">
        <v>151</v>
      </c>
      <c r="AE1670" s="4" t="s">
        <v>48</v>
      </c>
      <c r="AF1670" s="4" t="s">
        <v>41</v>
      </c>
      <c r="AG1670" s="4" t="s">
        <v>3588</v>
      </c>
    </row>
    <row r="1671" spans="1:33" ht="16.5" customHeight="1" x14ac:dyDescent="0.2">
      <c r="A1671" s="2" t="s">
        <v>31</v>
      </c>
      <c r="B1671" s="19" t="s">
        <v>50</v>
      </c>
      <c r="C1671" s="19"/>
      <c r="D1671" s="19"/>
      <c r="E1671" s="20" t="s">
        <v>33</v>
      </c>
      <c r="F1671" s="20"/>
      <c r="G1671" s="21" t="s">
        <v>3583</v>
      </c>
      <c r="H1671" s="21"/>
      <c r="I1671" s="21"/>
      <c r="J1671" s="3" t="s">
        <v>35</v>
      </c>
      <c r="K1671" s="4" t="s">
        <v>146</v>
      </c>
      <c r="L1671" s="4" t="s">
        <v>37</v>
      </c>
      <c r="N1671" s="21" t="s">
        <v>3620</v>
      </c>
      <c r="O1671" s="21"/>
      <c r="P1671" s="21" t="s">
        <v>3621</v>
      </c>
      <c r="Q1671" s="21"/>
      <c r="R1671" s="21"/>
      <c r="S1671" s="3" t="s">
        <v>40</v>
      </c>
      <c r="T1671" s="21" t="s">
        <v>41</v>
      </c>
      <c r="U1671" s="21"/>
      <c r="V1671" s="4" t="s">
        <v>42</v>
      </c>
      <c r="W1671" s="4" t="s">
        <v>157</v>
      </c>
      <c r="X1671" s="4" t="s">
        <v>158</v>
      </c>
      <c r="Y1671" s="21" t="s">
        <v>138</v>
      </c>
      <c r="Z1671" s="21"/>
      <c r="AA1671" s="4" t="s">
        <v>46</v>
      </c>
      <c r="AB1671" s="4" t="s">
        <v>47</v>
      </c>
      <c r="AC1671" s="4" t="s">
        <v>139</v>
      </c>
      <c r="AD1671" s="4" t="s">
        <v>140</v>
      </c>
      <c r="AE1671" s="4" t="s">
        <v>48</v>
      </c>
      <c r="AF1671" s="4" t="s">
        <v>41</v>
      </c>
      <c r="AG1671" s="4" t="s">
        <v>3588</v>
      </c>
    </row>
    <row r="1672" spans="1:33" ht="16.5" customHeight="1" x14ac:dyDescent="0.2">
      <c r="A1672" s="2" t="s">
        <v>31</v>
      </c>
      <c r="B1672" s="19" t="s">
        <v>50</v>
      </c>
      <c r="C1672" s="19"/>
      <c r="D1672" s="19"/>
      <c r="E1672" s="20" t="s">
        <v>33</v>
      </c>
      <c r="F1672" s="20"/>
      <c r="G1672" s="21" t="s">
        <v>3583</v>
      </c>
      <c r="H1672" s="21"/>
      <c r="I1672" s="21"/>
      <c r="J1672" s="3" t="s">
        <v>35</v>
      </c>
      <c r="K1672" s="4" t="s">
        <v>99</v>
      </c>
      <c r="L1672" s="4" t="s">
        <v>37</v>
      </c>
      <c r="N1672" s="21" t="s">
        <v>3622</v>
      </c>
      <c r="O1672" s="21"/>
      <c r="P1672" s="21" t="s">
        <v>3623</v>
      </c>
      <c r="Q1672" s="21"/>
      <c r="R1672" s="21"/>
      <c r="S1672" s="3" t="s">
        <v>40</v>
      </c>
      <c r="T1672" s="21" t="s">
        <v>41</v>
      </c>
      <c r="U1672" s="21"/>
      <c r="V1672" s="4" t="s">
        <v>42</v>
      </c>
      <c r="W1672" s="4" t="s">
        <v>1103</v>
      </c>
      <c r="X1672" s="4" t="s">
        <v>1104</v>
      </c>
      <c r="Y1672" s="21" t="s">
        <v>56</v>
      </c>
      <c r="Z1672" s="21"/>
      <c r="AA1672" s="4" t="s">
        <v>46</v>
      </c>
      <c r="AB1672" s="4" t="s">
        <v>47</v>
      </c>
      <c r="AC1672" s="4" t="s">
        <v>139</v>
      </c>
      <c r="AD1672" s="4" t="s">
        <v>140</v>
      </c>
      <c r="AE1672" s="4" t="s">
        <v>48</v>
      </c>
      <c r="AF1672" s="4" t="s">
        <v>41</v>
      </c>
      <c r="AG1672" s="4" t="s">
        <v>3588</v>
      </c>
    </row>
    <row r="1673" spans="1:33" ht="16.5" customHeight="1" x14ac:dyDescent="0.2">
      <c r="A1673" s="2" t="s">
        <v>31</v>
      </c>
      <c r="B1673" s="19" t="s">
        <v>50</v>
      </c>
      <c r="C1673" s="19"/>
      <c r="D1673" s="19"/>
      <c r="E1673" s="20" t="s">
        <v>33</v>
      </c>
      <c r="F1673" s="20"/>
      <c r="G1673" s="21" t="s">
        <v>3583</v>
      </c>
      <c r="H1673" s="21"/>
      <c r="I1673" s="21"/>
      <c r="J1673" s="3" t="s">
        <v>35</v>
      </c>
      <c r="K1673" s="4" t="s">
        <v>99</v>
      </c>
      <c r="L1673" s="4" t="s">
        <v>37</v>
      </c>
      <c r="N1673" s="21" t="s">
        <v>3622</v>
      </c>
      <c r="O1673" s="21"/>
      <c r="P1673" s="21" t="s">
        <v>3623</v>
      </c>
      <c r="Q1673" s="21"/>
      <c r="R1673" s="21"/>
      <c r="S1673" s="3" t="s">
        <v>40</v>
      </c>
      <c r="T1673" s="21" t="s">
        <v>41</v>
      </c>
      <c r="U1673" s="21"/>
      <c r="V1673" s="4" t="s">
        <v>59</v>
      </c>
      <c r="W1673" s="4" t="s">
        <v>1103</v>
      </c>
      <c r="X1673" s="4" t="s">
        <v>287</v>
      </c>
      <c r="Y1673" s="21" t="s">
        <v>56</v>
      </c>
      <c r="Z1673" s="21"/>
      <c r="AA1673" s="4" t="s">
        <v>46</v>
      </c>
      <c r="AB1673" s="4" t="s">
        <v>47</v>
      </c>
      <c r="AC1673" s="4" t="s">
        <v>139</v>
      </c>
      <c r="AD1673" s="4" t="s">
        <v>140</v>
      </c>
      <c r="AE1673" s="4" t="s">
        <v>48</v>
      </c>
      <c r="AF1673" s="4" t="s">
        <v>41</v>
      </c>
      <c r="AG1673" s="4" t="s">
        <v>3588</v>
      </c>
    </row>
    <row r="1674" spans="1:33" ht="16.5" customHeight="1" x14ac:dyDescent="0.2">
      <c r="A1674" s="2" t="s">
        <v>31</v>
      </c>
      <c r="B1674" s="19" t="s">
        <v>50</v>
      </c>
      <c r="C1674" s="19"/>
      <c r="D1674" s="19"/>
      <c r="E1674" s="20" t="s">
        <v>33</v>
      </c>
      <c r="F1674" s="20"/>
      <c r="G1674" s="21" t="s">
        <v>3583</v>
      </c>
      <c r="H1674" s="21"/>
      <c r="I1674" s="21"/>
      <c r="J1674" s="3" t="s">
        <v>35</v>
      </c>
      <c r="K1674" s="4" t="s">
        <v>74</v>
      </c>
      <c r="L1674" s="4" t="s">
        <v>37</v>
      </c>
      <c r="N1674" s="21" t="s">
        <v>3624</v>
      </c>
      <c r="O1674" s="21"/>
      <c r="P1674" s="21" t="s">
        <v>3625</v>
      </c>
      <c r="Q1674" s="21"/>
      <c r="R1674" s="21"/>
      <c r="S1674" s="3" t="s">
        <v>40</v>
      </c>
      <c r="T1674" s="21" t="s">
        <v>41</v>
      </c>
      <c r="U1674" s="21"/>
      <c r="V1674" s="4" t="s">
        <v>42</v>
      </c>
      <c r="W1674" s="4" t="s">
        <v>1008</v>
      </c>
      <c r="X1674" s="4" t="s">
        <v>1009</v>
      </c>
      <c r="Y1674" s="21" t="s">
        <v>65</v>
      </c>
      <c r="Z1674" s="21"/>
      <c r="AA1674" s="4" t="s">
        <v>46</v>
      </c>
      <c r="AB1674" s="4" t="s">
        <v>47</v>
      </c>
      <c r="AC1674" s="4" t="s">
        <v>57</v>
      </c>
      <c r="AD1674" s="4" t="s">
        <v>58</v>
      </c>
      <c r="AE1674" s="4" t="s">
        <v>48</v>
      </c>
      <c r="AF1674" s="4" t="s">
        <v>41</v>
      </c>
      <c r="AG1674" s="4" t="s">
        <v>3588</v>
      </c>
    </row>
    <row r="1675" spans="1:33" ht="16.5" customHeight="1" x14ac:dyDescent="0.2">
      <c r="A1675" s="2" t="s">
        <v>31</v>
      </c>
      <c r="B1675" s="19" t="s">
        <v>50</v>
      </c>
      <c r="C1675" s="19"/>
      <c r="D1675" s="19"/>
      <c r="E1675" s="20" t="s">
        <v>33</v>
      </c>
      <c r="F1675" s="20"/>
      <c r="G1675" s="21" t="s">
        <v>3583</v>
      </c>
      <c r="H1675" s="21"/>
      <c r="I1675" s="21"/>
      <c r="J1675" s="3" t="s">
        <v>35</v>
      </c>
      <c r="K1675" s="4" t="s">
        <v>61</v>
      </c>
      <c r="L1675" s="4" t="s">
        <v>37</v>
      </c>
      <c r="N1675" s="21" t="s">
        <v>3626</v>
      </c>
      <c r="O1675" s="21"/>
      <c r="P1675" s="21" t="s">
        <v>3627</v>
      </c>
      <c r="Q1675" s="21"/>
      <c r="R1675" s="21"/>
      <c r="S1675" s="3" t="s">
        <v>40</v>
      </c>
      <c r="T1675" s="21" t="s">
        <v>41</v>
      </c>
      <c r="U1675" s="21"/>
      <c r="V1675" s="4" t="s">
        <v>42</v>
      </c>
      <c r="W1675" s="4" t="s">
        <v>765</v>
      </c>
      <c r="X1675" s="4" t="s">
        <v>766</v>
      </c>
      <c r="Y1675" s="21" t="s">
        <v>65</v>
      </c>
      <c r="Z1675" s="21"/>
      <c r="AA1675" s="4" t="s">
        <v>46</v>
      </c>
      <c r="AB1675" s="4" t="s">
        <v>47</v>
      </c>
      <c r="AC1675" s="4" t="s">
        <v>57</v>
      </c>
      <c r="AD1675" s="4" t="s">
        <v>58</v>
      </c>
      <c r="AE1675" s="4" t="s">
        <v>48</v>
      </c>
      <c r="AF1675" s="4" t="s">
        <v>41</v>
      </c>
      <c r="AG1675" s="4" t="s">
        <v>3588</v>
      </c>
    </row>
    <row r="1676" spans="1:33" ht="16.5" customHeight="1" x14ac:dyDescent="0.2">
      <c r="A1676" s="2" t="s">
        <v>31</v>
      </c>
      <c r="B1676" s="19" t="s">
        <v>50</v>
      </c>
      <c r="C1676" s="19"/>
      <c r="D1676" s="19"/>
      <c r="E1676" s="20" t="s">
        <v>33</v>
      </c>
      <c r="F1676" s="20"/>
      <c r="G1676" s="21" t="s">
        <v>3583</v>
      </c>
      <c r="H1676" s="21"/>
      <c r="I1676" s="21"/>
      <c r="J1676" s="3" t="s">
        <v>35</v>
      </c>
      <c r="K1676" s="4" t="s">
        <v>99</v>
      </c>
      <c r="L1676" s="4" t="s">
        <v>278</v>
      </c>
      <c r="N1676" s="21" t="s">
        <v>3628</v>
      </c>
      <c r="O1676" s="21"/>
      <c r="P1676" s="21" t="s">
        <v>3629</v>
      </c>
      <c r="Q1676" s="21"/>
      <c r="R1676" s="21"/>
      <c r="S1676" s="3" t="s">
        <v>40</v>
      </c>
      <c r="T1676" s="21" t="s">
        <v>41</v>
      </c>
      <c r="U1676" s="21"/>
      <c r="V1676" s="4" t="s">
        <v>42</v>
      </c>
      <c r="W1676" s="4" t="s">
        <v>281</v>
      </c>
      <c r="X1676" s="4" t="s">
        <v>282</v>
      </c>
      <c r="Y1676" s="21" t="s">
        <v>56</v>
      </c>
      <c r="Z1676" s="21"/>
      <c r="AA1676" s="4" t="s">
        <v>46</v>
      </c>
      <c r="AB1676" s="4" t="s">
        <v>47</v>
      </c>
      <c r="AC1676" s="4" t="s">
        <v>139</v>
      </c>
      <c r="AD1676" s="4" t="s">
        <v>69</v>
      </c>
      <c r="AE1676" s="4" t="s">
        <v>48</v>
      </c>
      <c r="AF1676" s="4" t="s">
        <v>41</v>
      </c>
      <c r="AG1676" s="4" t="s">
        <v>3588</v>
      </c>
    </row>
    <row r="1677" spans="1:33" ht="16.5" customHeight="1" x14ac:dyDescent="0.2">
      <c r="A1677" s="2" t="s">
        <v>31</v>
      </c>
      <c r="B1677" s="19" t="s">
        <v>50</v>
      </c>
      <c r="C1677" s="19"/>
      <c r="D1677" s="19"/>
      <c r="E1677" s="20" t="s">
        <v>33</v>
      </c>
      <c r="F1677" s="20"/>
      <c r="G1677" s="21" t="s">
        <v>3583</v>
      </c>
      <c r="H1677" s="21"/>
      <c r="I1677" s="21"/>
      <c r="J1677" s="3" t="s">
        <v>35</v>
      </c>
      <c r="K1677" s="4" t="s">
        <v>61</v>
      </c>
      <c r="L1677" s="4" t="s">
        <v>68</v>
      </c>
      <c r="N1677" s="21" t="s">
        <v>3630</v>
      </c>
      <c r="O1677" s="21"/>
      <c r="P1677" s="21" t="s">
        <v>3631</v>
      </c>
      <c r="Q1677" s="21"/>
      <c r="R1677" s="21"/>
      <c r="S1677" s="3" t="s">
        <v>40</v>
      </c>
      <c r="T1677" s="21" t="s">
        <v>41</v>
      </c>
      <c r="U1677" s="21"/>
      <c r="V1677" s="4" t="s">
        <v>42</v>
      </c>
      <c r="W1677" s="4" t="s">
        <v>734</v>
      </c>
      <c r="X1677" s="4" t="s">
        <v>735</v>
      </c>
      <c r="Y1677" s="21" t="s">
        <v>65</v>
      </c>
      <c r="Z1677" s="21"/>
      <c r="AA1677" s="4" t="s">
        <v>46</v>
      </c>
      <c r="AB1677" s="4" t="s">
        <v>47</v>
      </c>
      <c r="AC1677" s="4" t="s">
        <v>57</v>
      </c>
      <c r="AD1677" s="4" t="s">
        <v>98</v>
      </c>
      <c r="AE1677" s="4" t="s">
        <v>48</v>
      </c>
      <c r="AF1677" s="4" t="s">
        <v>41</v>
      </c>
      <c r="AG1677" s="4" t="s">
        <v>3588</v>
      </c>
    </row>
    <row r="1678" spans="1:33" ht="16.5" customHeight="1" x14ac:dyDescent="0.2">
      <c r="A1678" s="2" t="s">
        <v>31</v>
      </c>
      <c r="B1678" s="19" t="s">
        <v>50</v>
      </c>
      <c r="C1678" s="19"/>
      <c r="D1678" s="19"/>
      <c r="E1678" s="20" t="s">
        <v>33</v>
      </c>
      <c r="F1678" s="20"/>
      <c r="G1678" s="21" t="s">
        <v>3583</v>
      </c>
      <c r="H1678" s="21"/>
      <c r="I1678" s="21"/>
      <c r="J1678" s="3" t="s">
        <v>35</v>
      </c>
      <c r="K1678" s="4" t="s">
        <v>51</v>
      </c>
      <c r="L1678" s="4" t="s">
        <v>68</v>
      </c>
      <c r="N1678" s="21" t="s">
        <v>3632</v>
      </c>
      <c r="O1678" s="21"/>
      <c r="P1678" s="21" t="s">
        <v>3633</v>
      </c>
      <c r="Q1678" s="21"/>
      <c r="R1678" s="21"/>
      <c r="S1678" s="3" t="s">
        <v>40</v>
      </c>
      <c r="T1678" s="21" t="s">
        <v>41</v>
      </c>
      <c r="U1678" s="21"/>
      <c r="V1678" s="4" t="s">
        <v>42</v>
      </c>
      <c r="W1678" s="4" t="s">
        <v>54</v>
      </c>
      <c r="X1678" s="4" t="s">
        <v>55</v>
      </c>
      <c r="Y1678" s="21" t="s">
        <v>56</v>
      </c>
      <c r="Z1678" s="21"/>
      <c r="AA1678" s="4" t="s">
        <v>46</v>
      </c>
      <c r="AB1678" s="4" t="s">
        <v>47</v>
      </c>
      <c r="AC1678" s="4" t="s">
        <v>57</v>
      </c>
      <c r="AD1678" s="4" t="s">
        <v>98</v>
      </c>
      <c r="AE1678" s="4" t="s">
        <v>48</v>
      </c>
      <c r="AF1678" s="4" t="s">
        <v>41</v>
      </c>
      <c r="AG1678" s="4" t="s">
        <v>3588</v>
      </c>
    </row>
    <row r="1679" spans="1:33" ht="16.5" customHeight="1" x14ac:dyDescent="0.2">
      <c r="A1679" s="2" t="s">
        <v>31</v>
      </c>
      <c r="B1679" s="19" t="s">
        <v>50</v>
      </c>
      <c r="C1679" s="19"/>
      <c r="D1679" s="19"/>
      <c r="E1679" s="20" t="s">
        <v>33</v>
      </c>
      <c r="F1679" s="20"/>
      <c r="G1679" s="21" t="s">
        <v>3583</v>
      </c>
      <c r="H1679" s="21"/>
      <c r="I1679" s="21"/>
      <c r="J1679" s="3" t="s">
        <v>35</v>
      </c>
      <c r="K1679" s="4" t="s">
        <v>61</v>
      </c>
      <c r="L1679" s="4" t="s">
        <v>68</v>
      </c>
      <c r="N1679" s="21" t="s">
        <v>3634</v>
      </c>
      <c r="O1679" s="21"/>
      <c r="P1679" s="21" t="s">
        <v>3635</v>
      </c>
      <c r="Q1679" s="21"/>
      <c r="R1679" s="21"/>
      <c r="S1679" s="3" t="s">
        <v>40</v>
      </c>
      <c r="T1679" s="21" t="s">
        <v>41</v>
      </c>
      <c r="U1679" s="21"/>
      <c r="V1679" s="4" t="s">
        <v>42</v>
      </c>
      <c r="W1679" s="4" t="s">
        <v>410</v>
      </c>
      <c r="X1679" s="4" t="s">
        <v>411</v>
      </c>
      <c r="Y1679" s="21" t="s">
        <v>65</v>
      </c>
      <c r="Z1679" s="21"/>
      <c r="AA1679" s="4" t="s">
        <v>46</v>
      </c>
      <c r="AB1679" s="4" t="s">
        <v>47</v>
      </c>
      <c r="AC1679" s="4" t="s">
        <v>57</v>
      </c>
      <c r="AD1679" s="4" t="s">
        <v>98</v>
      </c>
      <c r="AE1679" s="4" t="s">
        <v>48</v>
      </c>
      <c r="AF1679" s="4" t="s">
        <v>41</v>
      </c>
      <c r="AG1679" s="4" t="s">
        <v>3588</v>
      </c>
    </row>
    <row r="1680" spans="1:33" ht="16.5" customHeight="1" x14ac:dyDescent="0.2">
      <c r="A1680" s="2" t="s">
        <v>31</v>
      </c>
      <c r="B1680" s="19" t="s">
        <v>50</v>
      </c>
      <c r="C1680" s="19"/>
      <c r="D1680" s="19"/>
      <c r="E1680" s="20" t="s">
        <v>33</v>
      </c>
      <c r="F1680" s="20"/>
      <c r="G1680" s="21" t="s">
        <v>3583</v>
      </c>
      <c r="H1680" s="21"/>
      <c r="I1680" s="21"/>
      <c r="J1680" s="3" t="s">
        <v>35</v>
      </c>
      <c r="K1680" s="4" t="s">
        <v>61</v>
      </c>
      <c r="L1680" s="4" t="s">
        <v>278</v>
      </c>
      <c r="N1680" s="21" t="s">
        <v>3636</v>
      </c>
      <c r="O1680" s="21"/>
      <c r="P1680" s="21" t="s">
        <v>3637</v>
      </c>
      <c r="Q1680" s="21"/>
      <c r="R1680" s="21"/>
      <c r="S1680" s="3" t="s">
        <v>40</v>
      </c>
      <c r="T1680" s="21" t="s">
        <v>41</v>
      </c>
      <c r="U1680" s="21"/>
      <c r="V1680" s="4" t="s">
        <v>42</v>
      </c>
      <c r="W1680" s="4" t="s">
        <v>573</v>
      </c>
      <c r="X1680" s="4" t="s">
        <v>574</v>
      </c>
      <c r="Y1680" s="21" t="s">
        <v>65</v>
      </c>
      <c r="Z1680" s="21"/>
      <c r="AA1680" s="4" t="s">
        <v>46</v>
      </c>
      <c r="AB1680" s="4" t="s">
        <v>47</v>
      </c>
      <c r="AC1680" s="4" t="s">
        <v>57</v>
      </c>
      <c r="AD1680" s="4" t="s">
        <v>283</v>
      </c>
      <c r="AE1680" s="4" t="s">
        <v>48</v>
      </c>
      <c r="AF1680" s="4" t="s">
        <v>41</v>
      </c>
      <c r="AG1680" s="4" t="s">
        <v>3588</v>
      </c>
    </row>
    <row r="1681" spans="1:33" ht="16.5" customHeight="1" x14ac:dyDescent="0.2">
      <c r="A1681" s="2" t="s">
        <v>31</v>
      </c>
      <c r="B1681" s="19" t="s">
        <v>110</v>
      </c>
      <c r="C1681" s="19"/>
      <c r="D1681" s="19"/>
      <c r="E1681" s="20" t="s">
        <v>33</v>
      </c>
      <c r="F1681" s="20"/>
      <c r="G1681" s="21" t="s">
        <v>3583</v>
      </c>
      <c r="H1681" s="21"/>
      <c r="I1681" s="21"/>
      <c r="J1681" s="3" t="s">
        <v>111</v>
      </c>
      <c r="K1681" s="4" t="s">
        <v>426</v>
      </c>
      <c r="N1681" s="21" t="s">
        <v>3636</v>
      </c>
      <c r="O1681" s="21"/>
      <c r="P1681" s="21" t="s">
        <v>3637</v>
      </c>
      <c r="Q1681" s="21"/>
      <c r="R1681" s="21"/>
      <c r="S1681" s="3" t="s">
        <v>40</v>
      </c>
      <c r="T1681" s="21" t="s">
        <v>3638</v>
      </c>
      <c r="U1681" s="21"/>
      <c r="V1681" s="4" t="s">
        <v>42</v>
      </c>
      <c r="W1681" s="4" t="s">
        <v>54</v>
      </c>
      <c r="X1681" s="4" t="s">
        <v>235</v>
      </c>
      <c r="Y1681" s="21" t="s">
        <v>116</v>
      </c>
      <c r="Z1681" s="21"/>
      <c r="AA1681" s="4" t="s">
        <v>46</v>
      </c>
      <c r="AB1681" s="4" t="s">
        <v>117</v>
      </c>
      <c r="AC1681" s="4" t="s">
        <v>118</v>
      </c>
      <c r="AD1681" s="4" t="s">
        <v>3639</v>
      </c>
      <c r="AE1681" s="4" t="s">
        <v>48</v>
      </c>
      <c r="AF1681" s="4" t="s">
        <v>41</v>
      </c>
      <c r="AG1681" s="4" t="s">
        <v>3588</v>
      </c>
    </row>
    <row r="1682" spans="1:33" ht="16.5" customHeight="1" x14ac:dyDescent="0.2">
      <c r="A1682" s="2" t="s">
        <v>31</v>
      </c>
      <c r="B1682" s="19" t="s">
        <v>50</v>
      </c>
      <c r="C1682" s="19"/>
      <c r="D1682" s="19"/>
      <c r="E1682" s="20" t="s">
        <v>33</v>
      </c>
      <c r="F1682" s="20"/>
      <c r="G1682" s="21" t="s">
        <v>3583</v>
      </c>
      <c r="H1682" s="21"/>
      <c r="I1682" s="21"/>
      <c r="J1682" s="3" t="s">
        <v>35</v>
      </c>
      <c r="K1682" s="4" t="s">
        <v>61</v>
      </c>
      <c r="L1682" s="4" t="s">
        <v>68</v>
      </c>
      <c r="N1682" s="21" t="s">
        <v>3640</v>
      </c>
      <c r="O1682" s="21"/>
      <c r="P1682" s="21" t="s">
        <v>3641</v>
      </c>
      <c r="Q1682" s="21"/>
      <c r="R1682" s="21"/>
      <c r="S1682" s="3" t="s">
        <v>40</v>
      </c>
      <c r="T1682" s="21" t="s">
        <v>41</v>
      </c>
      <c r="U1682" s="21"/>
      <c r="V1682" s="4" t="s">
        <v>42</v>
      </c>
      <c r="W1682" s="4" t="s">
        <v>234</v>
      </c>
      <c r="X1682" s="4" t="s">
        <v>235</v>
      </c>
      <c r="Y1682" s="21" t="s">
        <v>65</v>
      </c>
      <c r="Z1682" s="21"/>
      <c r="AA1682" s="4" t="s">
        <v>46</v>
      </c>
      <c r="AB1682" s="4" t="s">
        <v>47</v>
      </c>
      <c r="AC1682" s="4" t="s">
        <v>57</v>
      </c>
      <c r="AD1682" s="4" t="s">
        <v>98</v>
      </c>
      <c r="AE1682" s="4" t="s">
        <v>48</v>
      </c>
      <c r="AF1682" s="4" t="s">
        <v>41</v>
      </c>
      <c r="AG1682" s="4" t="s">
        <v>3588</v>
      </c>
    </row>
    <row r="1683" spans="1:33" ht="16.5" customHeight="1" x14ac:dyDescent="0.2">
      <c r="A1683" s="2" t="s">
        <v>31</v>
      </c>
      <c r="B1683" s="19" t="s">
        <v>50</v>
      </c>
      <c r="C1683" s="19"/>
      <c r="D1683" s="19"/>
      <c r="E1683" s="20" t="s">
        <v>33</v>
      </c>
      <c r="F1683" s="20"/>
      <c r="G1683" s="21" t="s">
        <v>3583</v>
      </c>
      <c r="H1683" s="21"/>
      <c r="I1683" s="21"/>
      <c r="J1683" s="3" t="s">
        <v>35</v>
      </c>
      <c r="K1683" s="4" t="s">
        <v>99</v>
      </c>
      <c r="L1683" s="4" t="s">
        <v>68</v>
      </c>
      <c r="N1683" s="21" t="s">
        <v>3642</v>
      </c>
      <c r="O1683" s="21"/>
      <c r="P1683" s="21" t="s">
        <v>3643</v>
      </c>
      <c r="Q1683" s="21"/>
      <c r="R1683" s="21"/>
      <c r="S1683" s="3" t="s">
        <v>40</v>
      </c>
      <c r="T1683" s="21" t="s">
        <v>41</v>
      </c>
      <c r="U1683" s="21"/>
      <c r="V1683" s="4" t="s">
        <v>42</v>
      </c>
      <c r="W1683" s="4" t="s">
        <v>410</v>
      </c>
      <c r="X1683" s="4" t="s">
        <v>411</v>
      </c>
      <c r="Y1683" s="21" t="s">
        <v>56</v>
      </c>
      <c r="Z1683" s="21"/>
      <c r="AA1683" s="4" t="s">
        <v>46</v>
      </c>
      <c r="AB1683" s="4" t="s">
        <v>47</v>
      </c>
      <c r="AC1683" s="4" t="s">
        <v>81</v>
      </c>
      <c r="AD1683" s="4" t="s">
        <v>41</v>
      </c>
      <c r="AE1683" s="4" t="s">
        <v>48</v>
      </c>
      <c r="AF1683" s="4" t="s">
        <v>41</v>
      </c>
      <c r="AG1683" s="4" t="s">
        <v>3588</v>
      </c>
    </row>
    <row r="1684" spans="1:33" ht="16.5" customHeight="1" x14ac:dyDescent="0.2">
      <c r="A1684" s="2" t="s">
        <v>31</v>
      </c>
      <c r="B1684" s="19" t="s">
        <v>50</v>
      </c>
      <c r="C1684" s="19"/>
      <c r="D1684" s="19"/>
      <c r="E1684" s="20" t="s">
        <v>33</v>
      </c>
      <c r="F1684" s="20"/>
      <c r="G1684" s="21" t="s">
        <v>3583</v>
      </c>
      <c r="H1684" s="21"/>
      <c r="I1684" s="21"/>
      <c r="J1684" s="3" t="s">
        <v>35</v>
      </c>
      <c r="K1684" s="4" t="s">
        <v>74</v>
      </c>
      <c r="L1684" s="4" t="s">
        <v>37</v>
      </c>
      <c r="N1684" s="21" t="s">
        <v>3644</v>
      </c>
      <c r="O1684" s="21"/>
      <c r="P1684" s="21" t="s">
        <v>3645</v>
      </c>
      <c r="Q1684" s="21"/>
      <c r="R1684" s="21"/>
      <c r="S1684" s="3" t="s">
        <v>40</v>
      </c>
      <c r="T1684" s="21" t="s">
        <v>41</v>
      </c>
      <c r="U1684" s="21"/>
      <c r="V1684" s="4" t="s">
        <v>42</v>
      </c>
      <c r="W1684" s="4" t="s">
        <v>410</v>
      </c>
      <c r="X1684" s="4" t="s">
        <v>411</v>
      </c>
      <c r="Y1684" s="21" t="s">
        <v>65</v>
      </c>
      <c r="Z1684" s="21"/>
      <c r="AA1684" s="4" t="s">
        <v>46</v>
      </c>
      <c r="AB1684" s="4" t="s">
        <v>47</v>
      </c>
      <c r="AC1684" s="4" t="s">
        <v>57</v>
      </c>
      <c r="AD1684" s="4" t="s">
        <v>58</v>
      </c>
      <c r="AE1684" s="4" t="s">
        <v>48</v>
      </c>
      <c r="AF1684" s="4" t="s">
        <v>41</v>
      </c>
      <c r="AG1684" s="4" t="s">
        <v>3588</v>
      </c>
    </row>
    <row r="1685" spans="1:33" ht="16.5" customHeight="1" x14ac:dyDescent="0.2">
      <c r="A1685" s="2" t="s">
        <v>31</v>
      </c>
      <c r="B1685" s="19" t="s">
        <v>50</v>
      </c>
      <c r="C1685" s="19"/>
      <c r="D1685" s="19"/>
      <c r="E1685" s="20" t="s">
        <v>33</v>
      </c>
      <c r="F1685" s="20"/>
      <c r="G1685" s="21" t="s">
        <v>3583</v>
      </c>
      <c r="H1685" s="21"/>
      <c r="I1685" s="21"/>
      <c r="J1685" s="3" t="s">
        <v>35</v>
      </c>
      <c r="K1685" s="4" t="s">
        <v>152</v>
      </c>
      <c r="L1685" s="4" t="s">
        <v>37</v>
      </c>
      <c r="N1685" s="21" t="s">
        <v>3646</v>
      </c>
      <c r="O1685" s="21"/>
      <c r="P1685" s="21" t="s">
        <v>3647</v>
      </c>
      <c r="Q1685" s="21"/>
      <c r="R1685" s="21"/>
      <c r="S1685" s="3" t="s">
        <v>40</v>
      </c>
      <c r="T1685" s="21" t="s">
        <v>41</v>
      </c>
      <c r="U1685" s="21"/>
      <c r="V1685" s="4" t="s">
        <v>42</v>
      </c>
      <c r="W1685" s="4" t="s">
        <v>286</v>
      </c>
      <c r="X1685" s="4" t="s">
        <v>287</v>
      </c>
      <c r="Y1685" s="21" t="s">
        <v>56</v>
      </c>
      <c r="Z1685" s="21"/>
      <c r="AA1685" s="4" t="s">
        <v>46</v>
      </c>
      <c r="AB1685" s="4" t="s">
        <v>47</v>
      </c>
      <c r="AC1685" s="4" t="s">
        <v>139</v>
      </c>
      <c r="AD1685" s="4" t="s">
        <v>140</v>
      </c>
      <c r="AE1685" s="4" t="s">
        <v>48</v>
      </c>
      <c r="AF1685" s="4" t="s">
        <v>41</v>
      </c>
      <c r="AG1685" s="4" t="s">
        <v>3588</v>
      </c>
    </row>
    <row r="1686" spans="1:33" ht="16.5" customHeight="1" x14ac:dyDescent="0.2">
      <c r="A1686" s="2" t="s">
        <v>31</v>
      </c>
      <c r="B1686" s="19" t="s">
        <v>50</v>
      </c>
      <c r="C1686" s="19"/>
      <c r="D1686" s="19"/>
      <c r="E1686" s="20" t="s">
        <v>33</v>
      </c>
      <c r="F1686" s="20"/>
      <c r="G1686" s="21" t="s">
        <v>3583</v>
      </c>
      <c r="H1686" s="21"/>
      <c r="I1686" s="21"/>
      <c r="J1686" s="3" t="s">
        <v>35</v>
      </c>
      <c r="K1686" s="4" t="s">
        <v>99</v>
      </c>
      <c r="L1686" s="4" t="s">
        <v>37</v>
      </c>
      <c r="N1686" s="21" t="s">
        <v>3648</v>
      </c>
      <c r="O1686" s="21"/>
      <c r="P1686" s="21" t="s">
        <v>3649</v>
      </c>
      <c r="Q1686" s="21"/>
      <c r="R1686" s="21"/>
      <c r="S1686" s="3" t="s">
        <v>40</v>
      </c>
      <c r="T1686" s="21" t="s">
        <v>41</v>
      </c>
      <c r="U1686" s="21"/>
      <c r="V1686" s="4" t="s">
        <v>42</v>
      </c>
      <c r="W1686" s="4" t="s">
        <v>43</v>
      </c>
      <c r="X1686" s="4" t="s">
        <v>44</v>
      </c>
      <c r="Y1686" s="21" t="s">
        <v>56</v>
      </c>
      <c r="Z1686" s="21"/>
      <c r="AA1686" s="4" t="s">
        <v>46</v>
      </c>
      <c r="AB1686" s="4" t="s">
        <v>47</v>
      </c>
      <c r="AC1686" s="4" t="s">
        <v>139</v>
      </c>
      <c r="AD1686" s="4" t="s">
        <v>140</v>
      </c>
      <c r="AE1686" s="4" t="s">
        <v>48</v>
      </c>
      <c r="AF1686" s="4" t="s">
        <v>41</v>
      </c>
      <c r="AG1686" s="4" t="s">
        <v>3588</v>
      </c>
    </row>
    <row r="1687" spans="1:33" ht="16.5" customHeight="1" x14ac:dyDescent="0.2">
      <c r="A1687" s="2" t="s">
        <v>31</v>
      </c>
      <c r="B1687" s="19" t="s">
        <v>50</v>
      </c>
      <c r="C1687" s="19"/>
      <c r="D1687" s="19"/>
      <c r="E1687" s="20" t="s">
        <v>33</v>
      </c>
      <c r="F1687" s="20"/>
      <c r="G1687" s="21" t="s">
        <v>3583</v>
      </c>
      <c r="H1687" s="21"/>
      <c r="I1687" s="21"/>
      <c r="J1687" s="3" t="s">
        <v>35</v>
      </c>
      <c r="K1687" s="4" t="s">
        <v>120</v>
      </c>
      <c r="L1687" s="4" t="s">
        <v>445</v>
      </c>
      <c r="N1687" s="21" t="s">
        <v>3650</v>
      </c>
      <c r="O1687" s="21"/>
      <c r="P1687" s="21" t="s">
        <v>3651</v>
      </c>
      <c r="Q1687" s="21"/>
      <c r="R1687" s="21"/>
      <c r="S1687" s="3" t="s">
        <v>40</v>
      </c>
      <c r="T1687" s="21" t="s">
        <v>41</v>
      </c>
      <c r="U1687" s="21"/>
      <c r="V1687" s="4" t="s">
        <v>42</v>
      </c>
      <c r="W1687" s="4" t="s">
        <v>130</v>
      </c>
      <c r="X1687" s="4" t="s">
        <v>60</v>
      </c>
      <c r="Y1687" s="21" t="s">
        <v>65</v>
      </c>
      <c r="Z1687" s="21"/>
      <c r="AA1687" s="4" t="s">
        <v>46</v>
      </c>
      <c r="AB1687" s="4" t="s">
        <v>47</v>
      </c>
      <c r="AC1687" s="4" t="s">
        <v>66</v>
      </c>
      <c r="AD1687" s="4" t="s">
        <v>1234</v>
      </c>
      <c r="AE1687" s="4" t="s">
        <v>48</v>
      </c>
      <c r="AF1687" s="4" t="s">
        <v>41</v>
      </c>
      <c r="AG1687" s="4" t="s">
        <v>3588</v>
      </c>
    </row>
    <row r="1688" spans="1:33" ht="16.5" customHeight="1" x14ac:dyDescent="0.2">
      <c r="A1688" s="2" t="s">
        <v>31</v>
      </c>
      <c r="B1688" s="19" t="s">
        <v>50</v>
      </c>
      <c r="C1688" s="19"/>
      <c r="D1688" s="19"/>
      <c r="E1688" s="20" t="s">
        <v>33</v>
      </c>
      <c r="F1688" s="20"/>
      <c r="G1688" s="21" t="s">
        <v>3583</v>
      </c>
      <c r="H1688" s="21"/>
      <c r="I1688" s="21"/>
      <c r="J1688" s="3" t="s">
        <v>35</v>
      </c>
      <c r="K1688" s="4" t="s">
        <v>120</v>
      </c>
      <c r="L1688" s="4" t="s">
        <v>445</v>
      </c>
      <c r="N1688" s="21" t="s">
        <v>3650</v>
      </c>
      <c r="O1688" s="21"/>
      <c r="P1688" s="21" t="s">
        <v>3651</v>
      </c>
      <c r="Q1688" s="21"/>
      <c r="R1688" s="21"/>
      <c r="S1688" s="3" t="s">
        <v>40</v>
      </c>
      <c r="T1688" s="21" t="s">
        <v>41</v>
      </c>
      <c r="U1688" s="21"/>
      <c r="V1688" s="4" t="s">
        <v>59</v>
      </c>
      <c r="W1688" s="4" t="s">
        <v>130</v>
      </c>
      <c r="X1688" s="4" t="s">
        <v>131</v>
      </c>
      <c r="Y1688" s="21" t="s">
        <v>65</v>
      </c>
      <c r="Z1688" s="21"/>
      <c r="AA1688" s="4" t="s">
        <v>46</v>
      </c>
      <c r="AB1688" s="4" t="s">
        <v>47</v>
      </c>
      <c r="AC1688" s="4" t="s">
        <v>66</v>
      </c>
      <c r="AD1688" s="4" t="s">
        <v>1234</v>
      </c>
      <c r="AE1688" s="4" t="s">
        <v>48</v>
      </c>
      <c r="AF1688" s="4" t="s">
        <v>41</v>
      </c>
      <c r="AG1688" s="4" t="s">
        <v>3588</v>
      </c>
    </row>
    <row r="1689" spans="1:33" ht="16.5" customHeight="1" x14ac:dyDescent="0.2">
      <c r="A1689" s="2" t="s">
        <v>31</v>
      </c>
      <c r="B1689" s="19" t="s">
        <v>50</v>
      </c>
      <c r="C1689" s="19"/>
      <c r="D1689" s="19"/>
      <c r="E1689" s="20" t="s">
        <v>33</v>
      </c>
      <c r="F1689" s="20"/>
      <c r="G1689" s="21" t="s">
        <v>3583</v>
      </c>
      <c r="H1689" s="21"/>
      <c r="I1689" s="21"/>
      <c r="J1689" s="3" t="s">
        <v>35</v>
      </c>
      <c r="K1689" s="4" t="s">
        <v>61</v>
      </c>
      <c r="L1689" s="4" t="s">
        <v>37</v>
      </c>
      <c r="N1689" s="21" t="s">
        <v>3652</v>
      </c>
      <c r="O1689" s="21"/>
      <c r="P1689" s="21" t="s">
        <v>3653</v>
      </c>
      <c r="Q1689" s="21"/>
      <c r="R1689" s="21"/>
      <c r="S1689" s="3" t="s">
        <v>40</v>
      </c>
      <c r="T1689" s="21" t="s">
        <v>41</v>
      </c>
      <c r="U1689" s="21"/>
      <c r="V1689" s="4" t="s">
        <v>42</v>
      </c>
      <c r="W1689" s="4" t="s">
        <v>94</v>
      </c>
      <c r="X1689" s="4" t="s">
        <v>95</v>
      </c>
      <c r="Y1689" s="21" t="s">
        <v>65</v>
      </c>
      <c r="Z1689" s="21"/>
      <c r="AA1689" s="4" t="s">
        <v>46</v>
      </c>
      <c r="AB1689" s="4" t="s">
        <v>47</v>
      </c>
      <c r="AC1689" s="4" t="s">
        <v>66</v>
      </c>
      <c r="AD1689" s="4" t="s">
        <v>73</v>
      </c>
      <c r="AE1689" s="4" t="s">
        <v>48</v>
      </c>
      <c r="AF1689" s="4" t="s">
        <v>41</v>
      </c>
      <c r="AG1689" s="4" t="s">
        <v>3588</v>
      </c>
    </row>
    <row r="1690" spans="1:33" ht="16.5" customHeight="1" x14ac:dyDescent="0.2">
      <c r="A1690" s="2" t="s">
        <v>31</v>
      </c>
      <c r="B1690" s="19" t="s">
        <v>50</v>
      </c>
      <c r="C1690" s="19"/>
      <c r="D1690" s="19"/>
      <c r="E1690" s="20" t="s">
        <v>33</v>
      </c>
      <c r="F1690" s="20"/>
      <c r="G1690" s="21" t="s">
        <v>3583</v>
      </c>
      <c r="H1690" s="21"/>
      <c r="I1690" s="21"/>
      <c r="J1690" s="3" t="s">
        <v>35</v>
      </c>
      <c r="K1690" s="4" t="s">
        <v>51</v>
      </c>
      <c r="L1690" s="4" t="s">
        <v>37</v>
      </c>
      <c r="N1690" s="21" t="s">
        <v>3654</v>
      </c>
      <c r="O1690" s="21"/>
      <c r="P1690" s="21" t="s">
        <v>3655</v>
      </c>
      <c r="Q1690" s="21"/>
      <c r="R1690" s="21"/>
      <c r="S1690" s="3" t="s">
        <v>40</v>
      </c>
      <c r="T1690" s="21" t="s">
        <v>41</v>
      </c>
      <c r="U1690" s="21"/>
      <c r="V1690" s="4" t="s">
        <v>42</v>
      </c>
      <c r="W1690" s="4" t="s">
        <v>2084</v>
      </c>
      <c r="X1690" s="4" t="s">
        <v>2085</v>
      </c>
      <c r="Y1690" s="21" t="s">
        <v>56</v>
      </c>
      <c r="Z1690" s="21"/>
      <c r="AA1690" s="4" t="s">
        <v>46</v>
      </c>
      <c r="AB1690" s="4" t="s">
        <v>47</v>
      </c>
      <c r="AC1690" s="4" t="s">
        <v>81</v>
      </c>
      <c r="AD1690" s="4" t="s">
        <v>41</v>
      </c>
      <c r="AE1690" s="4" t="s">
        <v>48</v>
      </c>
      <c r="AF1690" s="4" t="s">
        <v>41</v>
      </c>
      <c r="AG1690" s="4" t="s">
        <v>3588</v>
      </c>
    </row>
    <row r="1691" spans="1:33" ht="16.5" customHeight="1" x14ac:dyDescent="0.2">
      <c r="A1691" s="2" t="s">
        <v>31</v>
      </c>
      <c r="B1691" s="19" t="s">
        <v>50</v>
      </c>
      <c r="C1691" s="19"/>
      <c r="D1691" s="19"/>
      <c r="E1691" s="20" t="s">
        <v>33</v>
      </c>
      <c r="F1691" s="20"/>
      <c r="G1691" s="21" t="s">
        <v>3583</v>
      </c>
      <c r="H1691" s="21"/>
      <c r="I1691" s="21"/>
      <c r="J1691" s="3" t="s">
        <v>35</v>
      </c>
      <c r="K1691" s="4" t="s">
        <v>51</v>
      </c>
      <c r="L1691" s="4" t="s">
        <v>37</v>
      </c>
      <c r="N1691" s="21" t="s">
        <v>3654</v>
      </c>
      <c r="O1691" s="21"/>
      <c r="P1691" s="21" t="s">
        <v>3655</v>
      </c>
      <c r="Q1691" s="21"/>
      <c r="R1691" s="21"/>
      <c r="S1691" s="3" t="s">
        <v>40</v>
      </c>
      <c r="T1691" s="21" t="s">
        <v>41</v>
      </c>
      <c r="U1691" s="21"/>
      <c r="V1691" s="4" t="s">
        <v>59</v>
      </c>
      <c r="W1691" s="4" t="s">
        <v>2084</v>
      </c>
      <c r="X1691" s="4" t="s">
        <v>1025</v>
      </c>
      <c r="Y1691" s="21" t="s">
        <v>56</v>
      </c>
      <c r="Z1691" s="21"/>
      <c r="AA1691" s="4" t="s">
        <v>46</v>
      </c>
      <c r="AB1691" s="4" t="s">
        <v>47</v>
      </c>
      <c r="AC1691" s="4" t="s">
        <v>81</v>
      </c>
      <c r="AD1691" s="4" t="s">
        <v>41</v>
      </c>
      <c r="AE1691" s="4" t="s">
        <v>48</v>
      </c>
      <c r="AF1691" s="4" t="s">
        <v>41</v>
      </c>
      <c r="AG1691" s="4" t="s">
        <v>3588</v>
      </c>
    </row>
    <row r="1692" spans="1:33" ht="16.5" customHeight="1" x14ac:dyDescent="0.2">
      <c r="A1692" s="2" t="s">
        <v>31</v>
      </c>
      <c r="B1692" s="19" t="s">
        <v>50</v>
      </c>
      <c r="C1692" s="19"/>
      <c r="D1692" s="19"/>
      <c r="E1692" s="20" t="s">
        <v>33</v>
      </c>
      <c r="F1692" s="20"/>
      <c r="G1692" s="21" t="s">
        <v>3583</v>
      </c>
      <c r="H1692" s="21"/>
      <c r="I1692" s="21"/>
      <c r="J1692" s="3" t="s">
        <v>35</v>
      </c>
      <c r="K1692" s="4" t="s">
        <v>61</v>
      </c>
      <c r="L1692" s="4" t="s">
        <v>37</v>
      </c>
      <c r="N1692" s="21" t="s">
        <v>3656</v>
      </c>
      <c r="O1692" s="21"/>
      <c r="P1692" s="21" t="s">
        <v>3657</v>
      </c>
      <c r="Q1692" s="21"/>
      <c r="R1692" s="21"/>
      <c r="S1692" s="3" t="s">
        <v>40</v>
      </c>
      <c r="T1692" s="21" t="s">
        <v>41</v>
      </c>
      <c r="U1692" s="21"/>
      <c r="V1692" s="4" t="s">
        <v>42</v>
      </c>
      <c r="W1692" s="4" t="s">
        <v>43</v>
      </c>
      <c r="X1692" s="4" t="s">
        <v>44</v>
      </c>
      <c r="Y1692" s="21" t="s">
        <v>65</v>
      </c>
      <c r="Z1692" s="21"/>
      <c r="AA1692" s="4" t="s">
        <v>46</v>
      </c>
      <c r="AB1692" s="4" t="s">
        <v>47</v>
      </c>
      <c r="AC1692" s="4" t="s">
        <v>57</v>
      </c>
      <c r="AD1692" s="4" t="s">
        <v>58</v>
      </c>
      <c r="AE1692" s="4" t="s">
        <v>48</v>
      </c>
      <c r="AF1692" s="4" t="s">
        <v>41</v>
      </c>
      <c r="AG1692" s="4" t="s">
        <v>3588</v>
      </c>
    </row>
    <row r="1693" spans="1:33" ht="16.5" customHeight="1" x14ac:dyDescent="0.2">
      <c r="A1693" s="2" t="s">
        <v>31</v>
      </c>
      <c r="B1693" s="19" t="s">
        <v>50</v>
      </c>
      <c r="C1693" s="19"/>
      <c r="D1693" s="19"/>
      <c r="E1693" s="20" t="s">
        <v>33</v>
      </c>
      <c r="F1693" s="20"/>
      <c r="G1693" s="21" t="s">
        <v>3583</v>
      </c>
      <c r="H1693" s="21"/>
      <c r="I1693" s="21"/>
      <c r="J1693" s="3" t="s">
        <v>35</v>
      </c>
      <c r="K1693" s="4" t="s">
        <v>61</v>
      </c>
      <c r="L1693" s="4" t="s">
        <v>37</v>
      </c>
      <c r="N1693" s="21" t="s">
        <v>3656</v>
      </c>
      <c r="O1693" s="21"/>
      <c r="P1693" s="21" t="s">
        <v>3657</v>
      </c>
      <c r="Q1693" s="21"/>
      <c r="R1693" s="21"/>
      <c r="S1693" s="3" t="s">
        <v>40</v>
      </c>
      <c r="T1693" s="21" t="s">
        <v>41</v>
      </c>
      <c r="U1693" s="21"/>
      <c r="V1693" s="4" t="s">
        <v>59</v>
      </c>
      <c r="W1693" s="4" t="s">
        <v>43</v>
      </c>
      <c r="X1693" s="4" t="s">
        <v>319</v>
      </c>
      <c r="Y1693" s="21" t="s">
        <v>65</v>
      </c>
      <c r="Z1693" s="21"/>
      <c r="AA1693" s="4" t="s">
        <v>46</v>
      </c>
      <c r="AB1693" s="4" t="s">
        <v>47</v>
      </c>
      <c r="AC1693" s="4" t="s">
        <v>57</v>
      </c>
      <c r="AD1693" s="4" t="s">
        <v>58</v>
      </c>
      <c r="AE1693" s="4" t="s">
        <v>48</v>
      </c>
      <c r="AF1693" s="4" t="s">
        <v>41</v>
      </c>
      <c r="AG1693" s="4" t="s">
        <v>3588</v>
      </c>
    </row>
    <row r="1694" spans="1:33" ht="16.5" customHeight="1" x14ac:dyDescent="0.2">
      <c r="A1694" s="2" t="s">
        <v>31</v>
      </c>
      <c r="B1694" s="19" t="s">
        <v>50</v>
      </c>
      <c r="C1694" s="19"/>
      <c r="D1694" s="19"/>
      <c r="E1694" s="20" t="s">
        <v>33</v>
      </c>
      <c r="F1694" s="20"/>
      <c r="G1694" s="21" t="s">
        <v>3583</v>
      </c>
      <c r="H1694" s="21"/>
      <c r="I1694" s="21"/>
      <c r="J1694" s="3" t="s">
        <v>35</v>
      </c>
      <c r="K1694" s="4" t="s">
        <v>61</v>
      </c>
      <c r="L1694" s="4" t="s">
        <v>68</v>
      </c>
      <c r="N1694" s="21" t="s">
        <v>3658</v>
      </c>
      <c r="O1694" s="21"/>
      <c r="P1694" s="21" t="s">
        <v>3659</v>
      </c>
      <c r="Q1694" s="21"/>
      <c r="R1694" s="21"/>
      <c r="S1694" s="3" t="s">
        <v>40</v>
      </c>
      <c r="T1694" s="21" t="s">
        <v>41</v>
      </c>
      <c r="U1694" s="21"/>
      <c r="V1694" s="4" t="s">
        <v>42</v>
      </c>
      <c r="W1694" s="4" t="s">
        <v>229</v>
      </c>
      <c r="X1694" s="4" t="s">
        <v>448</v>
      </c>
      <c r="Y1694" s="21" t="s">
        <v>65</v>
      </c>
      <c r="Z1694" s="21"/>
      <c r="AA1694" s="4" t="s">
        <v>46</v>
      </c>
      <c r="AB1694" s="4" t="s">
        <v>47</v>
      </c>
      <c r="AC1694" s="4" t="s">
        <v>57</v>
      </c>
      <c r="AD1694" s="4" t="s">
        <v>98</v>
      </c>
      <c r="AE1694" s="4" t="s">
        <v>48</v>
      </c>
      <c r="AF1694" s="4" t="s">
        <v>41</v>
      </c>
      <c r="AG1694" s="4" t="s">
        <v>3588</v>
      </c>
    </row>
    <row r="1695" spans="1:33" ht="16.5" customHeight="1" x14ac:dyDescent="0.2">
      <c r="A1695" s="2" t="s">
        <v>31</v>
      </c>
      <c r="B1695" s="19" t="s">
        <v>50</v>
      </c>
      <c r="C1695" s="19"/>
      <c r="D1695" s="19"/>
      <c r="E1695" s="20" t="s">
        <v>33</v>
      </c>
      <c r="F1695" s="20"/>
      <c r="G1695" s="21" t="s">
        <v>3583</v>
      </c>
      <c r="H1695" s="21"/>
      <c r="I1695" s="21"/>
      <c r="J1695" s="3" t="s">
        <v>35</v>
      </c>
      <c r="K1695" s="4" t="s">
        <v>51</v>
      </c>
      <c r="L1695" s="4" t="s">
        <v>68</v>
      </c>
      <c r="N1695" s="21" t="s">
        <v>3660</v>
      </c>
      <c r="O1695" s="21"/>
      <c r="P1695" s="21" t="s">
        <v>3661</v>
      </c>
      <c r="Q1695" s="21"/>
      <c r="R1695" s="21"/>
      <c r="S1695" s="3" t="s">
        <v>40</v>
      </c>
      <c r="T1695" s="21" t="s">
        <v>41</v>
      </c>
      <c r="U1695" s="21"/>
      <c r="V1695" s="4" t="s">
        <v>42</v>
      </c>
      <c r="W1695" s="4" t="s">
        <v>182</v>
      </c>
      <c r="X1695" s="4" t="s">
        <v>294</v>
      </c>
      <c r="Y1695" s="21" t="s">
        <v>56</v>
      </c>
      <c r="Z1695" s="21"/>
      <c r="AA1695" s="4" t="s">
        <v>46</v>
      </c>
      <c r="AB1695" s="4" t="s">
        <v>47</v>
      </c>
      <c r="AC1695" s="4" t="s">
        <v>57</v>
      </c>
      <c r="AD1695" s="4" t="s">
        <v>98</v>
      </c>
      <c r="AE1695" s="4" t="s">
        <v>48</v>
      </c>
      <c r="AF1695" s="4" t="s">
        <v>41</v>
      </c>
      <c r="AG1695" s="4" t="s">
        <v>3588</v>
      </c>
    </row>
    <row r="1696" spans="1:33" ht="16.5" customHeight="1" x14ac:dyDescent="0.2">
      <c r="A1696" s="2" t="s">
        <v>31</v>
      </c>
      <c r="B1696" s="19" t="s">
        <v>50</v>
      </c>
      <c r="C1696" s="19"/>
      <c r="D1696" s="19"/>
      <c r="E1696" s="20" t="s">
        <v>33</v>
      </c>
      <c r="F1696" s="20"/>
      <c r="G1696" s="21" t="s">
        <v>3583</v>
      </c>
      <c r="H1696" s="21"/>
      <c r="I1696" s="21"/>
      <c r="J1696" s="3" t="s">
        <v>35</v>
      </c>
      <c r="K1696" s="4" t="s">
        <v>51</v>
      </c>
      <c r="L1696" s="4" t="s">
        <v>68</v>
      </c>
      <c r="N1696" s="21" t="s">
        <v>3660</v>
      </c>
      <c r="O1696" s="21"/>
      <c r="P1696" s="21" t="s">
        <v>3661</v>
      </c>
      <c r="Q1696" s="21"/>
      <c r="R1696" s="21"/>
      <c r="S1696" s="3" t="s">
        <v>40</v>
      </c>
      <c r="T1696" s="21" t="s">
        <v>41</v>
      </c>
      <c r="U1696" s="21"/>
      <c r="V1696" s="4" t="s">
        <v>59</v>
      </c>
      <c r="W1696" s="4" t="s">
        <v>182</v>
      </c>
      <c r="X1696" s="4" t="s">
        <v>78</v>
      </c>
      <c r="Y1696" s="21" t="s">
        <v>56</v>
      </c>
      <c r="Z1696" s="21"/>
      <c r="AA1696" s="4" t="s">
        <v>46</v>
      </c>
      <c r="AB1696" s="4" t="s">
        <v>47</v>
      </c>
      <c r="AC1696" s="4" t="s">
        <v>57</v>
      </c>
      <c r="AD1696" s="4" t="s">
        <v>98</v>
      </c>
      <c r="AE1696" s="4" t="s">
        <v>48</v>
      </c>
      <c r="AF1696" s="4" t="s">
        <v>41</v>
      </c>
      <c r="AG1696" s="4" t="s">
        <v>3588</v>
      </c>
    </row>
    <row r="1697" spans="1:33" ht="16.5" customHeight="1" x14ac:dyDescent="0.2">
      <c r="A1697" s="2" t="s">
        <v>31</v>
      </c>
      <c r="B1697" s="19" t="s">
        <v>50</v>
      </c>
      <c r="C1697" s="19"/>
      <c r="D1697" s="19"/>
      <c r="E1697" s="20" t="s">
        <v>33</v>
      </c>
      <c r="F1697" s="20"/>
      <c r="G1697" s="21" t="s">
        <v>3583</v>
      </c>
      <c r="H1697" s="21"/>
      <c r="I1697" s="21"/>
      <c r="J1697" s="3" t="s">
        <v>35</v>
      </c>
      <c r="K1697" s="4" t="s">
        <v>133</v>
      </c>
      <c r="L1697" s="4" t="s">
        <v>37</v>
      </c>
      <c r="N1697" s="21" t="s">
        <v>3662</v>
      </c>
      <c r="O1697" s="21"/>
      <c r="P1697" s="21" t="s">
        <v>3663</v>
      </c>
      <c r="Q1697" s="21"/>
      <c r="R1697" s="21"/>
      <c r="S1697" s="3" t="s">
        <v>40</v>
      </c>
      <c r="T1697" s="21" t="s">
        <v>41</v>
      </c>
      <c r="U1697" s="21"/>
      <c r="V1697" s="4" t="s">
        <v>42</v>
      </c>
      <c r="W1697" s="4" t="s">
        <v>196</v>
      </c>
      <c r="X1697" s="4" t="s">
        <v>197</v>
      </c>
      <c r="Y1697" s="21" t="s">
        <v>138</v>
      </c>
      <c r="Z1697" s="21"/>
      <c r="AA1697" s="4" t="s">
        <v>46</v>
      </c>
      <c r="AB1697" s="4" t="s">
        <v>47</v>
      </c>
      <c r="AC1697" s="4" t="s">
        <v>81</v>
      </c>
      <c r="AD1697" s="4" t="s">
        <v>41</v>
      </c>
      <c r="AE1697" s="4" t="s">
        <v>48</v>
      </c>
      <c r="AF1697" s="4" t="s">
        <v>41</v>
      </c>
      <c r="AG1697" s="4" t="s">
        <v>3588</v>
      </c>
    </row>
    <row r="1698" spans="1:33" ht="16.5" customHeight="1" x14ac:dyDescent="0.2">
      <c r="A1698" s="2" t="s">
        <v>31</v>
      </c>
      <c r="B1698" s="19" t="s">
        <v>50</v>
      </c>
      <c r="C1698" s="19"/>
      <c r="D1698" s="19"/>
      <c r="E1698" s="20" t="s">
        <v>33</v>
      </c>
      <c r="F1698" s="20"/>
      <c r="G1698" s="21" t="s">
        <v>3583</v>
      </c>
      <c r="H1698" s="21"/>
      <c r="I1698" s="21"/>
      <c r="J1698" s="3" t="s">
        <v>35</v>
      </c>
      <c r="K1698" s="4" t="s">
        <v>152</v>
      </c>
      <c r="L1698" s="4" t="s">
        <v>68</v>
      </c>
      <c r="N1698" s="21" t="s">
        <v>3664</v>
      </c>
      <c r="O1698" s="21"/>
      <c r="P1698" s="21" t="s">
        <v>3665</v>
      </c>
      <c r="Q1698" s="21"/>
      <c r="R1698" s="21"/>
      <c r="S1698" s="3" t="s">
        <v>40</v>
      </c>
      <c r="T1698" s="21" t="s">
        <v>41</v>
      </c>
      <c r="U1698" s="21"/>
      <c r="V1698" s="4" t="s">
        <v>42</v>
      </c>
      <c r="W1698" s="4" t="s">
        <v>3666</v>
      </c>
      <c r="X1698" s="4" t="s">
        <v>199</v>
      </c>
      <c r="Y1698" s="21" t="s">
        <v>56</v>
      </c>
      <c r="Z1698" s="21"/>
      <c r="AA1698" s="4" t="s">
        <v>46</v>
      </c>
      <c r="AB1698" s="4" t="s">
        <v>47</v>
      </c>
      <c r="AC1698" s="4" t="s">
        <v>81</v>
      </c>
      <c r="AD1698" s="4" t="s">
        <v>41</v>
      </c>
      <c r="AE1698" s="4" t="s">
        <v>48</v>
      </c>
      <c r="AF1698" s="4" t="s">
        <v>41</v>
      </c>
      <c r="AG1698" s="4" t="s">
        <v>3588</v>
      </c>
    </row>
    <row r="1699" spans="1:33" ht="16.5" customHeight="1" x14ac:dyDescent="0.2">
      <c r="A1699" s="2" t="s">
        <v>31</v>
      </c>
      <c r="B1699" s="19" t="s">
        <v>50</v>
      </c>
      <c r="C1699" s="19"/>
      <c r="D1699" s="19"/>
      <c r="E1699" s="20" t="s">
        <v>33</v>
      </c>
      <c r="F1699" s="20"/>
      <c r="G1699" s="21" t="s">
        <v>3583</v>
      </c>
      <c r="H1699" s="21"/>
      <c r="I1699" s="21"/>
      <c r="J1699" s="3" t="s">
        <v>35</v>
      </c>
      <c r="K1699" s="4" t="s">
        <v>146</v>
      </c>
      <c r="L1699" s="4" t="s">
        <v>231</v>
      </c>
      <c r="N1699" s="21" t="s">
        <v>3667</v>
      </c>
      <c r="O1699" s="21"/>
      <c r="P1699" s="21" t="s">
        <v>3668</v>
      </c>
      <c r="Q1699" s="21"/>
      <c r="R1699" s="21"/>
      <c r="S1699" s="3" t="s">
        <v>40</v>
      </c>
      <c r="T1699" s="21" t="s">
        <v>41</v>
      </c>
      <c r="U1699" s="21"/>
      <c r="V1699" s="4" t="s">
        <v>42</v>
      </c>
      <c r="W1699" s="4" t="s">
        <v>217</v>
      </c>
      <c r="X1699" s="4" t="s">
        <v>218</v>
      </c>
      <c r="Y1699" s="21" t="s">
        <v>138</v>
      </c>
      <c r="Z1699" s="21"/>
      <c r="AA1699" s="4" t="s">
        <v>46</v>
      </c>
      <c r="AB1699" s="4" t="s">
        <v>47</v>
      </c>
      <c r="AC1699" s="4" t="s">
        <v>139</v>
      </c>
      <c r="AD1699" s="4" t="s">
        <v>449</v>
      </c>
      <c r="AE1699" s="4" t="s">
        <v>48</v>
      </c>
      <c r="AF1699" s="4" t="s">
        <v>41</v>
      </c>
      <c r="AG1699" s="4" t="s">
        <v>3588</v>
      </c>
    </row>
    <row r="1700" spans="1:33" ht="16.5" customHeight="1" x14ac:dyDescent="0.2">
      <c r="A1700" s="2" t="s">
        <v>31</v>
      </c>
      <c r="B1700" s="19" t="s">
        <v>50</v>
      </c>
      <c r="C1700" s="19"/>
      <c r="D1700" s="19"/>
      <c r="E1700" s="20" t="s">
        <v>33</v>
      </c>
      <c r="F1700" s="20"/>
      <c r="G1700" s="21" t="s">
        <v>3583</v>
      </c>
      <c r="H1700" s="21"/>
      <c r="I1700" s="21"/>
      <c r="J1700" s="3" t="s">
        <v>35</v>
      </c>
      <c r="K1700" s="4" t="s">
        <v>61</v>
      </c>
      <c r="L1700" s="4" t="s">
        <v>68</v>
      </c>
      <c r="N1700" s="21" t="s">
        <v>3669</v>
      </c>
      <c r="O1700" s="21"/>
      <c r="P1700" s="21" t="s">
        <v>3670</v>
      </c>
      <c r="Q1700" s="21"/>
      <c r="R1700" s="21"/>
      <c r="S1700" s="3" t="s">
        <v>40</v>
      </c>
      <c r="T1700" s="21" t="s">
        <v>41</v>
      </c>
      <c r="U1700" s="21"/>
      <c r="V1700" s="4" t="s">
        <v>42</v>
      </c>
      <c r="W1700" s="4" t="s">
        <v>213</v>
      </c>
      <c r="X1700" s="4" t="s">
        <v>531</v>
      </c>
      <c r="Y1700" s="21" t="s">
        <v>65</v>
      </c>
      <c r="Z1700" s="21"/>
      <c r="AA1700" s="4" t="s">
        <v>46</v>
      </c>
      <c r="AB1700" s="4" t="s">
        <v>47</v>
      </c>
      <c r="AC1700" s="4" t="s">
        <v>57</v>
      </c>
      <c r="AD1700" s="4" t="s">
        <v>98</v>
      </c>
      <c r="AE1700" s="4" t="s">
        <v>48</v>
      </c>
      <c r="AF1700" s="4" t="s">
        <v>41</v>
      </c>
      <c r="AG1700" s="4" t="s">
        <v>3588</v>
      </c>
    </row>
    <row r="1701" spans="1:33" ht="16.5" customHeight="1" x14ac:dyDescent="0.2">
      <c r="A1701" s="2" t="s">
        <v>31</v>
      </c>
      <c r="B1701" s="19" t="s">
        <v>50</v>
      </c>
      <c r="C1701" s="19"/>
      <c r="D1701" s="19"/>
      <c r="E1701" s="20" t="s">
        <v>33</v>
      </c>
      <c r="F1701" s="20"/>
      <c r="G1701" s="21" t="s">
        <v>3583</v>
      </c>
      <c r="H1701" s="21"/>
      <c r="I1701" s="21"/>
      <c r="J1701" s="3" t="s">
        <v>35</v>
      </c>
      <c r="K1701" s="4" t="s">
        <v>146</v>
      </c>
      <c r="L1701" s="4" t="s">
        <v>37</v>
      </c>
      <c r="N1701" s="21" t="s">
        <v>3671</v>
      </c>
      <c r="O1701" s="21"/>
      <c r="P1701" s="21" t="s">
        <v>3672</v>
      </c>
      <c r="Q1701" s="21"/>
      <c r="R1701" s="21"/>
      <c r="S1701" s="3" t="s">
        <v>40</v>
      </c>
      <c r="T1701" s="21" t="s">
        <v>41</v>
      </c>
      <c r="U1701" s="21"/>
      <c r="V1701" s="4" t="s">
        <v>42</v>
      </c>
      <c r="W1701" s="4" t="s">
        <v>863</v>
      </c>
      <c r="X1701" s="4" t="s">
        <v>864</v>
      </c>
      <c r="Y1701" s="21" t="s">
        <v>138</v>
      </c>
      <c r="Z1701" s="21"/>
      <c r="AA1701" s="4" t="s">
        <v>46</v>
      </c>
      <c r="AB1701" s="4" t="s">
        <v>47</v>
      </c>
      <c r="AC1701" s="4" t="s">
        <v>139</v>
      </c>
      <c r="AD1701" s="4" t="s">
        <v>140</v>
      </c>
      <c r="AE1701" s="4" t="s">
        <v>48</v>
      </c>
      <c r="AF1701" s="4" t="s">
        <v>41</v>
      </c>
      <c r="AG1701" s="4" t="s">
        <v>3588</v>
      </c>
    </row>
    <row r="1702" spans="1:33" ht="16.5" customHeight="1" x14ac:dyDescent="0.2">
      <c r="A1702" s="2" t="s">
        <v>31</v>
      </c>
      <c r="B1702" s="19" t="s">
        <v>50</v>
      </c>
      <c r="C1702" s="19"/>
      <c r="D1702" s="19"/>
      <c r="E1702" s="20" t="s">
        <v>33</v>
      </c>
      <c r="F1702" s="20"/>
      <c r="G1702" s="21" t="s">
        <v>3583</v>
      </c>
      <c r="H1702" s="21"/>
      <c r="I1702" s="21"/>
      <c r="J1702" s="3" t="s">
        <v>35</v>
      </c>
      <c r="K1702" s="4" t="s">
        <v>133</v>
      </c>
      <c r="L1702" s="4" t="s">
        <v>37</v>
      </c>
      <c r="N1702" s="21" t="s">
        <v>3673</v>
      </c>
      <c r="O1702" s="21"/>
      <c r="P1702" s="21" t="s">
        <v>3674</v>
      </c>
      <c r="Q1702" s="21"/>
      <c r="R1702" s="21"/>
      <c r="S1702" s="3" t="s">
        <v>40</v>
      </c>
      <c r="T1702" s="21" t="s">
        <v>41</v>
      </c>
      <c r="U1702" s="21"/>
      <c r="V1702" s="4" t="s">
        <v>42</v>
      </c>
      <c r="W1702" s="4" t="s">
        <v>2193</v>
      </c>
      <c r="X1702" s="4" t="s">
        <v>2194</v>
      </c>
      <c r="Y1702" s="21" t="s">
        <v>138</v>
      </c>
      <c r="Z1702" s="21"/>
      <c r="AA1702" s="4" t="s">
        <v>46</v>
      </c>
      <c r="AB1702" s="4" t="s">
        <v>47</v>
      </c>
      <c r="AC1702" s="4" t="s">
        <v>139</v>
      </c>
      <c r="AD1702" s="4" t="s">
        <v>140</v>
      </c>
      <c r="AE1702" s="4" t="s">
        <v>48</v>
      </c>
      <c r="AF1702" s="4" t="s">
        <v>41</v>
      </c>
      <c r="AG1702" s="4" t="s">
        <v>3588</v>
      </c>
    </row>
    <row r="1703" spans="1:33" ht="16.5" customHeight="1" x14ac:dyDescent="0.2">
      <c r="A1703" s="2" t="s">
        <v>31</v>
      </c>
      <c r="B1703" s="19" t="s">
        <v>50</v>
      </c>
      <c r="C1703" s="19"/>
      <c r="D1703" s="19"/>
      <c r="E1703" s="20" t="s">
        <v>33</v>
      </c>
      <c r="F1703" s="20"/>
      <c r="G1703" s="21" t="s">
        <v>3583</v>
      </c>
      <c r="H1703" s="21"/>
      <c r="I1703" s="21"/>
      <c r="J1703" s="3" t="s">
        <v>35</v>
      </c>
      <c r="K1703" s="4" t="s">
        <v>152</v>
      </c>
      <c r="L1703" s="4" t="s">
        <v>37</v>
      </c>
      <c r="N1703" s="21" t="s">
        <v>3675</v>
      </c>
      <c r="O1703" s="21"/>
      <c r="P1703" s="21" t="s">
        <v>3676</v>
      </c>
      <c r="Q1703" s="21"/>
      <c r="R1703" s="21"/>
      <c r="S1703" s="3" t="s">
        <v>40</v>
      </c>
      <c r="T1703" s="21" t="s">
        <v>41</v>
      </c>
      <c r="U1703" s="21"/>
      <c r="V1703" s="4" t="s">
        <v>42</v>
      </c>
      <c r="W1703" s="4" t="s">
        <v>229</v>
      </c>
      <c r="X1703" s="4" t="s">
        <v>448</v>
      </c>
      <c r="Y1703" s="21" t="s">
        <v>56</v>
      </c>
      <c r="Z1703" s="21"/>
      <c r="AA1703" s="4" t="s">
        <v>46</v>
      </c>
      <c r="AB1703" s="4" t="s">
        <v>47</v>
      </c>
      <c r="AC1703" s="4" t="s">
        <v>139</v>
      </c>
      <c r="AD1703" s="4" t="s">
        <v>140</v>
      </c>
      <c r="AE1703" s="4" t="s">
        <v>48</v>
      </c>
      <c r="AF1703" s="4" t="s">
        <v>41</v>
      </c>
      <c r="AG1703" s="4" t="s">
        <v>3588</v>
      </c>
    </row>
    <row r="1704" spans="1:33" ht="16.5" customHeight="1" x14ac:dyDescent="0.2">
      <c r="A1704" s="2" t="s">
        <v>31</v>
      </c>
      <c r="B1704" s="19" t="s">
        <v>50</v>
      </c>
      <c r="C1704" s="19"/>
      <c r="D1704" s="19"/>
      <c r="E1704" s="20" t="s">
        <v>33</v>
      </c>
      <c r="F1704" s="20"/>
      <c r="G1704" s="21" t="s">
        <v>3583</v>
      </c>
      <c r="H1704" s="21"/>
      <c r="I1704" s="21"/>
      <c r="J1704" s="3" t="s">
        <v>35</v>
      </c>
      <c r="K1704" s="4" t="s">
        <v>152</v>
      </c>
      <c r="L1704" s="4" t="s">
        <v>68</v>
      </c>
      <c r="N1704" s="21" t="s">
        <v>3677</v>
      </c>
      <c r="O1704" s="21"/>
      <c r="P1704" s="21" t="s">
        <v>3678</v>
      </c>
      <c r="Q1704" s="21"/>
      <c r="R1704" s="21"/>
      <c r="S1704" s="3" t="s">
        <v>40</v>
      </c>
      <c r="T1704" s="21" t="s">
        <v>41</v>
      </c>
      <c r="U1704" s="21"/>
      <c r="V1704" s="4" t="s">
        <v>42</v>
      </c>
      <c r="W1704" s="4" t="s">
        <v>1448</v>
      </c>
      <c r="X1704" s="4" t="s">
        <v>3679</v>
      </c>
      <c r="Y1704" s="21" t="s">
        <v>56</v>
      </c>
      <c r="Z1704" s="21"/>
      <c r="AA1704" s="4" t="s">
        <v>46</v>
      </c>
      <c r="AB1704" s="4" t="s">
        <v>47</v>
      </c>
      <c r="AC1704" s="4" t="s">
        <v>139</v>
      </c>
      <c r="AD1704" s="4" t="s">
        <v>151</v>
      </c>
      <c r="AE1704" s="4" t="s">
        <v>48</v>
      </c>
      <c r="AF1704" s="4" t="s">
        <v>41</v>
      </c>
      <c r="AG1704" s="4" t="s">
        <v>3588</v>
      </c>
    </row>
    <row r="1705" spans="1:33" ht="16.5" customHeight="1" x14ac:dyDescent="0.2">
      <c r="A1705" s="2" t="s">
        <v>31</v>
      </c>
      <c r="B1705" s="19" t="s">
        <v>50</v>
      </c>
      <c r="C1705" s="19"/>
      <c r="D1705" s="19"/>
      <c r="E1705" s="20" t="s">
        <v>33</v>
      </c>
      <c r="F1705" s="20"/>
      <c r="G1705" s="21" t="s">
        <v>3583</v>
      </c>
      <c r="H1705" s="21"/>
      <c r="I1705" s="21"/>
      <c r="J1705" s="3" t="s">
        <v>35</v>
      </c>
      <c r="K1705" s="4" t="s">
        <v>146</v>
      </c>
      <c r="L1705" s="4" t="s">
        <v>37</v>
      </c>
      <c r="N1705" s="21" t="s">
        <v>3680</v>
      </c>
      <c r="O1705" s="21"/>
      <c r="P1705" s="21" t="s">
        <v>3681</v>
      </c>
      <c r="Q1705" s="21"/>
      <c r="R1705" s="21"/>
      <c r="S1705" s="3" t="s">
        <v>40</v>
      </c>
      <c r="T1705" s="21" t="s">
        <v>41</v>
      </c>
      <c r="U1705" s="21"/>
      <c r="V1705" s="4" t="s">
        <v>42</v>
      </c>
      <c r="W1705" s="4" t="s">
        <v>217</v>
      </c>
      <c r="X1705" s="4" t="s">
        <v>218</v>
      </c>
      <c r="Y1705" s="21" t="s">
        <v>138</v>
      </c>
      <c r="Z1705" s="21"/>
      <c r="AA1705" s="4" t="s">
        <v>46</v>
      </c>
      <c r="AB1705" s="4" t="s">
        <v>47</v>
      </c>
      <c r="AC1705" s="4" t="s">
        <v>139</v>
      </c>
      <c r="AD1705" s="4" t="s">
        <v>140</v>
      </c>
      <c r="AE1705" s="4" t="s">
        <v>48</v>
      </c>
      <c r="AF1705" s="4" t="s">
        <v>41</v>
      </c>
      <c r="AG1705" s="4" t="s">
        <v>3588</v>
      </c>
    </row>
    <row r="1706" spans="1:33" ht="0.75" customHeight="1" x14ac:dyDescent="0.2"/>
    <row r="1707" spans="1:33" ht="12" customHeight="1" x14ac:dyDescent="0.2"/>
    <row r="1708" spans="1:33" ht="16.5" customHeight="1" x14ac:dyDescent="0.2">
      <c r="A1708" s="2" t="s">
        <v>31</v>
      </c>
      <c r="B1708" s="19" t="s">
        <v>50</v>
      </c>
      <c r="C1708" s="19"/>
      <c r="D1708" s="19"/>
      <c r="E1708" s="20" t="s">
        <v>33</v>
      </c>
      <c r="F1708" s="20"/>
      <c r="G1708" s="21" t="s">
        <v>3583</v>
      </c>
      <c r="H1708" s="21"/>
      <c r="I1708" s="21"/>
      <c r="J1708" s="3" t="s">
        <v>35</v>
      </c>
      <c r="K1708" s="4" t="s">
        <v>51</v>
      </c>
      <c r="L1708" s="4" t="s">
        <v>68</v>
      </c>
      <c r="N1708" s="21" t="s">
        <v>3682</v>
      </c>
      <c r="O1708" s="21"/>
      <c r="P1708" s="21" t="s">
        <v>3683</v>
      </c>
      <c r="Q1708" s="21"/>
      <c r="R1708" s="21"/>
      <c r="S1708" s="3" t="s">
        <v>40</v>
      </c>
      <c r="T1708" s="21" t="s">
        <v>41</v>
      </c>
      <c r="U1708" s="21"/>
      <c r="V1708" s="4" t="s">
        <v>42</v>
      </c>
      <c r="W1708" s="4" t="s">
        <v>182</v>
      </c>
      <c r="X1708" s="4" t="s">
        <v>294</v>
      </c>
      <c r="Y1708" s="21" t="s">
        <v>56</v>
      </c>
      <c r="Z1708" s="21"/>
      <c r="AA1708" s="4" t="s">
        <v>46</v>
      </c>
      <c r="AB1708" s="4" t="s">
        <v>47</v>
      </c>
      <c r="AC1708" s="4" t="s">
        <v>57</v>
      </c>
      <c r="AD1708" s="4" t="s">
        <v>98</v>
      </c>
      <c r="AE1708" s="4" t="s">
        <v>48</v>
      </c>
      <c r="AF1708" s="4" t="s">
        <v>41</v>
      </c>
      <c r="AG1708" s="4" t="s">
        <v>3588</v>
      </c>
    </row>
    <row r="1709" spans="1:33" ht="16.5" customHeight="1" x14ac:dyDescent="0.2">
      <c r="A1709" s="2" t="s">
        <v>31</v>
      </c>
      <c r="B1709" s="19" t="s">
        <v>50</v>
      </c>
      <c r="C1709" s="19"/>
      <c r="D1709" s="19"/>
      <c r="E1709" s="20" t="s">
        <v>33</v>
      </c>
      <c r="F1709" s="20"/>
      <c r="G1709" s="21" t="s">
        <v>3583</v>
      </c>
      <c r="H1709" s="21"/>
      <c r="I1709" s="21"/>
      <c r="J1709" s="3" t="s">
        <v>35</v>
      </c>
      <c r="K1709" s="4" t="s">
        <v>661</v>
      </c>
      <c r="L1709" s="4" t="s">
        <v>37</v>
      </c>
      <c r="N1709" s="21" t="s">
        <v>3684</v>
      </c>
      <c r="O1709" s="21"/>
      <c r="P1709" s="21" t="s">
        <v>3685</v>
      </c>
      <c r="Q1709" s="21"/>
      <c r="R1709" s="21"/>
      <c r="S1709" s="3" t="s">
        <v>40</v>
      </c>
      <c r="T1709" s="21" t="s">
        <v>41</v>
      </c>
      <c r="U1709" s="21"/>
      <c r="V1709" s="4" t="s">
        <v>42</v>
      </c>
      <c r="W1709" s="4" t="s">
        <v>350</v>
      </c>
      <c r="X1709" s="4" t="s">
        <v>339</v>
      </c>
      <c r="Y1709" s="21" t="s">
        <v>198</v>
      </c>
      <c r="Z1709" s="21"/>
      <c r="AA1709" s="4" t="s">
        <v>46</v>
      </c>
      <c r="AB1709" s="4" t="s">
        <v>47</v>
      </c>
      <c r="AC1709" s="4" t="s">
        <v>257</v>
      </c>
      <c r="AD1709" s="4" t="s">
        <v>258</v>
      </c>
      <c r="AE1709" s="4" t="s">
        <v>48</v>
      </c>
      <c r="AF1709" s="4" t="s">
        <v>41</v>
      </c>
      <c r="AG1709" s="4" t="s">
        <v>3588</v>
      </c>
    </row>
    <row r="1710" spans="1:33" ht="16.5" customHeight="1" x14ac:dyDescent="0.2">
      <c r="A1710" s="2" t="s">
        <v>31</v>
      </c>
      <c r="B1710" s="19" t="s">
        <v>50</v>
      </c>
      <c r="C1710" s="19"/>
      <c r="D1710" s="19"/>
      <c r="E1710" s="20" t="s">
        <v>33</v>
      </c>
      <c r="F1710" s="20"/>
      <c r="G1710" s="21" t="s">
        <v>3583</v>
      </c>
      <c r="H1710" s="21"/>
      <c r="I1710" s="21"/>
      <c r="J1710" s="3" t="s">
        <v>35</v>
      </c>
      <c r="K1710" s="4" t="s">
        <v>661</v>
      </c>
      <c r="L1710" s="4" t="s">
        <v>37</v>
      </c>
      <c r="N1710" s="21" t="s">
        <v>3684</v>
      </c>
      <c r="O1710" s="21"/>
      <c r="P1710" s="21" t="s">
        <v>3685</v>
      </c>
      <c r="Q1710" s="21"/>
      <c r="R1710" s="21"/>
      <c r="S1710" s="3" t="s">
        <v>40</v>
      </c>
      <c r="T1710" s="21" t="s">
        <v>41</v>
      </c>
      <c r="U1710" s="21"/>
      <c r="V1710" s="4" t="s">
        <v>59</v>
      </c>
      <c r="W1710" s="4" t="s">
        <v>350</v>
      </c>
      <c r="X1710" s="4" t="s">
        <v>356</v>
      </c>
      <c r="Y1710" s="21" t="s">
        <v>198</v>
      </c>
      <c r="Z1710" s="21"/>
      <c r="AA1710" s="4" t="s">
        <v>46</v>
      </c>
      <c r="AB1710" s="4" t="s">
        <v>47</v>
      </c>
      <c r="AC1710" s="4" t="s">
        <v>257</v>
      </c>
      <c r="AD1710" s="4" t="s">
        <v>258</v>
      </c>
      <c r="AE1710" s="4" t="s">
        <v>48</v>
      </c>
      <c r="AF1710" s="4" t="s">
        <v>41</v>
      </c>
      <c r="AG1710" s="4" t="s">
        <v>3588</v>
      </c>
    </row>
    <row r="1711" spans="1:33" ht="16.5" customHeight="1" x14ac:dyDescent="0.2">
      <c r="A1711" s="2" t="s">
        <v>31</v>
      </c>
      <c r="B1711" s="19" t="s">
        <v>50</v>
      </c>
      <c r="C1711" s="19"/>
      <c r="D1711" s="19"/>
      <c r="E1711" s="20" t="s">
        <v>33</v>
      </c>
      <c r="F1711" s="20"/>
      <c r="G1711" s="21" t="s">
        <v>3583</v>
      </c>
      <c r="H1711" s="21"/>
      <c r="I1711" s="21"/>
      <c r="J1711" s="3" t="s">
        <v>35</v>
      </c>
      <c r="K1711" s="4" t="s">
        <v>152</v>
      </c>
      <c r="L1711" s="4" t="s">
        <v>37</v>
      </c>
      <c r="N1711" s="21" t="s">
        <v>3686</v>
      </c>
      <c r="O1711" s="21"/>
      <c r="P1711" s="21" t="s">
        <v>3687</v>
      </c>
      <c r="Q1711" s="21"/>
      <c r="R1711" s="21"/>
      <c r="S1711" s="3" t="s">
        <v>40</v>
      </c>
      <c r="T1711" s="21" t="s">
        <v>41</v>
      </c>
      <c r="U1711" s="21"/>
      <c r="V1711" s="4" t="s">
        <v>42</v>
      </c>
      <c r="W1711" s="4" t="s">
        <v>1088</v>
      </c>
      <c r="X1711" s="4" t="s">
        <v>1089</v>
      </c>
      <c r="Y1711" s="21" t="s">
        <v>56</v>
      </c>
      <c r="Z1711" s="21"/>
      <c r="AA1711" s="4" t="s">
        <v>46</v>
      </c>
      <c r="AB1711" s="4" t="s">
        <v>47</v>
      </c>
      <c r="AC1711" s="4" t="s">
        <v>139</v>
      </c>
      <c r="AD1711" s="4" t="s">
        <v>140</v>
      </c>
      <c r="AE1711" s="4" t="s">
        <v>48</v>
      </c>
      <c r="AF1711" s="4" t="s">
        <v>41</v>
      </c>
      <c r="AG1711" s="4" t="s">
        <v>3588</v>
      </c>
    </row>
    <row r="1712" spans="1:33" ht="16.5" customHeight="1" x14ac:dyDescent="0.2">
      <c r="A1712" s="2" t="s">
        <v>31</v>
      </c>
      <c r="B1712" s="19" t="s">
        <v>50</v>
      </c>
      <c r="C1712" s="19"/>
      <c r="D1712" s="19"/>
      <c r="E1712" s="20" t="s">
        <v>33</v>
      </c>
      <c r="F1712" s="20"/>
      <c r="G1712" s="21" t="s">
        <v>3583</v>
      </c>
      <c r="H1712" s="21"/>
      <c r="I1712" s="21"/>
      <c r="J1712" s="3" t="s">
        <v>35</v>
      </c>
      <c r="K1712" s="4" t="s">
        <v>99</v>
      </c>
      <c r="L1712" s="4" t="s">
        <v>37</v>
      </c>
      <c r="N1712" s="21" t="s">
        <v>3688</v>
      </c>
      <c r="O1712" s="21"/>
      <c r="P1712" s="21" t="s">
        <v>3689</v>
      </c>
      <c r="Q1712" s="21"/>
      <c r="R1712" s="21"/>
      <c r="S1712" s="3" t="s">
        <v>40</v>
      </c>
      <c r="T1712" s="21" t="s">
        <v>41</v>
      </c>
      <c r="U1712" s="21"/>
      <c r="V1712" s="4" t="s">
        <v>42</v>
      </c>
      <c r="W1712" s="4" t="s">
        <v>225</v>
      </c>
      <c r="X1712" s="4" t="s">
        <v>226</v>
      </c>
      <c r="Y1712" s="21" t="s">
        <v>56</v>
      </c>
      <c r="Z1712" s="21"/>
      <c r="AA1712" s="4" t="s">
        <v>46</v>
      </c>
      <c r="AB1712" s="4" t="s">
        <v>47</v>
      </c>
      <c r="AC1712" s="4" t="s">
        <v>139</v>
      </c>
      <c r="AD1712" s="4" t="s">
        <v>140</v>
      </c>
      <c r="AE1712" s="4" t="s">
        <v>48</v>
      </c>
      <c r="AF1712" s="4" t="s">
        <v>41</v>
      </c>
      <c r="AG1712" s="4" t="s">
        <v>3588</v>
      </c>
    </row>
    <row r="1713" spans="1:33" ht="16.5" customHeight="1" x14ac:dyDescent="0.2">
      <c r="A1713" s="2" t="s">
        <v>31</v>
      </c>
      <c r="B1713" s="19" t="s">
        <v>50</v>
      </c>
      <c r="C1713" s="19"/>
      <c r="D1713" s="19"/>
      <c r="E1713" s="20" t="s">
        <v>33</v>
      </c>
      <c r="F1713" s="20"/>
      <c r="G1713" s="21" t="s">
        <v>3583</v>
      </c>
      <c r="H1713" s="21"/>
      <c r="I1713" s="21"/>
      <c r="J1713" s="3" t="s">
        <v>35</v>
      </c>
      <c r="K1713" s="4" t="s">
        <v>152</v>
      </c>
      <c r="L1713" s="4" t="s">
        <v>37</v>
      </c>
      <c r="N1713" s="21" t="s">
        <v>3690</v>
      </c>
      <c r="O1713" s="21"/>
      <c r="P1713" s="21" t="s">
        <v>3691</v>
      </c>
      <c r="Q1713" s="21"/>
      <c r="R1713" s="21"/>
      <c r="S1713" s="3" t="s">
        <v>40</v>
      </c>
      <c r="T1713" s="21" t="s">
        <v>41</v>
      </c>
      <c r="U1713" s="21"/>
      <c r="V1713" s="4" t="s">
        <v>42</v>
      </c>
      <c r="W1713" s="4" t="s">
        <v>443</v>
      </c>
      <c r="X1713" s="4" t="s">
        <v>444</v>
      </c>
      <c r="Y1713" s="21" t="s">
        <v>56</v>
      </c>
      <c r="Z1713" s="21"/>
      <c r="AA1713" s="4" t="s">
        <v>46</v>
      </c>
      <c r="AB1713" s="4" t="s">
        <v>47</v>
      </c>
      <c r="AC1713" s="4" t="s">
        <v>139</v>
      </c>
      <c r="AD1713" s="4" t="s">
        <v>140</v>
      </c>
      <c r="AE1713" s="4" t="s">
        <v>48</v>
      </c>
      <c r="AF1713" s="4" t="s">
        <v>41</v>
      </c>
      <c r="AG1713" s="4" t="s">
        <v>3588</v>
      </c>
    </row>
    <row r="1714" spans="1:33" ht="16.5" customHeight="1" x14ac:dyDescent="0.2">
      <c r="A1714" s="2" t="s">
        <v>31</v>
      </c>
      <c r="B1714" s="19" t="s">
        <v>110</v>
      </c>
      <c r="C1714" s="19"/>
      <c r="D1714" s="19"/>
      <c r="E1714" s="20" t="s">
        <v>33</v>
      </c>
      <c r="F1714" s="20"/>
      <c r="G1714" s="21" t="s">
        <v>3583</v>
      </c>
      <c r="H1714" s="21"/>
      <c r="I1714" s="21"/>
      <c r="J1714" s="3" t="s">
        <v>111</v>
      </c>
      <c r="K1714" s="4" t="s">
        <v>426</v>
      </c>
      <c r="N1714" s="21" t="s">
        <v>3690</v>
      </c>
      <c r="O1714" s="21"/>
      <c r="P1714" s="21" t="s">
        <v>3691</v>
      </c>
      <c r="Q1714" s="21"/>
      <c r="R1714" s="21"/>
      <c r="S1714" s="3" t="s">
        <v>40</v>
      </c>
      <c r="T1714" s="21" t="s">
        <v>3692</v>
      </c>
      <c r="U1714" s="21"/>
      <c r="V1714" s="4" t="s">
        <v>42</v>
      </c>
      <c r="W1714" s="4" t="s">
        <v>54</v>
      </c>
      <c r="X1714" s="4" t="s">
        <v>203</v>
      </c>
      <c r="Y1714" s="21" t="s">
        <v>116</v>
      </c>
      <c r="Z1714" s="21"/>
      <c r="AA1714" s="4" t="s">
        <v>46</v>
      </c>
      <c r="AB1714" s="4" t="s">
        <v>117</v>
      </c>
      <c r="AC1714" s="4" t="s">
        <v>243</v>
      </c>
      <c r="AD1714" s="4" t="s">
        <v>3693</v>
      </c>
      <c r="AE1714" s="4" t="s">
        <v>48</v>
      </c>
      <c r="AF1714" s="4" t="s">
        <v>41</v>
      </c>
      <c r="AG1714" s="4" t="s">
        <v>3588</v>
      </c>
    </row>
    <row r="1715" spans="1:33" ht="16.5" customHeight="1" x14ac:dyDescent="0.2">
      <c r="A1715" s="2" t="s">
        <v>31</v>
      </c>
      <c r="B1715" s="19" t="s">
        <v>50</v>
      </c>
      <c r="C1715" s="19"/>
      <c r="D1715" s="19"/>
      <c r="E1715" s="20" t="s">
        <v>33</v>
      </c>
      <c r="F1715" s="20"/>
      <c r="G1715" s="21" t="s">
        <v>3583</v>
      </c>
      <c r="H1715" s="21"/>
      <c r="I1715" s="21"/>
      <c r="J1715" s="3" t="s">
        <v>35</v>
      </c>
      <c r="K1715" s="4" t="s">
        <v>74</v>
      </c>
      <c r="L1715" s="4" t="s">
        <v>37</v>
      </c>
      <c r="N1715" s="21" t="s">
        <v>3694</v>
      </c>
      <c r="O1715" s="21"/>
      <c r="P1715" s="21" t="s">
        <v>3695</v>
      </c>
      <c r="Q1715" s="21"/>
      <c r="R1715" s="21"/>
      <c r="S1715" s="3" t="s">
        <v>40</v>
      </c>
      <c r="T1715" s="21" t="s">
        <v>41</v>
      </c>
      <c r="U1715" s="21"/>
      <c r="V1715" s="4" t="s">
        <v>42</v>
      </c>
      <c r="W1715" s="4" t="s">
        <v>773</v>
      </c>
      <c r="X1715" s="4" t="s">
        <v>656</v>
      </c>
      <c r="Y1715" s="21" t="s">
        <v>65</v>
      </c>
      <c r="Z1715" s="21"/>
      <c r="AA1715" s="4" t="s">
        <v>46</v>
      </c>
      <c r="AB1715" s="4" t="s">
        <v>47</v>
      </c>
      <c r="AC1715" s="4" t="s">
        <v>57</v>
      </c>
      <c r="AD1715" s="4" t="s">
        <v>58</v>
      </c>
      <c r="AE1715" s="4" t="s">
        <v>48</v>
      </c>
      <c r="AF1715" s="4" t="s">
        <v>41</v>
      </c>
      <c r="AG1715" s="4" t="s">
        <v>3588</v>
      </c>
    </row>
    <row r="1716" spans="1:33" ht="16.5" customHeight="1" x14ac:dyDescent="0.2">
      <c r="A1716" s="2" t="s">
        <v>31</v>
      </c>
      <c r="B1716" s="19" t="s">
        <v>50</v>
      </c>
      <c r="C1716" s="19"/>
      <c r="D1716" s="19"/>
      <c r="E1716" s="20" t="s">
        <v>33</v>
      </c>
      <c r="F1716" s="20"/>
      <c r="G1716" s="21" t="s">
        <v>3583</v>
      </c>
      <c r="H1716" s="21"/>
      <c r="I1716" s="21"/>
      <c r="J1716" s="3" t="s">
        <v>35</v>
      </c>
      <c r="K1716" s="4" t="s">
        <v>314</v>
      </c>
      <c r="L1716" s="4" t="s">
        <v>68</v>
      </c>
      <c r="N1716" s="21" t="s">
        <v>3696</v>
      </c>
      <c r="O1716" s="21"/>
      <c r="P1716" s="21" t="s">
        <v>3697</v>
      </c>
      <c r="Q1716" s="21"/>
      <c r="R1716" s="21"/>
      <c r="S1716" s="3" t="s">
        <v>40</v>
      </c>
      <c r="T1716" s="21" t="s">
        <v>41</v>
      </c>
      <c r="U1716" s="21"/>
      <c r="V1716" s="4" t="s">
        <v>42</v>
      </c>
      <c r="W1716" s="4" t="s">
        <v>144</v>
      </c>
      <c r="X1716" s="4" t="s">
        <v>145</v>
      </c>
      <c r="Y1716" s="21" t="s">
        <v>65</v>
      </c>
      <c r="Z1716" s="21"/>
      <c r="AA1716" s="4" t="s">
        <v>46</v>
      </c>
      <c r="AB1716" s="4" t="s">
        <v>47</v>
      </c>
      <c r="AC1716" s="4" t="s">
        <v>57</v>
      </c>
      <c r="AD1716" s="4" t="s">
        <v>98</v>
      </c>
      <c r="AE1716" s="4" t="s">
        <v>48</v>
      </c>
      <c r="AF1716" s="4" t="s">
        <v>41</v>
      </c>
      <c r="AG1716" s="4" t="s">
        <v>3588</v>
      </c>
    </row>
    <row r="1717" spans="1:33" ht="16.5" customHeight="1" x14ac:dyDescent="0.2">
      <c r="A1717" s="2" t="s">
        <v>31</v>
      </c>
      <c r="B1717" s="19" t="s">
        <v>50</v>
      </c>
      <c r="C1717" s="19"/>
      <c r="D1717" s="19"/>
      <c r="E1717" s="20" t="s">
        <v>33</v>
      </c>
      <c r="F1717" s="20"/>
      <c r="G1717" s="21" t="s">
        <v>3583</v>
      </c>
      <c r="H1717" s="21"/>
      <c r="I1717" s="21"/>
      <c r="J1717" s="3" t="s">
        <v>35</v>
      </c>
      <c r="K1717" s="4" t="s">
        <v>61</v>
      </c>
      <c r="L1717" s="4" t="s">
        <v>68</v>
      </c>
      <c r="N1717" s="21" t="s">
        <v>3698</v>
      </c>
      <c r="O1717" s="21"/>
      <c r="P1717" s="21" t="s">
        <v>3699</v>
      </c>
      <c r="Q1717" s="21"/>
      <c r="R1717" s="21"/>
      <c r="S1717" s="3" t="s">
        <v>40</v>
      </c>
      <c r="T1717" s="21" t="s">
        <v>41</v>
      </c>
      <c r="U1717" s="21"/>
      <c r="V1717" s="4" t="s">
        <v>42</v>
      </c>
      <c r="W1717" s="4" t="s">
        <v>229</v>
      </c>
      <c r="X1717" s="4" t="s">
        <v>448</v>
      </c>
      <c r="Y1717" s="21" t="s">
        <v>65</v>
      </c>
      <c r="Z1717" s="21"/>
      <c r="AA1717" s="4" t="s">
        <v>46</v>
      </c>
      <c r="AB1717" s="4" t="s">
        <v>47</v>
      </c>
      <c r="AC1717" s="4" t="s">
        <v>57</v>
      </c>
      <c r="AD1717" s="4" t="s">
        <v>98</v>
      </c>
      <c r="AE1717" s="4" t="s">
        <v>48</v>
      </c>
      <c r="AF1717" s="4" t="s">
        <v>41</v>
      </c>
      <c r="AG1717" s="4" t="s">
        <v>3588</v>
      </c>
    </row>
    <row r="1718" spans="1:33" ht="16.5" customHeight="1" x14ac:dyDescent="0.2">
      <c r="A1718" s="2" t="s">
        <v>31</v>
      </c>
      <c r="B1718" s="19" t="s">
        <v>50</v>
      </c>
      <c r="C1718" s="19"/>
      <c r="D1718" s="19"/>
      <c r="E1718" s="20" t="s">
        <v>33</v>
      </c>
      <c r="F1718" s="20"/>
      <c r="G1718" s="21" t="s">
        <v>3583</v>
      </c>
      <c r="H1718" s="21"/>
      <c r="I1718" s="21"/>
      <c r="J1718" s="3" t="s">
        <v>35</v>
      </c>
      <c r="K1718" s="4" t="s">
        <v>61</v>
      </c>
      <c r="L1718" s="4" t="s">
        <v>68</v>
      </c>
      <c r="N1718" s="21" t="s">
        <v>3698</v>
      </c>
      <c r="O1718" s="21"/>
      <c r="P1718" s="21" t="s">
        <v>3699</v>
      </c>
      <c r="Q1718" s="21"/>
      <c r="R1718" s="21"/>
      <c r="S1718" s="3" t="s">
        <v>40</v>
      </c>
      <c r="T1718" s="21" t="s">
        <v>41</v>
      </c>
      <c r="U1718" s="21"/>
      <c r="V1718" s="4" t="s">
        <v>59</v>
      </c>
      <c r="W1718" s="4" t="s">
        <v>229</v>
      </c>
      <c r="X1718" s="4" t="s">
        <v>230</v>
      </c>
      <c r="Y1718" s="21" t="s">
        <v>65</v>
      </c>
      <c r="Z1718" s="21"/>
      <c r="AA1718" s="4" t="s">
        <v>46</v>
      </c>
      <c r="AB1718" s="4" t="s">
        <v>47</v>
      </c>
      <c r="AC1718" s="4" t="s">
        <v>57</v>
      </c>
      <c r="AD1718" s="4" t="s">
        <v>98</v>
      </c>
      <c r="AE1718" s="4" t="s">
        <v>48</v>
      </c>
      <c r="AF1718" s="4" t="s">
        <v>41</v>
      </c>
      <c r="AG1718" s="4" t="s">
        <v>3588</v>
      </c>
    </row>
    <row r="1719" spans="1:33" ht="16.5" customHeight="1" x14ac:dyDescent="0.2">
      <c r="A1719" s="2" t="s">
        <v>31</v>
      </c>
      <c r="B1719" s="19" t="s">
        <v>50</v>
      </c>
      <c r="C1719" s="19"/>
      <c r="D1719" s="19"/>
      <c r="E1719" s="20" t="s">
        <v>33</v>
      </c>
      <c r="F1719" s="20"/>
      <c r="G1719" s="21" t="s">
        <v>3583</v>
      </c>
      <c r="H1719" s="21"/>
      <c r="I1719" s="21"/>
      <c r="J1719" s="3" t="s">
        <v>35</v>
      </c>
      <c r="K1719" s="4" t="s">
        <v>61</v>
      </c>
      <c r="L1719" s="4" t="s">
        <v>278</v>
      </c>
      <c r="N1719" s="21" t="s">
        <v>3698</v>
      </c>
      <c r="O1719" s="21"/>
      <c r="P1719" s="21" t="s">
        <v>3699</v>
      </c>
      <c r="Q1719" s="21"/>
      <c r="R1719" s="21"/>
      <c r="S1719" s="3" t="s">
        <v>40</v>
      </c>
      <c r="T1719" s="21" t="s">
        <v>41</v>
      </c>
      <c r="U1719" s="21"/>
      <c r="V1719" s="4" t="s">
        <v>130</v>
      </c>
      <c r="W1719" s="4" t="s">
        <v>229</v>
      </c>
      <c r="X1719" s="4" t="s">
        <v>1456</v>
      </c>
      <c r="Y1719" s="21" t="s">
        <v>65</v>
      </c>
      <c r="Z1719" s="21"/>
      <c r="AA1719" s="4" t="s">
        <v>46</v>
      </c>
      <c r="AB1719" s="4" t="s">
        <v>47</v>
      </c>
      <c r="AC1719" s="4" t="s">
        <v>57</v>
      </c>
      <c r="AD1719" s="4" t="s">
        <v>283</v>
      </c>
      <c r="AE1719" s="4" t="s">
        <v>48</v>
      </c>
      <c r="AF1719" s="4" t="s">
        <v>41</v>
      </c>
      <c r="AG1719" s="4" t="s">
        <v>3588</v>
      </c>
    </row>
    <row r="1720" spans="1:33" ht="16.5" customHeight="1" x14ac:dyDescent="0.2">
      <c r="A1720" s="2" t="s">
        <v>31</v>
      </c>
      <c r="B1720" s="19" t="s">
        <v>50</v>
      </c>
      <c r="C1720" s="19"/>
      <c r="D1720" s="19"/>
      <c r="E1720" s="20" t="s">
        <v>33</v>
      </c>
      <c r="F1720" s="20"/>
      <c r="G1720" s="21" t="s">
        <v>3583</v>
      </c>
      <c r="H1720" s="21"/>
      <c r="I1720" s="21"/>
      <c r="J1720" s="3" t="s">
        <v>35</v>
      </c>
      <c r="K1720" s="4" t="s">
        <v>61</v>
      </c>
      <c r="L1720" s="4" t="s">
        <v>278</v>
      </c>
      <c r="N1720" s="21" t="s">
        <v>3698</v>
      </c>
      <c r="O1720" s="21"/>
      <c r="P1720" s="21" t="s">
        <v>3699</v>
      </c>
      <c r="Q1720" s="21"/>
      <c r="R1720" s="21"/>
      <c r="S1720" s="3" t="s">
        <v>40</v>
      </c>
      <c r="T1720" s="21" t="s">
        <v>41</v>
      </c>
      <c r="U1720" s="21"/>
      <c r="V1720" s="4" t="s">
        <v>130</v>
      </c>
      <c r="W1720" s="4" t="s">
        <v>229</v>
      </c>
      <c r="X1720" s="4" t="s">
        <v>1456</v>
      </c>
      <c r="Y1720" s="21" t="s">
        <v>65</v>
      </c>
      <c r="Z1720" s="21"/>
      <c r="AA1720" s="4" t="s">
        <v>46</v>
      </c>
      <c r="AB1720" s="4" t="s">
        <v>47</v>
      </c>
      <c r="AC1720" s="4" t="s">
        <v>57</v>
      </c>
      <c r="AD1720" s="4" t="s">
        <v>283</v>
      </c>
      <c r="AE1720" s="4" t="s">
        <v>48</v>
      </c>
      <c r="AF1720" s="4" t="s">
        <v>41</v>
      </c>
      <c r="AG1720" s="4" t="s">
        <v>3588</v>
      </c>
    </row>
    <row r="1721" spans="1:33" ht="16.5" customHeight="1" x14ac:dyDescent="0.2">
      <c r="A1721" s="2" t="s">
        <v>31</v>
      </c>
      <c r="B1721" s="19" t="s">
        <v>50</v>
      </c>
      <c r="C1721" s="19"/>
      <c r="D1721" s="19"/>
      <c r="E1721" s="20" t="s">
        <v>33</v>
      </c>
      <c r="F1721" s="20"/>
      <c r="G1721" s="21" t="s">
        <v>3583</v>
      </c>
      <c r="H1721" s="21"/>
      <c r="I1721" s="21"/>
      <c r="J1721" s="3" t="s">
        <v>35</v>
      </c>
      <c r="K1721" s="4" t="s">
        <v>61</v>
      </c>
      <c r="L1721" s="4" t="s">
        <v>1714</v>
      </c>
      <c r="N1721" s="21" t="s">
        <v>3698</v>
      </c>
      <c r="O1721" s="21"/>
      <c r="P1721" s="21" t="s">
        <v>3699</v>
      </c>
      <c r="Q1721" s="21"/>
      <c r="R1721" s="21"/>
      <c r="S1721" s="3" t="s">
        <v>40</v>
      </c>
      <c r="T1721" s="21" t="s">
        <v>41</v>
      </c>
      <c r="U1721" s="21"/>
      <c r="V1721" s="4" t="s">
        <v>130</v>
      </c>
      <c r="W1721" s="4" t="s">
        <v>229</v>
      </c>
      <c r="X1721" s="4" t="s">
        <v>1456</v>
      </c>
      <c r="Y1721" s="21" t="s">
        <v>65</v>
      </c>
      <c r="Z1721" s="21"/>
      <c r="AA1721" s="4" t="s">
        <v>46</v>
      </c>
      <c r="AB1721" s="4" t="s">
        <v>47</v>
      </c>
      <c r="AC1721" s="4" t="s">
        <v>57</v>
      </c>
      <c r="AD1721" s="4" t="s">
        <v>1717</v>
      </c>
      <c r="AE1721" s="4" t="s">
        <v>48</v>
      </c>
      <c r="AF1721" s="4" t="s">
        <v>41</v>
      </c>
      <c r="AG1721" s="4" t="s">
        <v>3588</v>
      </c>
    </row>
    <row r="1722" spans="1:33" ht="16.5" customHeight="1" x14ac:dyDescent="0.2">
      <c r="A1722" s="2" t="s">
        <v>31</v>
      </c>
      <c r="B1722" s="19" t="s">
        <v>50</v>
      </c>
      <c r="C1722" s="19"/>
      <c r="D1722" s="19"/>
      <c r="E1722" s="20" t="s">
        <v>33</v>
      </c>
      <c r="F1722" s="20"/>
      <c r="G1722" s="21" t="s">
        <v>3583</v>
      </c>
      <c r="H1722" s="21"/>
      <c r="I1722" s="21"/>
      <c r="J1722" s="3" t="s">
        <v>35</v>
      </c>
      <c r="K1722" s="4" t="s">
        <v>61</v>
      </c>
      <c r="L1722" s="4" t="s">
        <v>68</v>
      </c>
      <c r="N1722" s="21" t="s">
        <v>3700</v>
      </c>
      <c r="O1722" s="21"/>
      <c r="P1722" s="21" t="s">
        <v>3701</v>
      </c>
      <c r="Q1722" s="21"/>
      <c r="R1722" s="21"/>
      <c r="S1722" s="3" t="s">
        <v>40</v>
      </c>
      <c r="T1722" s="21" t="s">
        <v>41</v>
      </c>
      <c r="U1722" s="21"/>
      <c r="V1722" s="4" t="s">
        <v>42</v>
      </c>
      <c r="W1722" s="4" t="s">
        <v>54</v>
      </c>
      <c r="X1722" s="4" t="s">
        <v>55</v>
      </c>
      <c r="Y1722" s="21" t="s">
        <v>65</v>
      </c>
      <c r="Z1722" s="21"/>
      <c r="AA1722" s="4" t="s">
        <v>46</v>
      </c>
      <c r="AB1722" s="4" t="s">
        <v>47</v>
      </c>
      <c r="AC1722" s="4" t="s">
        <v>66</v>
      </c>
      <c r="AD1722" s="4" t="s">
        <v>69</v>
      </c>
      <c r="AE1722" s="4" t="s">
        <v>48</v>
      </c>
      <c r="AF1722" s="4" t="s">
        <v>41</v>
      </c>
      <c r="AG1722" s="4" t="s">
        <v>3588</v>
      </c>
    </row>
    <row r="1723" spans="1:33" ht="16.5" customHeight="1" x14ac:dyDescent="0.2">
      <c r="A1723" s="2" t="s">
        <v>31</v>
      </c>
      <c r="B1723" s="19" t="s">
        <v>50</v>
      </c>
      <c r="C1723" s="19"/>
      <c r="D1723" s="19"/>
      <c r="E1723" s="20" t="s">
        <v>33</v>
      </c>
      <c r="F1723" s="20"/>
      <c r="G1723" s="21" t="s">
        <v>3583</v>
      </c>
      <c r="H1723" s="21"/>
      <c r="I1723" s="21"/>
      <c r="J1723" s="3" t="s">
        <v>35</v>
      </c>
      <c r="K1723" s="4" t="s">
        <v>146</v>
      </c>
      <c r="L1723" s="4" t="s">
        <v>37</v>
      </c>
      <c r="N1723" s="21" t="s">
        <v>3702</v>
      </c>
      <c r="O1723" s="21"/>
      <c r="P1723" s="21" t="s">
        <v>3703</v>
      </c>
      <c r="Q1723" s="21"/>
      <c r="R1723" s="21"/>
      <c r="S1723" s="3" t="s">
        <v>40</v>
      </c>
      <c r="T1723" s="21" t="s">
        <v>41</v>
      </c>
      <c r="U1723" s="21"/>
      <c r="V1723" s="4" t="s">
        <v>42</v>
      </c>
      <c r="W1723" s="4" t="s">
        <v>1489</v>
      </c>
      <c r="X1723" s="4" t="s">
        <v>1490</v>
      </c>
      <c r="Y1723" s="21" t="s">
        <v>138</v>
      </c>
      <c r="Z1723" s="21"/>
      <c r="AA1723" s="4" t="s">
        <v>46</v>
      </c>
      <c r="AB1723" s="4" t="s">
        <v>47</v>
      </c>
      <c r="AC1723" s="4" t="s">
        <v>139</v>
      </c>
      <c r="AD1723" s="4" t="s">
        <v>140</v>
      </c>
      <c r="AE1723" s="4" t="s">
        <v>48</v>
      </c>
      <c r="AF1723" s="4" t="s">
        <v>41</v>
      </c>
      <c r="AG1723" s="4" t="s">
        <v>3588</v>
      </c>
    </row>
    <row r="1724" spans="1:33" ht="16.5" customHeight="1" x14ac:dyDescent="0.2">
      <c r="A1724" s="2" t="s">
        <v>31</v>
      </c>
      <c r="B1724" s="19" t="s">
        <v>50</v>
      </c>
      <c r="C1724" s="19"/>
      <c r="D1724" s="19"/>
      <c r="E1724" s="20" t="s">
        <v>33</v>
      </c>
      <c r="F1724" s="20"/>
      <c r="G1724" s="21" t="s">
        <v>3583</v>
      </c>
      <c r="H1724" s="21"/>
      <c r="I1724" s="21"/>
      <c r="J1724" s="3" t="s">
        <v>35</v>
      </c>
      <c r="K1724" s="4" t="s">
        <v>61</v>
      </c>
      <c r="L1724" s="4" t="s">
        <v>37</v>
      </c>
      <c r="N1724" s="21" t="s">
        <v>3704</v>
      </c>
      <c r="O1724" s="21"/>
      <c r="P1724" s="21" t="s">
        <v>3705</v>
      </c>
      <c r="Q1724" s="21"/>
      <c r="R1724" s="21"/>
      <c r="S1724" s="3" t="s">
        <v>40</v>
      </c>
      <c r="T1724" s="21" t="s">
        <v>41</v>
      </c>
      <c r="U1724" s="21"/>
      <c r="V1724" s="4" t="s">
        <v>42</v>
      </c>
      <c r="W1724" s="4" t="s">
        <v>1008</v>
      </c>
      <c r="X1724" s="4" t="s">
        <v>1009</v>
      </c>
      <c r="Y1724" s="21" t="s">
        <v>65</v>
      </c>
      <c r="Z1724" s="21"/>
      <c r="AA1724" s="4" t="s">
        <v>46</v>
      </c>
      <c r="AB1724" s="4" t="s">
        <v>47</v>
      </c>
      <c r="AC1724" s="4" t="s">
        <v>57</v>
      </c>
      <c r="AD1724" s="4" t="s">
        <v>58</v>
      </c>
      <c r="AE1724" s="4" t="s">
        <v>48</v>
      </c>
      <c r="AF1724" s="4" t="s">
        <v>41</v>
      </c>
      <c r="AG1724" s="4" t="s">
        <v>3588</v>
      </c>
    </row>
    <row r="1725" spans="1:33" ht="16.5" customHeight="1" x14ac:dyDescent="0.2">
      <c r="A1725" s="2" t="s">
        <v>31</v>
      </c>
      <c r="B1725" s="19" t="s">
        <v>50</v>
      </c>
      <c r="C1725" s="19"/>
      <c r="D1725" s="19"/>
      <c r="E1725" s="20" t="s">
        <v>33</v>
      </c>
      <c r="F1725" s="20"/>
      <c r="G1725" s="21" t="s">
        <v>3583</v>
      </c>
      <c r="H1725" s="21"/>
      <c r="I1725" s="21"/>
      <c r="J1725" s="3" t="s">
        <v>35</v>
      </c>
      <c r="K1725" s="4" t="s">
        <v>61</v>
      </c>
      <c r="L1725" s="4" t="s">
        <v>37</v>
      </c>
      <c r="N1725" s="21" t="s">
        <v>3704</v>
      </c>
      <c r="O1725" s="21"/>
      <c r="P1725" s="21" t="s">
        <v>3705</v>
      </c>
      <c r="Q1725" s="21"/>
      <c r="R1725" s="21"/>
      <c r="S1725" s="3" t="s">
        <v>40</v>
      </c>
      <c r="T1725" s="21" t="s">
        <v>41</v>
      </c>
      <c r="U1725" s="21"/>
      <c r="V1725" s="4" t="s">
        <v>59</v>
      </c>
      <c r="W1725" s="4" t="s">
        <v>1008</v>
      </c>
      <c r="X1725" s="4" t="s">
        <v>269</v>
      </c>
      <c r="Y1725" s="21" t="s">
        <v>65</v>
      </c>
      <c r="Z1725" s="21"/>
      <c r="AA1725" s="4" t="s">
        <v>46</v>
      </c>
      <c r="AB1725" s="4" t="s">
        <v>47</v>
      </c>
      <c r="AC1725" s="4" t="s">
        <v>57</v>
      </c>
      <c r="AD1725" s="4" t="s">
        <v>58</v>
      </c>
      <c r="AE1725" s="4" t="s">
        <v>48</v>
      </c>
      <c r="AF1725" s="4" t="s">
        <v>41</v>
      </c>
      <c r="AG1725" s="4" t="s">
        <v>3588</v>
      </c>
    </row>
    <row r="1726" spans="1:33" ht="16.5" customHeight="1" x14ac:dyDescent="0.2">
      <c r="A1726" s="2" t="s">
        <v>31</v>
      </c>
      <c r="B1726" s="19" t="s">
        <v>50</v>
      </c>
      <c r="C1726" s="19"/>
      <c r="D1726" s="19"/>
      <c r="E1726" s="20" t="s">
        <v>33</v>
      </c>
      <c r="F1726" s="20"/>
      <c r="G1726" s="21" t="s">
        <v>3583</v>
      </c>
      <c r="H1726" s="21"/>
      <c r="I1726" s="21"/>
      <c r="J1726" s="3" t="s">
        <v>35</v>
      </c>
      <c r="K1726" s="4" t="s">
        <v>61</v>
      </c>
      <c r="L1726" s="4" t="s">
        <v>37</v>
      </c>
      <c r="N1726" s="21" t="s">
        <v>3704</v>
      </c>
      <c r="O1726" s="21"/>
      <c r="P1726" s="21" t="s">
        <v>3705</v>
      </c>
      <c r="Q1726" s="21"/>
      <c r="R1726" s="21"/>
      <c r="S1726" s="3" t="s">
        <v>40</v>
      </c>
      <c r="T1726" s="21" t="s">
        <v>41</v>
      </c>
      <c r="U1726" s="21"/>
      <c r="V1726" s="4" t="s">
        <v>130</v>
      </c>
      <c r="W1726" s="4" t="s">
        <v>1008</v>
      </c>
      <c r="X1726" s="4" t="s">
        <v>577</v>
      </c>
      <c r="Y1726" s="21" t="s">
        <v>65</v>
      </c>
      <c r="Z1726" s="21"/>
      <c r="AA1726" s="4" t="s">
        <v>46</v>
      </c>
      <c r="AB1726" s="4" t="s">
        <v>47</v>
      </c>
      <c r="AC1726" s="4" t="s">
        <v>57</v>
      </c>
      <c r="AD1726" s="4" t="s">
        <v>58</v>
      </c>
      <c r="AE1726" s="4" t="s">
        <v>48</v>
      </c>
      <c r="AF1726" s="4" t="s">
        <v>41</v>
      </c>
      <c r="AG1726" s="4" t="s">
        <v>3588</v>
      </c>
    </row>
    <row r="1727" spans="1:33" ht="16.5" customHeight="1" x14ac:dyDescent="0.2">
      <c r="A1727" s="2" t="s">
        <v>31</v>
      </c>
      <c r="B1727" s="19" t="s">
        <v>50</v>
      </c>
      <c r="C1727" s="19"/>
      <c r="D1727" s="19"/>
      <c r="E1727" s="20" t="s">
        <v>33</v>
      </c>
      <c r="F1727" s="20"/>
      <c r="G1727" s="21" t="s">
        <v>3583</v>
      </c>
      <c r="H1727" s="21"/>
      <c r="I1727" s="21"/>
      <c r="J1727" s="3" t="s">
        <v>35</v>
      </c>
      <c r="K1727" s="4" t="s">
        <v>146</v>
      </c>
      <c r="L1727" s="4" t="s">
        <v>37</v>
      </c>
      <c r="N1727" s="21" t="s">
        <v>3706</v>
      </c>
      <c r="O1727" s="21"/>
      <c r="P1727" s="21" t="s">
        <v>3707</v>
      </c>
      <c r="Q1727" s="21"/>
      <c r="R1727" s="21"/>
      <c r="S1727" s="3" t="s">
        <v>40</v>
      </c>
      <c r="T1727" s="21" t="s">
        <v>41</v>
      </c>
      <c r="U1727" s="21"/>
      <c r="V1727" s="4" t="s">
        <v>42</v>
      </c>
      <c r="W1727" s="4" t="s">
        <v>272</v>
      </c>
      <c r="X1727" s="4" t="s">
        <v>273</v>
      </c>
      <c r="Y1727" s="21" t="s">
        <v>138</v>
      </c>
      <c r="Z1727" s="21"/>
      <c r="AA1727" s="4" t="s">
        <v>46</v>
      </c>
      <c r="AB1727" s="4" t="s">
        <v>47</v>
      </c>
      <c r="AC1727" s="4" t="s">
        <v>139</v>
      </c>
      <c r="AD1727" s="4" t="s">
        <v>140</v>
      </c>
      <c r="AE1727" s="4" t="s">
        <v>48</v>
      </c>
      <c r="AF1727" s="4" t="s">
        <v>41</v>
      </c>
      <c r="AG1727" s="4" t="s">
        <v>3588</v>
      </c>
    </row>
    <row r="1728" spans="1:33" ht="16.5" customHeight="1" x14ac:dyDescent="0.2">
      <c r="A1728" s="2" t="s">
        <v>31</v>
      </c>
      <c r="B1728" s="19" t="s">
        <v>50</v>
      </c>
      <c r="C1728" s="19"/>
      <c r="D1728" s="19"/>
      <c r="E1728" s="20" t="s">
        <v>33</v>
      </c>
      <c r="F1728" s="20"/>
      <c r="G1728" s="21" t="s">
        <v>3583</v>
      </c>
      <c r="H1728" s="21"/>
      <c r="I1728" s="21"/>
      <c r="J1728" s="3" t="s">
        <v>35</v>
      </c>
      <c r="K1728" s="4" t="s">
        <v>152</v>
      </c>
      <c r="L1728" s="4" t="s">
        <v>68</v>
      </c>
      <c r="N1728" s="21" t="s">
        <v>3708</v>
      </c>
      <c r="O1728" s="21"/>
      <c r="P1728" s="21" t="s">
        <v>3709</v>
      </c>
      <c r="Q1728" s="21"/>
      <c r="R1728" s="21"/>
      <c r="S1728" s="3" t="s">
        <v>40</v>
      </c>
      <c r="T1728" s="21" t="s">
        <v>41</v>
      </c>
      <c r="U1728" s="21"/>
      <c r="V1728" s="4" t="s">
        <v>59</v>
      </c>
      <c r="W1728" s="4" t="s">
        <v>272</v>
      </c>
      <c r="X1728" s="4" t="s">
        <v>277</v>
      </c>
      <c r="Y1728" s="21" t="s">
        <v>56</v>
      </c>
      <c r="Z1728" s="21"/>
      <c r="AA1728" s="4" t="s">
        <v>46</v>
      </c>
      <c r="AB1728" s="4" t="s">
        <v>47</v>
      </c>
      <c r="AC1728" s="4" t="s">
        <v>139</v>
      </c>
      <c r="AD1728" s="4" t="s">
        <v>151</v>
      </c>
      <c r="AE1728" s="4" t="s">
        <v>48</v>
      </c>
      <c r="AF1728" s="4" t="s">
        <v>41</v>
      </c>
      <c r="AG1728" s="4" t="s">
        <v>3588</v>
      </c>
    </row>
    <row r="1729" spans="1:33" ht="16.5" customHeight="1" x14ac:dyDescent="0.2">
      <c r="A1729" s="2" t="s">
        <v>31</v>
      </c>
      <c r="B1729" s="19" t="s">
        <v>50</v>
      </c>
      <c r="C1729" s="19"/>
      <c r="D1729" s="19"/>
      <c r="E1729" s="20" t="s">
        <v>33</v>
      </c>
      <c r="F1729" s="20"/>
      <c r="G1729" s="21" t="s">
        <v>3583</v>
      </c>
      <c r="H1729" s="21"/>
      <c r="I1729" s="21"/>
      <c r="J1729" s="3" t="s">
        <v>35</v>
      </c>
      <c r="K1729" s="4" t="s">
        <v>152</v>
      </c>
      <c r="L1729" s="4" t="s">
        <v>68</v>
      </c>
      <c r="N1729" s="21" t="s">
        <v>3708</v>
      </c>
      <c r="O1729" s="21"/>
      <c r="P1729" s="21" t="s">
        <v>3709</v>
      </c>
      <c r="Q1729" s="21"/>
      <c r="R1729" s="21"/>
      <c r="S1729" s="3" t="s">
        <v>40</v>
      </c>
      <c r="T1729" s="21" t="s">
        <v>41</v>
      </c>
      <c r="U1729" s="21"/>
      <c r="V1729" s="4" t="s">
        <v>130</v>
      </c>
      <c r="W1729" s="4" t="s">
        <v>272</v>
      </c>
      <c r="X1729" s="4" t="s">
        <v>282</v>
      </c>
      <c r="Y1729" s="21" t="s">
        <v>56</v>
      </c>
      <c r="Z1729" s="21"/>
      <c r="AA1729" s="4" t="s">
        <v>46</v>
      </c>
      <c r="AB1729" s="4" t="s">
        <v>47</v>
      </c>
      <c r="AC1729" s="4" t="s">
        <v>139</v>
      </c>
      <c r="AD1729" s="4" t="s">
        <v>151</v>
      </c>
      <c r="AE1729" s="4" t="s">
        <v>48</v>
      </c>
      <c r="AF1729" s="4" t="s">
        <v>41</v>
      </c>
      <c r="AG1729" s="4" t="s">
        <v>3588</v>
      </c>
    </row>
    <row r="1730" spans="1:33" ht="16.5" customHeight="1" x14ac:dyDescent="0.2">
      <c r="A1730" s="2" t="s">
        <v>31</v>
      </c>
      <c r="B1730" s="19" t="s">
        <v>50</v>
      </c>
      <c r="C1730" s="19"/>
      <c r="D1730" s="19"/>
      <c r="E1730" s="20" t="s">
        <v>33</v>
      </c>
      <c r="F1730" s="20"/>
      <c r="G1730" s="21" t="s">
        <v>3583</v>
      </c>
      <c r="H1730" s="21"/>
      <c r="I1730" s="21"/>
      <c r="J1730" s="3" t="s">
        <v>35</v>
      </c>
      <c r="K1730" s="4" t="s">
        <v>152</v>
      </c>
      <c r="L1730" s="4" t="s">
        <v>278</v>
      </c>
      <c r="N1730" s="21" t="s">
        <v>3710</v>
      </c>
      <c r="O1730" s="21"/>
      <c r="P1730" s="21" t="s">
        <v>3711</v>
      </c>
      <c r="Q1730" s="21"/>
      <c r="R1730" s="21"/>
      <c r="S1730" s="3" t="s">
        <v>40</v>
      </c>
      <c r="T1730" s="21" t="s">
        <v>41</v>
      </c>
      <c r="U1730" s="21"/>
      <c r="V1730" s="4" t="s">
        <v>42</v>
      </c>
      <c r="W1730" s="4" t="s">
        <v>202</v>
      </c>
      <c r="X1730" s="4" t="s">
        <v>203</v>
      </c>
      <c r="Y1730" s="21" t="s">
        <v>56</v>
      </c>
      <c r="Z1730" s="21"/>
      <c r="AA1730" s="4" t="s">
        <v>46</v>
      </c>
      <c r="AB1730" s="4" t="s">
        <v>47</v>
      </c>
      <c r="AC1730" s="4" t="s">
        <v>139</v>
      </c>
      <c r="AD1730" s="4" t="s">
        <v>69</v>
      </c>
      <c r="AE1730" s="4" t="s">
        <v>48</v>
      </c>
      <c r="AF1730" s="4" t="s">
        <v>41</v>
      </c>
      <c r="AG1730" s="4" t="s">
        <v>3588</v>
      </c>
    </row>
    <row r="1731" spans="1:33" ht="16.5" customHeight="1" x14ac:dyDescent="0.2">
      <c r="A1731" s="2" t="s">
        <v>31</v>
      </c>
      <c r="B1731" s="19" t="s">
        <v>50</v>
      </c>
      <c r="C1731" s="19"/>
      <c r="D1731" s="19"/>
      <c r="E1731" s="20" t="s">
        <v>33</v>
      </c>
      <c r="F1731" s="20"/>
      <c r="G1731" s="21" t="s">
        <v>3583</v>
      </c>
      <c r="H1731" s="21"/>
      <c r="I1731" s="21"/>
      <c r="J1731" s="3" t="s">
        <v>35</v>
      </c>
      <c r="K1731" s="4" t="s">
        <v>265</v>
      </c>
      <c r="L1731" s="4" t="s">
        <v>37</v>
      </c>
      <c r="N1731" s="21" t="s">
        <v>3712</v>
      </c>
      <c r="O1731" s="21"/>
      <c r="P1731" s="21" t="s">
        <v>3713</v>
      </c>
      <c r="Q1731" s="21"/>
      <c r="R1731" s="21"/>
      <c r="S1731" s="3" t="s">
        <v>40</v>
      </c>
      <c r="T1731" s="21" t="s">
        <v>41</v>
      </c>
      <c r="U1731" s="21"/>
      <c r="V1731" s="4" t="s">
        <v>42</v>
      </c>
      <c r="W1731" s="4" t="s">
        <v>202</v>
      </c>
      <c r="X1731" s="4" t="s">
        <v>203</v>
      </c>
      <c r="Y1731" s="21" t="s">
        <v>56</v>
      </c>
      <c r="Z1731" s="21"/>
      <c r="AA1731" s="4" t="s">
        <v>46</v>
      </c>
      <c r="AB1731" s="4" t="s">
        <v>47</v>
      </c>
      <c r="AC1731" s="4" t="s">
        <v>139</v>
      </c>
      <c r="AD1731" s="4" t="s">
        <v>140</v>
      </c>
      <c r="AE1731" s="4" t="s">
        <v>48</v>
      </c>
      <c r="AF1731" s="4" t="s">
        <v>41</v>
      </c>
      <c r="AG1731" s="4" t="s">
        <v>3588</v>
      </c>
    </row>
    <row r="1732" spans="1:33" ht="16.5" customHeight="1" x14ac:dyDescent="0.2">
      <c r="A1732" s="2" t="s">
        <v>31</v>
      </c>
      <c r="B1732" s="19" t="s">
        <v>50</v>
      </c>
      <c r="C1732" s="19"/>
      <c r="D1732" s="19"/>
      <c r="E1732" s="20" t="s">
        <v>33</v>
      </c>
      <c r="F1732" s="20"/>
      <c r="G1732" s="21" t="s">
        <v>3583</v>
      </c>
      <c r="H1732" s="21"/>
      <c r="I1732" s="21"/>
      <c r="J1732" s="3" t="s">
        <v>35</v>
      </c>
      <c r="K1732" s="4" t="s">
        <v>74</v>
      </c>
      <c r="L1732" s="4" t="s">
        <v>37</v>
      </c>
      <c r="N1732" s="21" t="s">
        <v>3714</v>
      </c>
      <c r="O1732" s="21"/>
      <c r="P1732" s="21" t="s">
        <v>3715</v>
      </c>
      <c r="Q1732" s="21"/>
      <c r="R1732" s="21"/>
      <c r="S1732" s="3" t="s">
        <v>40</v>
      </c>
      <c r="T1732" s="21" t="s">
        <v>41</v>
      </c>
      <c r="U1732" s="21"/>
      <c r="V1732" s="4" t="s">
        <v>42</v>
      </c>
      <c r="W1732" s="4" t="s">
        <v>202</v>
      </c>
      <c r="X1732" s="4" t="s">
        <v>203</v>
      </c>
      <c r="Y1732" s="21" t="s">
        <v>65</v>
      </c>
      <c r="Z1732" s="21"/>
      <c r="AA1732" s="4" t="s">
        <v>46</v>
      </c>
      <c r="AB1732" s="4" t="s">
        <v>47</v>
      </c>
      <c r="AC1732" s="4" t="s">
        <v>57</v>
      </c>
      <c r="AD1732" s="4" t="s">
        <v>58</v>
      </c>
      <c r="AE1732" s="4" t="s">
        <v>48</v>
      </c>
      <c r="AF1732" s="4" t="s">
        <v>41</v>
      </c>
      <c r="AG1732" s="4" t="s">
        <v>3588</v>
      </c>
    </row>
    <row r="1733" spans="1:33" ht="16.5" customHeight="1" x14ac:dyDescent="0.2">
      <c r="A1733" s="2" t="s">
        <v>31</v>
      </c>
      <c r="B1733" s="19" t="s">
        <v>50</v>
      </c>
      <c r="C1733" s="19"/>
      <c r="D1733" s="19"/>
      <c r="E1733" s="20" t="s">
        <v>33</v>
      </c>
      <c r="F1733" s="20"/>
      <c r="G1733" s="21" t="s">
        <v>3583</v>
      </c>
      <c r="H1733" s="21"/>
      <c r="I1733" s="21"/>
      <c r="J1733" s="3" t="s">
        <v>35</v>
      </c>
      <c r="K1733" s="4" t="s">
        <v>74</v>
      </c>
      <c r="L1733" s="4" t="s">
        <v>37</v>
      </c>
      <c r="N1733" s="21" t="s">
        <v>3714</v>
      </c>
      <c r="O1733" s="21"/>
      <c r="P1733" s="21" t="s">
        <v>3715</v>
      </c>
      <c r="Q1733" s="21"/>
      <c r="R1733" s="21"/>
      <c r="S1733" s="3" t="s">
        <v>40</v>
      </c>
      <c r="T1733" s="21" t="s">
        <v>41</v>
      </c>
      <c r="U1733" s="21"/>
      <c r="V1733" s="4" t="s">
        <v>59</v>
      </c>
      <c r="W1733" s="4" t="s">
        <v>202</v>
      </c>
      <c r="X1733" s="4" t="s">
        <v>791</v>
      </c>
      <c r="Y1733" s="21" t="s">
        <v>65</v>
      </c>
      <c r="Z1733" s="21"/>
      <c r="AA1733" s="4" t="s">
        <v>46</v>
      </c>
      <c r="AB1733" s="4" t="s">
        <v>47</v>
      </c>
      <c r="AC1733" s="4" t="s">
        <v>57</v>
      </c>
      <c r="AD1733" s="4" t="s">
        <v>58</v>
      </c>
      <c r="AE1733" s="4" t="s">
        <v>48</v>
      </c>
      <c r="AF1733" s="4" t="s">
        <v>41</v>
      </c>
      <c r="AG1733" s="4" t="s">
        <v>3588</v>
      </c>
    </row>
    <row r="1734" spans="1:33" ht="16.5" customHeight="1" x14ac:dyDescent="0.2">
      <c r="A1734" s="2" t="s">
        <v>31</v>
      </c>
      <c r="B1734" s="19" t="s">
        <v>50</v>
      </c>
      <c r="C1734" s="19"/>
      <c r="D1734" s="19"/>
      <c r="E1734" s="20" t="s">
        <v>33</v>
      </c>
      <c r="F1734" s="20"/>
      <c r="G1734" s="21" t="s">
        <v>3583</v>
      </c>
      <c r="H1734" s="21"/>
      <c r="I1734" s="21"/>
      <c r="J1734" s="3" t="s">
        <v>35</v>
      </c>
      <c r="K1734" s="4" t="s">
        <v>74</v>
      </c>
      <c r="L1734" s="4" t="s">
        <v>37</v>
      </c>
      <c r="N1734" s="21" t="s">
        <v>3714</v>
      </c>
      <c r="O1734" s="21"/>
      <c r="P1734" s="21" t="s">
        <v>3715</v>
      </c>
      <c r="Q1734" s="21"/>
      <c r="R1734" s="21"/>
      <c r="S1734" s="3" t="s">
        <v>40</v>
      </c>
      <c r="T1734" s="21" t="s">
        <v>41</v>
      </c>
      <c r="U1734" s="21"/>
      <c r="V1734" s="4" t="s">
        <v>130</v>
      </c>
      <c r="W1734" s="4" t="s">
        <v>202</v>
      </c>
      <c r="X1734" s="4" t="s">
        <v>637</v>
      </c>
      <c r="Y1734" s="21" t="s">
        <v>65</v>
      </c>
      <c r="Z1734" s="21"/>
      <c r="AA1734" s="4" t="s">
        <v>46</v>
      </c>
      <c r="AB1734" s="4" t="s">
        <v>47</v>
      </c>
      <c r="AC1734" s="4" t="s">
        <v>57</v>
      </c>
      <c r="AD1734" s="4" t="s">
        <v>58</v>
      </c>
      <c r="AE1734" s="4" t="s">
        <v>48</v>
      </c>
      <c r="AF1734" s="4" t="s">
        <v>41</v>
      </c>
      <c r="AG1734" s="4" t="s">
        <v>3588</v>
      </c>
    </row>
    <row r="1735" spans="1:33" ht="16.5" customHeight="1" x14ac:dyDescent="0.2">
      <c r="A1735" s="2" t="s">
        <v>31</v>
      </c>
      <c r="B1735" s="19" t="s">
        <v>50</v>
      </c>
      <c r="C1735" s="19"/>
      <c r="D1735" s="19"/>
      <c r="E1735" s="20" t="s">
        <v>33</v>
      </c>
      <c r="F1735" s="20"/>
      <c r="G1735" s="21" t="s">
        <v>3583</v>
      </c>
      <c r="H1735" s="21"/>
      <c r="I1735" s="21"/>
      <c r="J1735" s="3" t="s">
        <v>35</v>
      </c>
      <c r="K1735" s="4" t="s">
        <v>61</v>
      </c>
      <c r="L1735" s="4" t="s">
        <v>68</v>
      </c>
      <c r="N1735" s="21" t="s">
        <v>3716</v>
      </c>
      <c r="O1735" s="21"/>
      <c r="P1735" s="21" t="s">
        <v>3717</v>
      </c>
      <c r="Q1735" s="21"/>
      <c r="R1735" s="21"/>
      <c r="S1735" s="3" t="s">
        <v>40</v>
      </c>
      <c r="T1735" s="21" t="s">
        <v>41</v>
      </c>
      <c r="U1735" s="21"/>
      <c r="V1735" s="4" t="s">
        <v>59</v>
      </c>
      <c r="W1735" s="4" t="s">
        <v>828</v>
      </c>
      <c r="X1735" s="4" t="s">
        <v>470</v>
      </c>
      <c r="Y1735" s="21" t="s">
        <v>65</v>
      </c>
      <c r="Z1735" s="21"/>
      <c r="AA1735" s="4" t="s">
        <v>46</v>
      </c>
      <c r="AB1735" s="4" t="s">
        <v>47</v>
      </c>
      <c r="AC1735" s="4" t="s">
        <v>57</v>
      </c>
      <c r="AD1735" s="4" t="s">
        <v>98</v>
      </c>
      <c r="AE1735" s="4" t="s">
        <v>48</v>
      </c>
      <c r="AF1735" s="4" t="s">
        <v>41</v>
      </c>
      <c r="AG1735" s="4" t="s">
        <v>3588</v>
      </c>
    </row>
    <row r="1736" spans="1:33" ht="16.5" customHeight="1" x14ac:dyDescent="0.2">
      <c r="A1736" s="2" t="s">
        <v>31</v>
      </c>
      <c r="B1736" s="19" t="s">
        <v>50</v>
      </c>
      <c r="C1736" s="19"/>
      <c r="D1736" s="19"/>
      <c r="E1736" s="20" t="s">
        <v>33</v>
      </c>
      <c r="F1736" s="20"/>
      <c r="G1736" s="21" t="s">
        <v>3583</v>
      </c>
      <c r="H1736" s="21"/>
      <c r="I1736" s="21"/>
      <c r="J1736" s="3" t="s">
        <v>35</v>
      </c>
      <c r="K1736" s="4" t="s">
        <v>61</v>
      </c>
      <c r="L1736" s="4" t="s">
        <v>68</v>
      </c>
      <c r="N1736" s="21" t="s">
        <v>3716</v>
      </c>
      <c r="O1736" s="21"/>
      <c r="P1736" s="21" t="s">
        <v>3717</v>
      </c>
      <c r="Q1736" s="21"/>
      <c r="R1736" s="21"/>
      <c r="S1736" s="3" t="s">
        <v>40</v>
      </c>
      <c r="T1736" s="21" t="s">
        <v>41</v>
      </c>
      <c r="U1736" s="21"/>
      <c r="V1736" s="4" t="s">
        <v>130</v>
      </c>
      <c r="W1736" s="4" t="s">
        <v>828</v>
      </c>
      <c r="X1736" s="4" t="s">
        <v>471</v>
      </c>
      <c r="Y1736" s="21" t="s">
        <v>65</v>
      </c>
      <c r="Z1736" s="21"/>
      <c r="AA1736" s="4" t="s">
        <v>46</v>
      </c>
      <c r="AB1736" s="4" t="s">
        <v>47</v>
      </c>
      <c r="AC1736" s="4" t="s">
        <v>57</v>
      </c>
      <c r="AD1736" s="4" t="s">
        <v>98</v>
      </c>
      <c r="AE1736" s="4" t="s">
        <v>48</v>
      </c>
      <c r="AF1736" s="4" t="s">
        <v>41</v>
      </c>
      <c r="AG1736" s="4" t="s">
        <v>3588</v>
      </c>
    </row>
    <row r="1737" spans="1:33" ht="16.5" customHeight="1" x14ac:dyDescent="0.2">
      <c r="A1737" s="2" t="s">
        <v>31</v>
      </c>
      <c r="B1737" s="19" t="s">
        <v>50</v>
      </c>
      <c r="C1737" s="19"/>
      <c r="D1737" s="19"/>
      <c r="E1737" s="20" t="s">
        <v>33</v>
      </c>
      <c r="F1737" s="20"/>
      <c r="G1737" s="21" t="s">
        <v>3583</v>
      </c>
      <c r="H1737" s="21"/>
      <c r="I1737" s="21"/>
      <c r="J1737" s="3" t="s">
        <v>35</v>
      </c>
      <c r="K1737" s="4" t="s">
        <v>152</v>
      </c>
      <c r="L1737" s="4" t="s">
        <v>37</v>
      </c>
      <c r="N1737" s="21" t="s">
        <v>3718</v>
      </c>
      <c r="O1737" s="21"/>
      <c r="P1737" s="21" t="s">
        <v>3719</v>
      </c>
      <c r="Q1737" s="21"/>
      <c r="R1737" s="21"/>
      <c r="S1737" s="3" t="s">
        <v>40</v>
      </c>
      <c r="T1737" s="21" t="s">
        <v>41</v>
      </c>
      <c r="U1737" s="21"/>
      <c r="V1737" s="4" t="s">
        <v>42</v>
      </c>
      <c r="W1737" s="4" t="s">
        <v>1119</v>
      </c>
      <c r="X1737" s="4" t="s">
        <v>1120</v>
      </c>
      <c r="Y1737" s="21" t="s">
        <v>56</v>
      </c>
      <c r="Z1737" s="21"/>
      <c r="AA1737" s="4" t="s">
        <v>46</v>
      </c>
      <c r="AB1737" s="4" t="s">
        <v>47</v>
      </c>
      <c r="AC1737" s="4" t="s">
        <v>139</v>
      </c>
      <c r="AD1737" s="4" t="s">
        <v>140</v>
      </c>
      <c r="AE1737" s="4" t="s">
        <v>48</v>
      </c>
      <c r="AF1737" s="4" t="s">
        <v>41</v>
      </c>
      <c r="AG1737" s="4" t="s">
        <v>3588</v>
      </c>
    </row>
    <row r="1738" spans="1:33" ht="16.5" customHeight="1" x14ac:dyDescent="0.2">
      <c r="A1738" s="2" t="s">
        <v>31</v>
      </c>
      <c r="B1738" s="19" t="s">
        <v>50</v>
      </c>
      <c r="C1738" s="19"/>
      <c r="D1738" s="19"/>
      <c r="E1738" s="20" t="s">
        <v>33</v>
      </c>
      <c r="F1738" s="20"/>
      <c r="G1738" s="21" t="s">
        <v>3583</v>
      </c>
      <c r="H1738" s="21"/>
      <c r="I1738" s="21"/>
      <c r="J1738" s="3" t="s">
        <v>35</v>
      </c>
      <c r="K1738" s="4" t="s">
        <v>61</v>
      </c>
      <c r="L1738" s="4" t="s">
        <v>37</v>
      </c>
      <c r="N1738" s="21" t="s">
        <v>3720</v>
      </c>
      <c r="O1738" s="21"/>
      <c r="P1738" s="21" t="s">
        <v>3721</v>
      </c>
      <c r="Q1738" s="21"/>
      <c r="R1738" s="21"/>
      <c r="S1738" s="3" t="s">
        <v>40</v>
      </c>
      <c r="T1738" s="21" t="s">
        <v>41</v>
      </c>
      <c r="U1738" s="21"/>
      <c r="V1738" s="4" t="s">
        <v>42</v>
      </c>
      <c r="W1738" s="4" t="s">
        <v>307</v>
      </c>
      <c r="X1738" s="4" t="s">
        <v>304</v>
      </c>
      <c r="Y1738" s="21" t="s">
        <v>65</v>
      </c>
      <c r="Z1738" s="21"/>
      <c r="AA1738" s="4" t="s">
        <v>46</v>
      </c>
      <c r="AB1738" s="4" t="s">
        <v>47</v>
      </c>
      <c r="AC1738" s="4" t="s">
        <v>57</v>
      </c>
      <c r="AD1738" s="4" t="s">
        <v>58</v>
      </c>
      <c r="AE1738" s="4" t="s">
        <v>48</v>
      </c>
      <c r="AF1738" s="4" t="s">
        <v>41</v>
      </c>
      <c r="AG1738" s="4" t="s">
        <v>3588</v>
      </c>
    </row>
    <row r="1739" spans="1:33" ht="16.5" customHeight="1" x14ac:dyDescent="0.2">
      <c r="A1739" s="2" t="s">
        <v>31</v>
      </c>
      <c r="B1739" s="19" t="s">
        <v>50</v>
      </c>
      <c r="C1739" s="19"/>
      <c r="D1739" s="19"/>
      <c r="E1739" s="20" t="s">
        <v>33</v>
      </c>
      <c r="F1739" s="20"/>
      <c r="G1739" s="21" t="s">
        <v>3583</v>
      </c>
      <c r="H1739" s="21"/>
      <c r="I1739" s="21"/>
      <c r="J1739" s="3" t="s">
        <v>35</v>
      </c>
      <c r="K1739" s="4" t="s">
        <v>61</v>
      </c>
      <c r="L1739" s="4" t="s">
        <v>37</v>
      </c>
      <c r="N1739" s="21" t="s">
        <v>3720</v>
      </c>
      <c r="O1739" s="21"/>
      <c r="P1739" s="21" t="s">
        <v>3721</v>
      </c>
      <c r="Q1739" s="21"/>
      <c r="R1739" s="21"/>
      <c r="S1739" s="3" t="s">
        <v>40</v>
      </c>
      <c r="T1739" s="21" t="s">
        <v>41</v>
      </c>
      <c r="U1739" s="21"/>
      <c r="V1739" s="4" t="s">
        <v>59</v>
      </c>
      <c r="W1739" s="4" t="s">
        <v>307</v>
      </c>
      <c r="X1739" s="4" t="s">
        <v>477</v>
      </c>
      <c r="Y1739" s="21" t="s">
        <v>65</v>
      </c>
      <c r="Z1739" s="21"/>
      <c r="AA1739" s="4" t="s">
        <v>46</v>
      </c>
      <c r="AB1739" s="4" t="s">
        <v>47</v>
      </c>
      <c r="AC1739" s="4" t="s">
        <v>57</v>
      </c>
      <c r="AD1739" s="4" t="s">
        <v>58</v>
      </c>
      <c r="AE1739" s="4" t="s">
        <v>48</v>
      </c>
      <c r="AF1739" s="4" t="s">
        <v>41</v>
      </c>
      <c r="AG1739" s="4" t="s">
        <v>3588</v>
      </c>
    </row>
    <row r="1740" spans="1:33" ht="16.5" customHeight="1" x14ac:dyDescent="0.2">
      <c r="A1740" s="2" t="s">
        <v>31</v>
      </c>
      <c r="B1740" s="19" t="s">
        <v>50</v>
      </c>
      <c r="C1740" s="19"/>
      <c r="D1740" s="19"/>
      <c r="E1740" s="20" t="s">
        <v>33</v>
      </c>
      <c r="F1740" s="20"/>
      <c r="G1740" s="21" t="s">
        <v>3583</v>
      </c>
      <c r="H1740" s="21"/>
      <c r="I1740" s="21"/>
      <c r="J1740" s="3" t="s">
        <v>35</v>
      </c>
      <c r="K1740" s="4" t="s">
        <v>1094</v>
      </c>
      <c r="L1740" s="4" t="s">
        <v>37</v>
      </c>
      <c r="N1740" s="21" t="s">
        <v>3722</v>
      </c>
      <c r="O1740" s="21"/>
      <c r="P1740" s="21" t="s">
        <v>3723</v>
      </c>
      <c r="Q1740" s="21"/>
      <c r="R1740" s="21"/>
      <c r="S1740" s="3" t="s">
        <v>40</v>
      </c>
      <c r="T1740" s="21" t="s">
        <v>41</v>
      </c>
      <c r="U1740" s="21"/>
      <c r="V1740" s="4" t="s">
        <v>42</v>
      </c>
      <c r="W1740" s="4" t="s">
        <v>476</v>
      </c>
      <c r="X1740" s="4" t="s">
        <v>477</v>
      </c>
      <c r="Y1740" s="21" t="s">
        <v>138</v>
      </c>
      <c r="Z1740" s="21"/>
      <c r="AA1740" s="4" t="s">
        <v>46</v>
      </c>
      <c r="AB1740" s="4" t="s">
        <v>47</v>
      </c>
      <c r="AC1740" s="4" t="s">
        <v>139</v>
      </c>
      <c r="AD1740" s="4" t="s">
        <v>140</v>
      </c>
      <c r="AE1740" s="4" t="s">
        <v>48</v>
      </c>
      <c r="AF1740" s="4" t="s">
        <v>41</v>
      </c>
      <c r="AG1740" s="4" t="s">
        <v>3588</v>
      </c>
    </row>
    <row r="1741" spans="1:33" ht="16.5" customHeight="1" x14ac:dyDescent="0.2">
      <c r="A1741" s="2" t="s">
        <v>31</v>
      </c>
      <c r="B1741" s="19" t="s">
        <v>50</v>
      </c>
      <c r="C1741" s="19"/>
      <c r="D1741" s="19"/>
      <c r="E1741" s="20" t="s">
        <v>33</v>
      </c>
      <c r="F1741" s="20"/>
      <c r="G1741" s="21" t="s">
        <v>3583</v>
      </c>
      <c r="H1741" s="21"/>
      <c r="I1741" s="21"/>
      <c r="J1741" s="3" t="s">
        <v>35</v>
      </c>
      <c r="K1741" s="4" t="s">
        <v>146</v>
      </c>
      <c r="L1741" s="4" t="s">
        <v>37</v>
      </c>
      <c r="N1741" s="21" t="s">
        <v>3724</v>
      </c>
      <c r="O1741" s="21"/>
      <c r="P1741" s="21" t="s">
        <v>3725</v>
      </c>
      <c r="Q1741" s="21"/>
      <c r="R1741" s="21"/>
      <c r="S1741" s="3" t="s">
        <v>40</v>
      </c>
      <c r="T1741" s="21" t="s">
        <v>41</v>
      </c>
      <c r="U1741" s="21"/>
      <c r="V1741" s="4" t="s">
        <v>42</v>
      </c>
      <c r="W1741" s="4" t="s">
        <v>43</v>
      </c>
      <c r="X1741" s="4" t="s">
        <v>44</v>
      </c>
      <c r="Y1741" s="21" t="s">
        <v>138</v>
      </c>
      <c r="Z1741" s="21"/>
      <c r="AA1741" s="4" t="s">
        <v>46</v>
      </c>
      <c r="AB1741" s="4" t="s">
        <v>47</v>
      </c>
      <c r="AC1741" s="4" t="s">
        <v>139</v>
      </c>
      <c r="AD1741" s="4" t="s">
        <v>140</v>
      </c>
      <c r="AE1741" s="4" t="s">
        <v>48</v>
      </c>
      <c r="AF1741" s="4" t="s">
        <v>41</v>
      </c>
      <c r="AG1741" s="4" t="s">
        <v>3588</v>
      </c>
    </row>
    <row r="1742" spans="1:33" ht="16.5" customHeight="1" x14ac:dyDescent="0.2">
      <c r="A1742" s="2" t="s">
        <v>31</v>
      </c>
      <c r="B1742" s="19" t="s">
        <v>50</v>
      </c>
      <c r="C1742" s="19"/>
      <c r="D1742" s="19"/>
      <c r="E1742" s="20" t="s">
        <v>33</v>
      </c>
      <c r="F1742" s="20"/>
      <c r="G1742" s="21" t="s">
        <v>3583</v>
      </c>
      <c r="H1742" s="21"/>
      <c r="I1742" s="21"/>
      <c r="J1742" s="3" t="s">
        <v>35</v>
      </c>
      <c r="K1742" s="4" t="s">
        <v>74</v>
      </c>
      <c r="L1742" s="4" t="s">
        <v>68</v>
      </c>
      <c r="N1742" s="21" t="s">
        <v>3726</v>
      </c>
      <c r="O1742" s="21"/>
      <c r="P1742" s="21" t="s">
        <v>3727</v>
      </c>
      <c r="Q1742" s="21"/>
      <c r="R1742" s="21"/>
      <c r="S1742" s="3" t="s">
        <v>40</v>
      </c>
      <c r="T1742" s="21" t="s">
        <v>41</v>
      </c>
      <c r="U1742" s="21"/>
      <c r="V1742" s="4" t="s">
        <v>42</v>
      </c>
      <c r="W1742" s="4" t="s">
        <v>43</v>
      </c>
      <c r="X1742" s="4" t="s">
        <v>44</v>
      </c>
      <c r="Y1742" s="21" t="s">
        <v>65</v>
      </c>
      <c r="Z1742" s="21"/>
      <c r="AA1742" s="4" t="s">
        <v>46</v>
      </c>
      <c r="AB1742" s="4" t="s">
        <v>47</v>
      </c>
      <c r="AC1742" s="4" t="s">
        <v>57</v>
      </c>
      <c r="AD1742" s="4" t="s">
        <v>98</v>
      </c>
      <c r="AE1742" s="4" t="s">
        <v>48</v>
      </c>
      <c r="AF1742" s="4" t="s">
        <v>41</v>
      </c>
      <c r="AG1742" s="4" t="s">
        <v>3588</v>
      </c>
    </row>
    <row r="1743" spans="1:33" ht="16.5" customHeight="1" x14ac:dyDescent="0.2">
      <c r="A1743" s="2" t="s">
        <v>31</v>
      </c>
      <c r="B1743" s="19" t="s">
        <v>50</v>
      </c>
      <c r="C1743" s="19"/>
      <c r="D1743" s="19"/>
      <c r="E1743" s="20" t="s">
        <v>33</v>
      </c>
      <c r="F1743" s="20"/>
      <c r="G1743" s="21" t="s">
        <v>3583</v>
      </c>
      <c r="H1743" s="21"/>
      <c r="I1743" s="21"/>
      <c r="J1743" s="3" t="s">
        <v>35</v>
      </c>
      <c r="K1743" s="4" t="s">
        <v>152</v>
      </c>
      <c r="L1743" s="4" t="s">
        <v>37</v>
      </c>
      <c r="N1743" s="21" t="s">
        <v>3728</v>
      </c>
      <c r="O1743" s="21"/>
      <c r="P1743" s="21" t="s">
        <v>3729</v>
      </c>
      <c r="Q1743" s="21"/>
      <c r="R1743" s="21"/>
      <c r="S1743" s="3" t="s">
        <v>40</v>
      </c>
      <c r="T1743" s="21" t="s">
        <v>41</v>
      </c>
      <c r="U1743" s="21"/>
      <c r="V1743" s="4" t="s">
        <v>42</v>
      </c>
      <c r="W1743" s="4" t="s">
        <v>43</v>
      </c>
      <c r="X1743" s="4" t="s">
        <v>44</v>
      </c>
      <c r="Y1743" s="21" t="s">
        <v>56</v>
      </c>
      <c r="Z1743" s="21"/>
      <c r="AA1743" s="4" t="s">
        <v>46</v>
      </c>
      <c r="AB1743" s="4" t="s">
        <v>47</v>
      </c>
      <c r="AC1743" s="4" t="s">
        <v>139</v>
      </c>
      <c r="AD1743" s="4" t="s">
        <v>140</v>
      </c>
      <c r="AE1743" s="4" t="s">
        <v>48</v>
      </c>
      <c r="AF1743" s="4" t="s">
        <v>41</v>
      </c>
      <c r="AG1743" s="4" t="s">
        <v>3588</v>
      </c>
    </row>
    <row r="1744" spans="1:33" ht="16.5" customHeight="1" x14ac:dyDescent="0.2">
      <c r="A1744" s="2" t="s">
        <v>31</v>
      </c>
      <c r="B1744" s="19" t="s">
        <v>50</v>
      </c>
      <c r="C1744" s="19"/>
      <c r="D1744" s="19"/>
      <c r="E1744" s="20" t="s">
        <v>33</v>
      </c>
      <c r="F1744" s="20"/>
      <c r="G1744" s="21" t="s">
        <v>3583</v>
      </c>
      <c r="H1744" s="21"/>
      <c r="I1744" s="21"/>
      <c r="J1744" s="3" t="s">
        <v>35</v>
      </c>
      <c r="K1744" s="4" t="s">
        <v>61</v>
      </c>
      <c r="L1744" s="4" t="s">
        <v>37</v>
      </c>
      <c r="N1744" s="21" t="s">
        <v>3730</v>
      </c>
      <c r="O1744" s="21"/>
      <c r="P1744" s="21" t="s">
        <v>3731</v>
      </c>
      <c r="Q1744" s="21"/>
      <c r="R1744" s="21"/>
      <c r="S1744" s="3" t="s">
        <v>40</v>
      </c>
      <c r="T1744" s="21" t="s">
        <v>41</v>
      </c>
      <c r="U1744" s="21"/>
      <c r="V1744" s="4" t="s">
        <v>42</v>
      </c>
      <c r="W1744" s="4" t="s">
        <v>330</v>
      </c>
      <c r="X1744" s="4" t="s">
        <v>320</v>
      </c>
      <c r="Y1744" s="21" t="s">
        <v>65</v>
      </c>
      <c r="Z1744" s="21"/>
      <c r="AA1744" s="4" t="s">
        <v>46</v>
      </c>
      <c r="AB1744" s="4" t="s">
        <v>47</v>
      </c>
      <c r="AC1744" s="4" t="s">
        <v>57</v>
      </c>
      <c r="AD1744" s="4" t="s">
        <v>58</v>
      </c>
      <c r="AE1744" s="4" t="s">
        <v>48</v>
      </c>
      <c r="AF1744" s="4" t="s">
        <v>41</v>
      </c>
      <c r="AG1744" s="4" t="s">
        <v>3588</v>
      </c>
    </row>
    <row r="1745" spans="1:33" ht="16.5" customHeight="1" x14ac:dyDescent="0.2">
      <c r="A1745" s="2" t="s">
        <v>31</v>
      </c>
      <c r="B1745" s="19" t="s">
        <v>50</v>
      </c>
      <c r="C1745" s="19"/>
      <c r="D1745" s="19"/>
      <c r="E1745" s="20" t="s">
        <v>33</v>
      </c>
      <c r="F1745" s="20"/>
      <c r="G1745" s="21" t="s">
        <v>3583</v>
      </c>
      <c r="H1745" s="21"/>
      <c r="I1745" s="21"/>
      <c r="J1745" s="3" t="s">
        <v>35</v>
      </c>
      <c r="K1745" s="4" t="s">
        <v>61</v>
      </c>
      <c r="L1745" s="4" t="s">
        <v>37</v>
      </c>
      <c r="N1745" s="21" t="s">
        <v>3732</v>
      </c>
      <c r="O1745" s="21"/>
      <c r="P1745" s="21" t="s">
        <v>3733</v>
      </c>
      <c r="Q1745" s="21"/>
      <c r="R1745" s="21"/>
      <c r="S1745" s="3" t="s">
        <v>40</v>
      </c>
      <c r="T1745" s="21" t="s">
        <v>41</v>
      </c>
      <c r="U1745" s="21"/>
      <c r="V1745" s="4" t="s">
        <v>42</v>
      </c>
      <c r="W1745" s="4" t="s">
        <v>330</v>
      </c>
      <c r="X1745" s="4" t="s">
        <v>320</v>
      </c>
      <c r="Y1745" s="21" t="s">
        <v>65</v>
      </c>
      <c r="Z1745" s="21"/>
      <c r="AA1745" s="4" t="s">
        <v>46</v>
      </c>
      <c r="AB1745" s="4" t="s">
        <v>47</v>
      </c>
      <c r="AC1745" s="4" t="s">
        <v>57</v>
      </c>
      <c r="AD1745" s="4" t="s">
        <v>58</v>
      </c>
      <c r="AE1745" s="4" t="s">
        <v>48</v>
      </c>
      <c r="AF1745" s="4" t="s">
        <v>41</v>
      </c>
      <c r="AG1745" s="4" t="s">
        <v>3588</v>
      </c>
    </row>
    <row r="1746" spans="1:33" ht="16.5" customHeight="1" x14ac:dyDescent="0.2">
      <c r="A1746" s="2" t="s">
        <v>31</v>
      </c>
      <c r="B1746" s="19" t="s">
        <v>50</v>
      </c>
      <c r="C1746" s="19"/>
      <c r="D1746" s="19"/>
      <c r="E1746" s="20" t="s">
        <v>33</v>
      </c>
      <c r="F1746" s="20"/>
      <c r="G1746" s="21" t="s">
        <v>3583</v>
      </c>
      <c r="H1746" s="21"/>
      <c r="I1746" s="21"/>
      <c r="J1746" s="3" t="s">
        <v>35</v>
      </c>
      <c r="K1746" s="4" t="s">
        <v>152</v>
      </c>
      <c r="L1746" s="4" t="s">
        <v>37</v>
      </c>
      <c r="N1746" s="21" t="s">
        <v>3734</v>
      </c>
      <c r="O1746" s="21"/>
      <c r="P1746" s="21" t="s">
        <v>3735</v>
      </c>
      <c r="Q1746" s="21"/>
      <c r="R1746" s="21"/>
      <c r="S1746" s="3" t="s">
        <v>40</v>
      </c>
      <c r="T1746" s="21" t="s">
        <v>41</v>
      </c>
      <c r="U1746" s="21"/>
      <c r="V1746" s="4" t="s">
        <v>42</v>
      </c>
      <c r="W1746" s="4" t="s">
        <v>330</v>
      </c>
      <c r="X1746" s="4" t="s">
        <v>320</v>
      </c>
      <c r="Y1746" s="21" t="s">
        <v>56</v>
      </c>
      <c r="Z1746" s="21"/>
      <c r="AA1746" s="4" t="s">
        <v>46</v>
      </c>
      <c r="AB1746" s="4" t="s">
        <v>47</v>
      </c>
      <c r="AC1746" s="4" t="s">
        <v>139</v>
      </c>
      <c r="AD1746" s="4" t="s">
        <v>140</v>
      </c>
      <c r="AE1746" s="4" t="s">
        <v>48</v>
      </c>
      <c r="AF1746" s="4" t="s">
        <v>41</v>
      </c>
      <c r="AG1746" s="4" t="s">
        <v>3588</v>
      </c>
    </row>
    <row r="1747" spans="1:33" ht="16.5" customHeight="1" x14ac:dyDescent="0.2">
      <c r="A1747" s="2" t="s">
        <v>31</v>
      </c>
      <c r="B1747" s="19" t="s">
        <v>50</v>
      </c>
      <c r="C1747" s="19"/>
      <c r="D1747" s="19"/>
      <c r="E1747" s="20" t="s">
        <v>33</v>
      </c>
      <c r="F1747" s="20"/>
      <c r="G1747" s="21" t="s">
        <v>3583</v>
      </c>
      <c r="H1747" s="21"/>
      <c r="I1747" s="21"/>
      <c r="J1747" s="3" t="s">
        <v>35</v>
      </c>
      <c r="K1747" s="4" t="s">
        <v>146</v>
      </c>
      <c r="L1747" s="4" t="s">
        <v>68</v>
      </c>
      <c r="N1747" s="21" t="s">
        <v>3736</v>
      </c>
      <c r="O1747" s="21"/>
      <c r="P1747" s="21" t="s">
        <v>3737</v>
      </c>
      <c r="Q1747" s="21"/>
      <c r="R1747" s="21"/>
      <c r="S1747" s="3" t="s">
        <v>40</v>
      </c>
      <c r="T1747" s="21" t="s">
        <v>41</v>
      </c>
      <c r="U1747" s="21"/>
      <c r="V1747" s="4" t="s">
        <v>42</v>
      </c>
      <c r="W1747" s="4" t="s">
        <v>1008</v>
      </c>
      <c r="X1747" s="4" t="s">
        <v>1009</v>
      </c>
      <c r="Y1747" s="21" t="s">
        <v>138</v>
      </c>
      <c r="Z1747" s="21"/>
      <c r="AA1747" s="4" t="s">
        <v>46</v>
      </c>
      <c r="AB1747" s="4" t="s">
        <v>47</v>
      </c>
      <c r="AC1747" s="4" t="s">
        <v>139</v>
      </c>
      <c r="AD1747" s="4" t="s">
        <v>151</v>
      </c>
      <c r="AE1747" s="4" t="s">
        <v>48</v>
      </c>
      <c r="AF1747" s="4" t="s">
        <v>41</v>
      </c>
      <c r="AG1747" s="4" t="s">
        <v>3588</v>
      </c>
    </row>
    <row r="1748" spans="1:33" ht="16.5" customHeight="1" x14ac:dyDescent="0.2">
      <c r="A1748" s="2" t="s">
        <v>31</v>
      </c>
      <c r="B1748" s="19" t="s">
        <v>50</v>
      </c>
      <c r="C1748" s="19"/>
      <c r="D1748" s="19"/>
      <c r="E1748" s="20" t="s">
        <v>33</v>
      </c>
      <c r="F1748" s="20"/>
      <c r="G1748" s="21" t="s">
        <v>3583</v>
      </c>
      <c r="H1748" s="21"/>
      <c r="I1748" s="21"/>
      <c r="J1748" s="3" t="s">
        <v>35</v>
      </c>
      <c r="K1748" s="4" t="s">
        <v>82</v>
      </c>
      <c r="L1748" s="4" t="s">
        <v>37</v>
      </c>
      <c r="N1748" s="21" t="s">
        <v>3738</v>
      </c>
      <c r="O1748" s="21"/>
      <c r="P1748" s="21" t="s">
        <v>3739</v>
      </c>
      <c r="Q1748" s="21"/>
      <c r="R1748" s="21"/>
      <c r="S1748" s="3" t="s">
        <v>40</v>
      </c>
      <c r="T1748" s="21" t="s">
        <v>41</v>
      </c>
      <c r="U1748" s="21"/>
      <c r="V1748" s="4" t="s">
        <v>42</v>
      </c>
      <c r="W1748" s="4" t="s">
        <v>234</v>
      </c>
      <c r="X1748" s="4" t="s">
        <v>235</v>
      </c>
      <c r="Y1748" s="21" t="s">
        <v>56</v>
      </c>
      <c r="Z1748" s="21"/>
      <c r="AA1748" s="4" t="s">
        <v>46</v>
      </c>
      <c r="AB1748" s="4" t="s">
        <v>47</v>
      </c>
      <c r="AC1748" s="4" t="s">
        <v>139</v>
      </c>
      <c r="AD1748" s="4" t="s">
        <v>140</v>
      </c>
      <c r="AE1748" s="4" t="s">
        <v>48</v>
      </c>
      <c r="AF1748" s="4" t="s">
        <v>41</v>
      </c>
      <c r="AG1748" s="4" t="s">
        <v>3588</v>
      </c>
    </row>
    <row r="1749" spans="1:33" ht="16.5" customHeight="1" x14ac:dyDescent="0.2">
      <c r="A1749" s="2" t="s">
        <v>31</v>
      </c>
      <c r="B1749" s="19" t="s">
        <v>50</v>
      </c>
      <c r="C1749" s="19"/>
      <c r="D1749" s="19"/>
      <c r="E1749" s="20" t="s">
        <v>33</v>
      </c>
      <c r="F1749" s="20"/>
      <c r="G1749" s="21" t="s">
        <v>3583</v>
      </c>
      <c r="H1749" s="21"/>
      <c r="I1749" s="21"/>
      <c r="J1749" s="3" t="s">
        <v>35</v>
      </c>
      <c r="K1749" s="4" t="s">
        <v>61</v>
      </c>
      <c r="L1749" s="4" t="s">
        <v>37</v>
      </c>
      <c r="N1749" s="21" t="s">
        <v>3740</v>
      </c>
      <c r="O1749" s="21"/>
      <c r="P1749" s="21" t="s">
        <v>3741</v>
      </c>
      <c r="Q1749" s="21"/>
      <c r="R1749" s="21"/>
      <c r="S1749" s="3" t="s">
        <v>40</v>
      </c>
      <c r="T1749" s="21" t="s">
        <v>41</v>
      </c>
      <c r="U1749" s="21"/>
      <c r="V1749" s="4" t="s">
        <v>42</v>
      </c>
      <c r="W1749" s="4" t="s">
        <v>1008</v>
      </c>
      <c r="X1749" s="4" t="s">
        <v>1009</v>
      </c>
      <c r="Y1749" s="21" t="s">
        <v>65</v>
      </c>
      <c r="Z1749" s="21"/>
      <c r="AA1749" s="4" t="s">
        <v>46</v>
      </c>
      <c r="AB1749" s="4" t="s">
        <v>47</v>
      </c>
      <c r="AC1749" s="4" t="s">
        <v>57</v>
      </c>
      <c r="AD1749" s="4" t="s">
        <v>58</v>
      </c>
      <c r="AE1749" s="4" t="s">
        <v>48</v>
      </c>
      <c r="AF1749" s="4" t="s">
        <v>41</v>
      </c>
      <c r="AG1749" s="4" t="s">
        <v>3588</v>
      </c>
    </row>
    <row r="1750" spans="1:33" ht="16.5" customHeight="1" x14ac:dyDescent="0.2">
      <c r="A1750" s="2" t="s">
        <v>31</v>
      </c>
      <c r="B1750" s="19" t="s">
        <v>50</v>
      </c>
      <c r="C1750" s="19"/>
      <c r="D1750" s="19"/>
      <c r="E1750" s="20" t="s">
        <v>33</v>
      </c>
      <c r="F1750" s="20"/>
      <c r="G1750" s="21" t="s">
        <v>3583</v>
      </c>
      <c r="H1750" s="21"/>
      <c r="I1750" s="21"/>
      <c r="J1750" s="3" t="s">
        <v>35</v>
      </c>
      <c r="K1750" s="4" t="s">
        <v>152</v>
      </c>
      <c r="L1750" s="4" t="s">
        <v>37</v>
      </c>
      <c r="N1750" s="21" t="s">
        <v>3742</v>
      </c>
      <c r="O1750" s="21"/>
      <c r="P1750" s="21" t="s">
        <v>3743</v>
      </c>
      <c r="Q1750" s="21"/>
      <c r="R1750" s="21"/>
      <c r="S1750" s="3" t="s">
        <v>40</v>
      </c>
      <c r="T1750" s="21" t="s">
        <v>41</v>
      </c>
      <c r="U1750" s="21"/>
      <c r="V1750" s="4" t="s">
        <v>42</v>
      </c>
      <c r="W1750" s="4" t="s">
        <v>149</v>
      </c>
      <c r="X1750" s="4" t="s">
        <v>150</v>
      </c>
      <c r="Y1750" s="21" t="s">
        <v>56</v>
      </c>
      <c r="Z1750" s="21"/>
      <c r="AA1750" s="4" t="s">
        <v>46</v>
      </c>
      <c r="AB1750" s="4" t="s">
        <v>47</v>
      </c>
      <c r="AC1750" s="4" t="s">
        <v>139</v>
      </c>
      <c r="AD1750" s="4" t="s">
        <v>140</v>
      </c>
      <c r="AE1750" s="4" t="s">
        <v>48</v>
      </c>
      <c r="AF1750" s="4" t="s">
        <v>41</v>
      </c>
      <c r="AG1750" s="4" t="s">
        <v>3588</v>
      </c>
    </row>
    <row r="1751" spans="1:33" ht="16.5" customHeight="1" x14ac:dyDescent="0.2">
      <c r="A1751" s="2" t="s">
        <v>31</v>
      </c>
      <c r="B1751" s="19" t="s">
        <v>50</v>
      </c>
      <c r="C1751" s="19"/>
      <c r="D1751" s="19"/>
      <c r="E1751" s="20" t="s">
        <v>33</v>
      </c>
      <c r="F1751" s="20"/>
      <c r="G1751" s="21" t="s">
        <v>3583</v>
      </c>
      <c r="H1751" s="21"/>
      <c r="I1751" s="21"/>
      <c r="J1751" s="3" t="s">
        <v>35</v>
      </c>
      <c r="K1751" s="4" t="s">
        <v>152</v>
      </c>
      <c r="L1751" s="4" t="s">
        <v>278</v>
      </c>
      <c r="N1751" s="21" t="s">
        <v>3744</v>
      </c>
      <c r="O1751" s="21"/>
      <c r="P1751" s="21" t="s">
        <v>3745</v>
      </c>
      <c r="Q1751" s="21"/>
      <c r="R1751" s="21"/>
      <c r="S1751" s="3" t="s">
        <v>40</v>
      </c>
      <c r="T1751" s="21" t="s">
        <v>41</v>
      </c>
      <c r="U1751" s="21"/>
      <c r="V1751" s="4" t="s">
        <v>42</v>
      </c>
      <c r="W1751" s="4" t="s">
        <v>573</v>
      </c>
      <c r="X1751" s="4" t="s">
        <v>574</v>
      </c>
      <c r="Y1751" s="21" t="s">
        <v>56</v>
      </c>
      <c r="Z1751" s="21"/>
      <c r="AA1751" s="4" t="s">
        <v>46</v>
      </c>
      <c r="AB1751" s="4" t="s">
        <v>47</v>
      </c>
      <c r="AC1751" s="4" t="s">
        <v>139</v>
      </c>
      <c r="AD1751" s="4" t="s">
        <v>69</v>
      </c>
      <c r="AE1751" s="4" t="s">
        <v>48</v>
      </c>
      <c r="AF1751" s="4" t="s">
        <v>41</v>
      </c>
      <c r="AG1751" s="4" t="s">
        <v>3588</v>
      </c>
    </row>
    <row r="1752" spans="1:33" ht="16.5" customHeight="1" x14ac:dyDescent="0.2">
      <c r="A1752" s="2" t="s">
        <v>31</v>
      </c>
      <c r="B1752" s="19" t="s">
        <v>50</v>
      </c>
      <c r="C1752" s="19"/>
      <c r="D1752" s="19"/>
      <c r="E1752" s="20" t="s">
        <v>33</v>
      </c>
      <c r="F1752" s="20"/>
      <c r="G1752" s="21" t="s">
        <v>3583</v>
      </c>
      <c r="H1752" s="21"/>
      <c r="I1752" s="21"/>
      <c r="J1752" s="3" t="s">
        <v>35</v>
      </c>
      <c r="K1752" s="4" t="s">
        <v>51</v>
      </c>
      <c r="L1752" s="4" t="s">
        <v>68</v>
      </c>
      <c r="N1752" s="21" t="s">
        <v>3746</v>
      </c>
      <c r="O1752" s="21"/>
      <c r="P1752" s="21" t="s">
        <v>3747</v>
      </c>
      <c r="Q1752" s="21"/>
      <c r="R1752" s="21"/>
      <c r="S1752" s="3" t="s">
        <v>40</v>
      </c>
      <c r="T1752" s="21" t="s">
        <v>41</v>
      </c>
      <c r="U1752" s="21"/>
      <c r="V1752" s="4" t="s">
        <v>42</v>
      </c>
      <c r="W1752" s="4" t="s">
        <v>234</v>
      </c>
      <c r="X1752" s="4" t="s">
        <v>235</v>
      </c>
      <c r="Y1752" s="21" t="s">
        <v>56</v>
      </c>
      <c r="Z1752" s="21"/>
      <c r="AA1752" s="4" t="s">
        <v>46</v>
      </c>
      <c r="AB1752" s="4" t="s">
        <v>47</v>
      </c>
      <c r="AC1752" s="4" t="s">
        <v>139</v>
      </c>
      <c r="AD1752" s="4" t="s">
        <v>151</v>
      </c>
      <c r="AE1752" s="4" t="s">
        <v>48</v>
      </c>
      <c r="AF1752" s="4" t="s">
        <v>41</v>
      </c>
      <c r="AG1752" s="4" t="s">
        <v>3588</v>
      </c>
    </row>
    <row r="1753" spans="1:33" ht="16.5" customHeight="1" x14ac:dyDescent="0.2">
      <c r="A1753" s="2" t="s">
        <v>31</v>
      </c>
      <c r="B1753" s="19" t="s">
        <v>50</v>
      </c>
      <c r="C1753" s="19"/>
      <c r="D1753" s="19"/>
      <c r="E1753" s="20" t="s">
        <v>33</v>
      </c>
      <c r="F1753" s="20"/>
      <c r="G1753" s="21" t="s">
        <v>3583</v>
      </c>
      <c r="H1753" s="21"/>
      <c r="I1753" s="21"/>
      <c r="J1753" s="3" t="s">
        <v>35</v>
      </c>
      <c r="K1753" s="4" t="s">
        <v>74</v>
      </c>
      <c r="L1753" s="4" t="s">
        <v>37</v>
      </c>
      <c r="N1753" s="21" t="s">
        <v>3748</v>
      </c>
      <c r="O1753" s="21"/>
      <c r="P1753" s="21" t="s">
        <v>3749</v>
      </c>
      <c r="Q1753" s="21"/>
      <c r="R1753" s="21"/>
      <c r="S1753" s="3" t="s">
        <v>40</v>
      </c>
      <c r="T1753" s="21" t="s">
        <v>41</v>
      </c>
      <c r="U1753" s="21"/>
      <c r="V1753" s="4" t="s">
        <v>42</v>
      </c>
      <c r="W1753" s="4" t="s">
        <v>765</v>
      </c>
      <c r="X1753" s="4" t="s">
        <v>766</v>
      </c>
      <c r="Y1753" s="21" t="s">
        <v>65</v>
      </c>
      <c r="Z1753" s="21"/>
      <c r="AA1753" s="4" t="s">
        <v>46</v>
      </c>
      <c r="AB1753" s="4" t="s">
        <v>47</v>
      </c>
      <c r="AC1753" s="4" t="s">
        <v>57</v>
      </c>
      <c r="AD1753" s="4" t="s">
        <v>58</v>
      </c>
      <c r="AE1753" s="4" t="s">
        <v>48</v>
      </c>
      <c r="AF1753" s="4" t="s">
        <v>41</v>
      </c>
      <c r="AG1753" s="4" t="s">
        <v>3588</v>
      </c>
    </row>
    <row r="1754" spans="1:33" ht="16.5" customHeight="1" x14ac:dyDescent="0.2">
      <c r="A1754" s="2" t="s">
        <v>31</v>
      </c>
      <c r="B1754" s="19" t="s">
        <v>50</v>
      </c>
      <c r="C1754" s="19"/>
      <c r="D1754" s="19"/>
      <c r="E1754" s="20" t="s">
        <v>33</v>
      </c>
      <c r="F1754" s="20"/>
      <c r="G1754" s="21" t="s">
        <v>3583</v>
      </c>
      <c r="H1754" s="21"/>
      <c r="I1754" s="21"/>
      <c r="J1754" s="3" t="s">
        <v>35</v>
      </c>
      <c r="K1754" s="4" t="s">
        <v>99</v>
      </c>
      <c r="L1754" s="4" t="s">
        <v>68</v>
      </c>
      <c r="N1754" s="21" t="s">
        <v>3750</v>
      </c>
      <c r="O1754" s="21"/>
      <c r="P1754" s="21" t="s">
        <v>3751</v>
      </c>
      <c r="Q1754" s="21"/>
      <c r="R1754" s="21"/>
      <c r="S1754" s="3" t="s">
        <v>40</v>
      </c>
      <c r="T1754" s="21" t="s">
        <v>41</v>
      </c>
      <c r="U1754" s="21"/>
      <c r="V1754" s="4" t="s">
        <v>42</v>
      </c>
      <c r="W1754" s="4" t="s">
        <v>234</v>
      </c>
      <c r="X1754" s="4" t="s">
        <v>235</v>
      </c>
      <c r="Y1754" s="21" t="s">
        <v>56</v>
      </c>
      <c r="Z1754" s="21"/>
      <c r="AA1754" s="4" t="s">
        <v>46</v>
      </c>
      <c r="AB1754" s="4" t="s">
        <v>47</v>
      </c>
      <c r="AC1754" s="4" t="s">
        <v>139</v>
      </c>
      <c r="AD1754" s="4" t="s">
        <v>151</v>
      </c>
      <c r="AE1754" s="4" t="s">
        <v>48</v>
      </c>
      <c r="AF1754" s="4" t="s">
        <v>41</v>
      </c>
      <c r="AG1754" s="4" t="s">
        <v>3588</v>
      </c>
    </row>
    <row r="1755" spans="1:33" ht="16.5" customHeight="1" x14ac:dyDescent="0.2">
      <c r="A1755" s="2" t="s">
        <v>31</v>
      </c>
      <c r="B1755" s="19" t="s">
        <v>50</v>
      </c>
      <c r="C1755" s="19"/>
      <c r="D1755" s="19"/>
      <c r="E1755" s="20" t="s">
        <v>33</v>
      </c>
      <c r="F1755" s="20"/>
      <c r="G1755" s="21" t="s">
        <v>3583</v>
      </c>
      <c r="H1755" s="21"/>
      <c r="I1755" s="21"/>
      <c r="J1755" s="3" t="s">
        <v>35</v>
      </c>
      <c r="K1755" s="4" t="s">
        <v>61</v>
      </c>
      <c r="L1755" s="4" t="s">
        <v>37</v>
      </c>
      <c r="N1755" s="21" t="s">
        <v>3752</v>
      </c>
      <c r="O1755" s="21"/>
      <c r="P1755" s="21" t="s">
        <v>3753</v>
      </c>
      <c r="Q1755" s="21"/>
      <c r="R1755" s="21"/>
      <c r="S1755" s="3" t="s">
        <v>40</v>
      </c>
      <c r="T1755" s="21" t="s">
        <v>41</v>
      </c>
      <c r="U1755" s="21"/>
      <c r="V1755" s="4" t="s">
        <v>42</v>
      </c>
      <c r="W1755" s="4" t="s">
        <v>234</v>
      </c>
      <c r="X1755" s="4" t="s">
        <v>235</v>
      </c>
      <c r="Y1755" s="21" t="s">
        <v>65</v>
      </c>
      <c r="Z1755" s="21"/>
      <c r="AA1755" s="4" t="s">
        <v>46</v>
      </c>
      <c r="AB1755" s="4" t="s">
        <v>47</v>
      </c>
      <c r="AC1755" s="4" t="s">
        <v>57</v>
      </c>
      <c r="AD1755" s="4" t="s">
        <v>58</v>
      </c>
      <c r="AE1755" s="4" t="s">
        <v>48</v>
      </c>
      <c r="AF1755" s="4" t="s">
        <v>41</v>
      </c>
      <c r="AG1755" s="4" t="s">
        <v>3588</v>
      </c>
    </row>
    <row r="1756" spans="1:33" ht="16.5" customHeight="1" x14ac:dyDescent="0.2">
      <c r="A1756" s="2" t="s">
        <v>31</v>
      </c>
      <c r="B1756" s="19" t="s">
        <v>50</v>
      </c>
      <c r="C1756" s="19"/>
      <c r="D1756" s="19"/>
      <c r="E1756" s="20" t="s">
        <v>33</v>
      </c>
      <c r="F1756" s="20"/>
      <c r="G1756" s="21" t="s">
        <v>3583</v>
      </c>
      <c r="H1756" s="21"/>
      <c r="I1756" s="21"/>
      <c r="J1756" s="3" t="s">
        <v>35</v>
      </c>
      <c r="K1756" s="4" t="s">
        <v>169</v>
      </c>
      <c r="L1756" s="4" t="s">
        <v>37</v>
      </c>
      <c r="N1756" s="21" t="s">
        <v>3754</v>
      </c>
      <c r="O1756" s="21"/>
      <c r="P1756" s="21" t="s">
        <v>3755</v>
      </c>
      <c r="Q1756" s="21"/>
      <c r="R1756" s="21"/>
      <c r="S1756" s="3" t="s">
        <v>40</v>
      </c>
      <c r="T1756" s="21" t="s">
        <v>41</v>
      </c>
      <c r="U1756" s="21"/>
      <c r="V1756" s="4" t="s">
        <v>42</v>
      </c>
      <c r="W1756" s="4" t="s">
        <v>234</v>
      </c>
      <c r="X1756" s="4" t="s">
        <v>235</v>
      </c>
      <c r="Y1756" s="21" t="s">
        <v>56</v>
      </c>
      <c r="Z1756" s="21"/>
      <c r="AA1756" s="4" t="s">
        <v>46</v>
      </c>
      <c r="AB1756" s="4" t="s">
        <v>47</v>
      </c>
      <c r="AC1756" s="4" t="s">
        <v>139</v>
      </c>
      <c r="AD1756" s="4" t="s">
        <v>140</v>
      </c>
      <c r="AE1756" s="4" t="s">
        <v>48</v>
      </c>
      <c r="AF1756" s="4" t="s">
        <v>41</v>
      </c>
      <c r="AG1756" s="4" t="s">
        <v>3588</v>
      </c>
    </row>
    <row r="1757" spans="1:33" ht="16.5" customHeight="1" x14ac:dyDescent="0.2">
      <c r="A1757" s="2" t="s">
        <v>31</v>
      </c>
      <c r="B1757" s="19" t="s">
        <v>50</v>
      </c>
      <c r="C1757" s="19"/>
      <c r="D1757" s="19"/>
      <c r="E1757" s="20" t="s">
        <v>33</v>
      </c>
      <c r="F1757" s="20"/>
      <c r="G1757" s="21" t="s">
        <v>3583</v>
      </c>
      <c r="H1757" s="21"/>
      <c r="I1757" s="21"/>
      <c r="J1757" s="3" t="s">
        <v>35</v>
      </c>
      <c r="K1757" s="4" t="s">
        <v>82</v>
      </c>
      <c r="L1757" s="4" t="s">
        <v>37</v>
      </c>
      <c r="N1757" s="21" t="s">
        <v>3756</v>
      </c>
      <c r="O1757" s="21"/>
      <c r="P1757" s="21" t="s">
        <v>3757</v>
      </c>
      <c r="Q1757" s="21"/>
      <c r="R1757" s="21"/>
      <c r="S1757" s="3" t="s">
        <v>40</v>
      </c>
      <c r="T1757" s="21" t="s">
        <v>41</v>
      </c>
      <c r="U1757" s="21"/>
      <c r="V1757" s="4" t="s">
        <v>42</v>
      </c>
      <c r="W1757" s="4" t="s">
        <v>350</v>
      </c>
      <c r="X1757" s="4" t="s">
        <v>339</v>
      </c>
      <c r="Y1757" s="21" t="s">
        <v>56</v>
      </c>
      <c r="Z1757" s="21"/>
      <c r="AA1757" s="4" t="s">
        <v>46</v>
      </c>
      <c r="AB1757" s="4" t="s">
        <v>47</v>
      </c>
      <c r="AC1757" s="4" t="s">
        <v>139</v>
      </c>
      <c r="AD1757" s="4" t="s">
        <v>140</v>
      </c>
      <c r="AE1757" s="4" t="s">
        <v>48</v>
      </c>
      <c r="AF1757" s="4" t="s">
        <v>41</v>
      </c>
      <c r="AG1757" s="4" t="s">
        <v>3588</v>
      </c>
    </row>
    <row r="1758" spans="1:33" ht="16.5" customHeight="1" x14ac:dyDescent="0.2">
      <c r="A1758" s="2" t="s">
        <v>31</v>
      </c>
      <c r="B1758" s="19" t="s">
        <v>50</v>
      </c>
      <c r="C1758" s="19"/>
      <c r="D1758" s="19"/>
      <c r="E1758" s="20" t="s">
        <v>33</v>
      </c>
      <c r="F1758" s="20"/>
      <c r="G1758" s="21" t="s">
        <v>3583</v>
      </c>
      <c r="H1758" s="21"/>
      <c r="I1758" s="21"/>
      <c r="J1758" s="3" t="s">
        <v>35</v>
      </c>
      <c r="K1758" s="4" t="s">
        <v>169</v>
      </c>
      <c r="L1758" s="4" t="s">
        <v>179</v>
      </c>
      <c r="N1758" s="21" t="s">
        <v>3758</v>
      </c>
      <c r="O1758" s="21"/>
      <c r="P1758" s="21" t="s">
        <v>3759</v>
      </c>
      <c r="Q1758" s="21"/>
      <c r="R1758" s="21"/>
      <c r="S1758" s="3" t="s">
        <v>40</v>
      </c>
      <c r="T1758" s="21" t="s">
        <v>41</v>
      </c>
      <c r="U1758" s="21"/>
      <c r="V1758" s="4" t="s">
        <v>130</v>
      </c>
      <c r="W1758" s="4" t="s">
        <v>77</v>
      </c>
      <c r="X1758" s="4" t="s">
        <v>86</v>
      </c>
      <c r="Y1758" s="21" t="s">
        <v>56</v>
      </c>
      <c r="Z1758" s="21"/>
      <c r="AA1758" s="4" t="s">
        <v>46</v>
      </c>
      <c r="AB1758" s="4" t="s">
        <v>47</v>
      </c>
      <c r="AC1758" s="4" t="s">
        <v>81</v>
      </c>
      <c r="AD1758" s="4" t="s">
        <v>41</v>
      </c>
      <c r="AE1758" s="4" t="s">
        <v>48</v>
      </c>
      <c r="AF1758" s="4" t="s">
        <v>41</v>
      </c>
      <c r="AG1758" s="4" t="s">
        <v>3588</v>
      </c>
    </row>
    <row r="1759" spans="1:33" ht="16.5" customHeight="1" x14ac:dyDescent="0.2">
      <c r="A1759" s="2" t="s">
        <v>31</v>
      </c>
      <c r="B1759" s="19" t="s">
        <v>50</v>
      </c>
      <c r="C1759" s="19"/>
      <c r="D1759" s="19"/>
      <c r="E1759" s="20" t="s">
        <v>33</v>
      </c>
      <c r="F1759" s="20"/>
      <c r="G1759" s="21" t="s">
        <v>3583</v>
      </c>
      <c r="H1759" s="21"/>
      <c r="I1759" s="21"/>
      <c r="J1759" s="3" t="s">
        <v>35</v>
      </c>
      <c r="K1759" s="4" t="s">
        <v>314</v>
      </c>
      <c r="L1759" s="4" t="s">
        <v>68</v>
      </c>
      <c r="N1759" s="21" t="s">
        <v>3760</v>
      </c>
      <c r="O1759" s="21"/>
      <c r="P1759" s="21" t="s">
        <v>3761</v>
      </c>
      <c r="Q1759" s="21"/>
      <c r="R1759" s="21"/>
      <c r="S1759" s="3" t="s">
        <v>40</v>
      </c>
      <c r="T1759" s="21" t="s">
        <v>41</v>
      </c>
      <c r="U1759" s="21"/>
      <c r="V1759" s="4" t="s">
        <v>42</v>
      </c>
      <c r="W1759" s="4" t="s">
        <v>310</v>
      </c>
      <c r="X1759" s="4" t="s">
        <v>311</v>
      </c>
      <c r="Y1759" s="21" t="s">
        <v>65</v>
      </c>
      <c r="Z1759" s="21"/>
      <c r="AA1759" s="4" t="s">
        <v>46</v>
      </c>
      <c r="AB1759" s="4" t="s">
        <v>47</v>
      </c>
      <c r="AC1759" s="4" t="s">
        <v>66</v>
      </c>
      <c r="AD1759" s="4" t="s">
        <v>69</v>
      </c>
      <c r="AE1759" s="4" t="s">
        <v>48</v>
      </c>
      <c r="AF1759" s="4" t="s">
        <v>41</v>
      </c>
      <c r="AG1759" s="4" t="s">
        <v>3588</v>
      </c>
    </row>
    <row r="1760" spans="1:33" ht="16.5" customHeight="1" x14ac:dyDescent="0.2">
      <c r="A1760" s="2" t="s">
        <v>31</v>
      </c>
      <c r="B1760" s="19" t="s">
        <v>50</v>
      </c>
      <c r="C1760" s="19"/>
      <c r="D1760" s="19"/>
      <c r="E1760" s="20" t="s">
        <v>33</v>
      </c>
      <c r="F1760" s="20"/>
      <c r="G1760" s="21" t="s">
        <v>3583</v>
      </c>
      <c r="H1760" s="21"/>
      <c r="I1760" s="21"/>
      <c r="J1760" s="3" t="s">
        <v>35</v>
      </c>
      <c r="K1760" s="4" t="s">
        <v>247</v>
      </c>
      <c r="L1760" s="4" t="s">
        <v>68</v>
      </c>
      <c r="N1760" s="21" t="s">
        <v>3762</v>
      </c>
      <c r="O1760" s="21"/>
      <c r="P1760" s="21" t="s">
        <v>3763</v>
      </c>
      <c r="Q1760" s="21"/>
      <c r="R1760" s="21"/>
      <c r="S1760" s="3" t="s">
        <v>40</v>
      </c>
      <c r="T1760" s="21" t="s">
        <v>41</v>
      </c>
      <c r="U1760" s="21"/>
      <c r="V1760" s="4" t="s">
        <v>42</v>
      </c>
      <c r="W1760" s="4" t="s">
        <v>85</v>
      </c>
      <c r="X1760" s="4" t="s">
        <v>86</v>
      </c>
      <c r="Y1760" s="21" t="s">
        <v>65</v>
      </c>
      <c r="Z1760" s="21"/>
      <c r="AA1760" s="4" t="s">
        <v>46</v>
      </c>
      <c r="AB1760" s="4" t="s">
        <v>47</v>
      </c>
      <c r="AC1760" s="4" t="s">
        <v>66</v>
      </c>
      <c r="AD1760" s="4" t="s">
        <v>69</v>
      </c>
      <c r="AE1760" s="4" t="s">
        <v>48</v>
      </c>
      <c r="AF1760" s="4" t="s">
        <v>41</v>
      </c>
      <c r="AG1760" s="4" t="s">
        <v>3588</v>
      </c>
    </row>
    <row r="1761" spans="1:33" ht="16.5" customHeight="1" x14ac:dyDescent="0.2">
      <c r="A1761" s="2" t="s">
        <v>31</v>
      </c>
      <c r="B1761" s="19" t="s">
        <v>50</v>
      </c>
      <c r="C1761" s="19"/>
      <c r="D1761" s="19"/>
      <c r="E1761" s="20" t="s">
        <v>33</v>
      </c>
      <c r="F1761" s="20"/>
      <c r="G1761" s="21" t="s">
        <v>3583</v>
      </c>
      <c r="H1761" s="21"/>
      <c r="I1761" s="21"/>
      <c r="J1761" s="3" t="s">
        <v>35</v>
      </c>
      <c r="K1761" s="4" t="s">
        <v>51</v>
      </c>
      <c r="L1761" s="4" t="s">
        <v>445</v>
      </c>
      <c r="N1761" s="21" t="s">
        <v>3764</v>
      </c>
      <c r="O1761" s="21"/>
      <c r="P1761" s="21" t="s">
        <v>3765</v>
      </c>
      <c r="Q1761" s="21"/>
      <c r="R1761" s="21"/>
      <c r="S1761" s="3" t="s">
        <v>40</v>
      </c>
      <c r="T1761" s="21" t="s">
        <v>41</v>
      </c>
      <c r="U1761" s="21"/>
      <c r="V1761" s="4" t="s">
        <v>42</v>
      </c>
      <c r="W1761" s="4" t="s">
        <v>94</v>
      </c>
      <c r="X1761" s="4" t="s">
        <v>95</v>
      </c>
      <c r="Y1761" s="21" t="s">
        <v>56</v>
      </c>
      <c r="Z1761" s="21"/>
      <c r="AA1761" s="4" t="s">
        <v>46</v>
      </c>
      <c r="AB1761" s="4" t="s">
        <v>47</v>
      </c>
      <c r="AC1761" s="4" t="s">
        <v>57</v>
      </c>
      <c r="AD1761" s="4" t="s">
        <v>449</v>
      </c>
      <c r="AE1761" s="4" t="s">
        <v>48</v>
      </c>
      <c r="AF1761" s="4" t="s">
        <v>41</v>
      </c>
      <c r="AG1761" s="4" t="s">
        <v>3588</v>
      </c>
    </row>
    <row r="1762" spans="1:33" ht="16.5" customHeight="1" x14ac:dyDescent="0.2">
      <c r="A1762" s="2" t="s">
        <v>31</v>
      </c>
      <c r="B1762" s="19" t="s">
        <v>50</v>
      </c>
      <c r="C1762" s="19"/>
      <c r="D1762" s="19"/>
      <c r="E1762" s="20" t="s">
        <v>33</v>
      </c>
      <c r="F1762" s="20"/>
      <c r="G1762" s="21" t="s">
        <v>3583</v>
      </c>
      <c r="H1762" s="21"/>
      <c r="I1762" s="21"/>
      <c r="J1762" s="3" t="s">
        <v>35</v>
      </c>
      <c r="K1762" s="4" t="s">
        <v>247</v>
      </c>
      <c r="L1762" s="4" t="s">
        <v>68</v>
      </c>
      <c r="N1762" s="21" t="s">
        <v>3766</v>
      </c>
      <c r="O1762" s="21"/>
      <c r="P1762" s="21" t="s">
        <v>3767</v>
      </c>
      <c r="Q1762" s="21"/>
      <c r="R1762" s="21"/>
      <c r="S1762" s="3" t="s">
        <v>40</v>
      </c>
      <c r="T1762" s="21" t="s">
        <v>41</v>
      </c>
      <c r="U1762" s="21"/>
      <c r="V1762" s="4" t="s">
        <v>42</v>
      </c>
      <c r="W1762" s="4" t="s">
        <v>94</v>
      </c>
      <c r="X1762" s="4" t="s">
        <v>95</v>
      </c>
      <c r="Y1762" s="21" t="s">
        <v>65</v>
      </c>
      <c r="Z1762" s="21"/>
      <c r="AA1762" s="4" t="s">
        <v>46</v>
      </c>
      <c r="AB1762" s="4" t="s">
        <v>47</v>
      </c>
      <c r="AC1762" s="4" t="s">
        <v>66</v>
      </c>
      <c r="AD1762" s="4" t="s">
        <v>69</v>
      </c>
      <c r="AE1762" s="4" t="s">
        <v>48</v>
      </c>
      <c r="AF1762" s="4" t="s">
        <v>41</v>
      </c>
      <c r="AG1762" s="4" t="s">
        <v>3588</v>
      </c>
    </row>
    <row r="1763" spans="1:33" ht="16.5" customHeight="1" x14ac:dyDescent="0.2">
      <c r="A1763" s="2" t="s">
        <v>31</v>
      </c>
      <c r="B1763" s="19" t="s">
        <v>50</v>
      </c>
      <c r="C1763" s="19"/>
      <c r="D1763" s="19"/>
      <c r="E1763" s="20" t="s">
        <v>33</v>
      </c>
      <c r="F1763" s="20"/>
      <c r="G1763" s="21" t="s">
        <v>3583</v>
      </c>
      <c r="H1763" s="21"/>
      <c r="I1763" s="21"/>
      <c r="J1763" s="3" t="s">
        <v>35</v>
      </c>
      <c r="K1763" s="4" t="s">
        <v>61</v>
      </c>
      <c r="L1763" s="4" t="s">
        <v>37</v>
      </c>
      <c r="N1763" s="21" t="s">
        <v>3768</v>
      </c>
      <c r="O1763" s="21"/>
      <c r="P1763" s="21" t="s">
        <v>3769</v>
      </c>
      <c r="Q1763" s="21"/>
      <c r="R1763" s="21"/>
      <c r="S1763" s="3" t="s">
        <v>40</v>
      </c>
      <c r="T1763" s="21" t="s">
        <v>41</v>
      </c>
      <c r="U1763" s="21"/>
      <c r="V1763" s="4" t="s">
        <v>42</v>
      </c>
      <c r="W1763" s="4" t="s">
        <v>104</v>
      </c>
      <c r="X1763" s="4" t="s">
        <v>105</v>
      </c>
      <c r="Y1763" s="21" t="s">
        <v>65</v>
      </c>
      <c r="Z1763" s="21"/>
      <c r="AA1763" s="4" t="s">
        <v>46</v>
      </c>
      <c r="AB1763" s="4" t="s">
        <v>47</v>
      </c>
      <c r="AC1763" s="4" t="s">
        <v>66</v>
      </c>
      <c r="AD1763" s="4" t="s">
        <v>73</v>
      </c>
      <c r="AE1763" s="4" t="s">
        <v>48</v>
      </c>
      <c r="AF1763" s="4" t="s">
        <v>41</v>
      </c>
      <c r="AG1763" s="4" t="s">
        <v>3588</v>
      </c>
    </row>
    <row r="1764" spans="1:33" ht="16.5" customHeight="1" x14ac:dyDescent="0.2">
      <c r="A1764" s="2" t="s">
        <v>31</v>
      </c>
      <c r="B1764" s="19" t="s">
        <v>50</v>
      </c>
      <c r="C1764" s="19"/>
      <c r="D1764" s="19"/>
      <c r="E1764" s="20" t="s">
        <v>33</v>
      </c>
      <c r="F1764" s="20"/>
      <c r="G1764" s="21" t="s">
        <v>3583</v>
      </c>
      <c r="H1764" s="21"/>
      <c r="I1764" s="21"/>
      <c r="J1764" s="3" t="s">
        <v>35</v>
      </c>
      <c r="K1764" s="4" t="s">
        <v>152</v>
      </c>
      <c r="L1764" s="4" t="s">
        <v>68</v>
      </c>
      <c r="N1764" s="21" t="s">
        <v>3770</v>
      </c>
      <c r="O1764" s="21"/>
      <c r="P1764" s="21" t="s">
        <v>3771</v>
      </c>
      <c r="Q1764" s="21"/>
      <c r="R1764" s="21"/>
      <c r="S1764" s="3" t="s">
        <v>40</v>
      </c>
      <c r="T1764" s="21" t="s">
        <v>41</v>
      </c>
      <c r="U1764" s="21"/>
      <c r="V1764" s="4" t="s">
        <v>42</v>
      </c>
      <c r="W1764" s="4" t="s">
        <v>108</v>
      </c>
      <c r="X1764" s="4" t="s">
        <v>109</v>
      </c>
      <c r="Y1764" s="21" t="s">
        <v>56</v>
      </c>
      <c r="Z1764" s="21"/>
      <c r="AA1764" s="4" t="s">
        <v>46</v>
      </c>
      <c r="AB1764" s="4" t="s">
        <v>47</v>
      </c>
      <c r="AC1764" s="4" t="s">
        <v>57</v>
      </c>
      <c r="AD1764" s="4" t="s">
        <v>98</v>
      </c>
      <c r="AE1764" s="4" t="s">
        <v>48</v>
      </c>
      <c r="AF1764" s="4" t="s">
        <v>41</v>
      </c>
      <c r="AG1764" s="4" t="s">
        <v>3588</v>
      </c>
    </row>
    <row r="1765" spans="1:33" ht="16.5" customHeight="1" x14ac:dyDescent="0.2">
      <c r="A1765" s="2" t="s">
        <v>31</v>
      </c>
      <c r="B1765" s="19" t="s">
        <v>50</v>
      </c>
      <c r="C1765" s="19"/>
      <c r="D1765" s="19"/>
      <c r="E1765" s="20" t="s">
        <v>33</v>
      </c>
      <c r="F1765" s="20"/>
      <c r="G1765" s="21" t="s">
        <v>3583</v>
      </c>
      <c r="H1765" s="21"/>
      <c r="I1765" s="21"/>
      <c r="J1765" s="3" t="s">
        <v>35</v>
      </c>
      <c r="K1765" s="4" t="s">
        <v>74</v>
      </c>
      <c r="L1765" s="4" t="s">
        <v>37</v>
      </c>
      <c r="N1765" s="21" t="s">
        <v>3772</v>
      </c>
      <c r="O1765" s="21"/>
      <c r="P1765" s="21" t="s">
        <v>3773</v>
      </c>
      <c r="Q1765" s="21"/>
      <c r="R1765" s="21"/>
      <c r="S1765" s="3" t="s">
        <v>40</v>
      </c>
      <c r="T1765" s="21" t="s">
        <v>41</v>
      </c>
      <c r="U1765" s="21"/>
      <c r="V1765" s="4" t="s">
        <v>42</v>
      </c>
      <c r="W1765" s="4" t="s">
        <v>54</v>
      </c>
      <c r="X1765" s="4" t="s">
        <v>55</v>
      </c>
      <c r="Y1765" s="21" t="s">
        <v>65</v>
      </c>
      <c r="Z1765" s="21"/>
      <c r="AA1765" s="4" t="s">
        <v>46</v>
      </c>
      <c r="AB1765" s="4" t="s">
        <v>47</v>
      </c>
      <c r="AC1765" s="4" t="s">
        <v>66</v>
      </c>
      <c r="AD1765" s="4" t="s">
        <v>73</v>
      </c>
      <c r="AE1765" s="4" t="s">
        <v>48</v>
      </c>
      <c r="AF1765" s="4" t="s">
        <v>41</v>
      </c>
      <c r="AG1765" s="4" t="s">
        <v>3588</v>
      </c>
    </row>
    <row r="1766" spans="1:33" ht="16.5" customHeight="1" x14ac:dyDescent="0.2">
      <c r="A1766" s="2" t="s">
        <v>31</v>
      </c>
      <c r="B1766" s="19" t="s">
        <v>50</v>
      </c>
      <c r="C1766" s="19"/>
      <c r="D1766" s="19"/>
      <c r="E1766" s="20" t="s">
        <v>33</v>
      </c>
      <c r="F1766" s="20"/>
      <c r="G1766" s="21" t="s">
        <v>3583</v>
      </c>
      <c r="H1766" s="21"/>
      <c r="I1766" s="21"/>
      <c r="J1766" s="3" t="s">
        <v>35</v>
      </c>
      <c r="K1766" s="4" t="s">
        <v>61</v>
      </c>
      <c r="L1766" s="4" t="s">
        <v>37</v>
      </c>
      <c r="N1766" s="21" t="s">
        <v>3774</v>
      </c>
      <c r="O1766" s="21"/>
      <c r="P1766" s="21" t="s">
        <v>3775</v>
      </c>
      <c r="Q1766" s="21"/>
      <c r="R1766" s="21"/>
      <c r="S1766" s="3" t="s">
        <v>40</v>
      </c>
      <c r="T1766" s="21" t="s">
        <v>41</v>
      </c>
      <c r="U1766" s="21"/>
      <c r="V1766" s="4" t="s">
        <v>42</v>
      </c>
      <c r="W1766" s="4" t="s">
        <v>54</v>
      </c>
      <c r="X1766" s="4" t="s">
        <v>55</v>
      </c>
      <c r="Y1766" s="21" t="s">
        <v>65</v>
      </c>
      <c r="Z1766" s="21"/>
      <c r="AA1766" s="4" t="s">
        <v>46</v>
      </c>
      <c r="AB1766" s="4" t="s">
        <v>47</v>
      </c>
      <c r="AC1766" s="4" t="s">
        <v>66</v>
      </c>
      <c r="AD1766" s="4" t="s">
        <v>73</v>
      </c>
      <c r="AE1766" s="4" t="s">
        <v>48</v>
      </c>
      <c r="AF1766" s="4" t="s">
        <v>41</v>
      </c>
      <c r="AG1766" s="4" t="s">
        <v>3588</v>
      </c>
    </row>
    <row r="1767" spans="1:33" ht="16.5" customHeight="1" x14ac:dyDescent="0.2">
      <c r="A1767" s="2" t="s">
        <v>31</v>
      </c>
      <c r="B1767" s="19" t="s">
        <v>50</v>
      </c>
      <c r="C1767" s="19"/>
      <c r="D1767" s="19"/>
      <c r="E1767" s="20" t="s">
        <v>33</v>
      </c>
      <c r="F1767" s="20"/>
      <c r="G1767" s="21" t="s">
        <v>3583</v>
      </c>
      <c r="H1767" s="21"/>
      <c r="I1767" s="21"/>
      <c r="J1767" s="3" t="s">
        <v>35</v>
      </c>
      <c r="K1767" s="4" t="s">
        <v>61</v>
      </c>
      <c r="L1767" s="4" t="s">
        <v>37</v>
      </c>
      <c r="N1767" s="21" t="s">
        <v>3774</v>
      </c>
      <c r="O1767" s="21"/>
      <c r="P1767" s="21" t="s">
        <v>3775</v>
      </c>
      <c r="Q1767" s="21"/>
      <c r="R1767" s="21"/>
      <c r="S1767" s="3" t="s">
        <v>40</v>
      </c>
      <c r="T1767" s="21" t="s">
        <v>41</v>
      </c>
      <c r="U1767" s="21"/>
      <c r="V1767" s="4" t="s">
        <v>59</v>
      </c>
      <c r="W1767" s="4" t="s">
        <v>54</v>
      </c>
      <c r="X1767" s="4" t="s">
        <v>60</v>
      </c>
      <c r="Y1767" s="21" t="s">
        <v>65</v>
      </c>
      <c r="Z1767" s="21"/>
      <c r="AA1767" s="4" t="s">
        <v>46</v>
      </c>
      <c r="AB1767" s="4" t="s">
        <v>47</v>
      </c>
      <c r="AC1767" s="4" t="s">
        <v>66</v>
      </c>
      <c r="AD1767" s="4" t="s">
        <v>73</v>
      </c>
      <c r="AE1767" s="4" t="s">
        <v>48</v>
      </c>
      <c r="AF1767" s="4" t="s">
        <v>41</v>
      </c>
      <c r="AG1767" s="4" t="s">
        <v>3588</v>
      </c>
    </row>
    <row r="1768" spans="1:33" ht="16.5" customHeight="1" x14ac:dyDescent="0.2">
      <c r="A1768" s="2" t="s">
        <v>31</v>
      </c>
      <c r="B1768" s="19" t="s">
        <v>50</v>
      </c>
      <c r="C1768" s="19"/>
      <c r="D1768" s="19"/>
      <c r="E1768" s="20" t="s">
        <v>33</v>
      </c>
      <c r="F1768" s="20"/>
      <c r="G1768" s="21" t="s">
        <v>3583</v>
      </c>
      <c r="H1768" s="21"/>
      <c r="I1768" s="21"/>
      <c r="J1768" s="3" t="s">
        <v>35</v>
      </c>
      <c r="K1768" s="4" t="s">
        <v>61</v>
      </c>
      <c r="L1768" s="4" t="s">
        <v>37</v>
      </c>
      <c r="N1768" s="21" t="s">
        <v>3776</v>
      </c>
      <c r="O1768" s="21"/>
      <c r="P1768" s="21" t="s">
        <v>3777</v>
      </c>
      <c r="Q1768" s="21"/>
      <c r="R1768" s="21"/>
      <c r="S1768" s="3" t="s">
        <v>40</v>
      </c>
      <c r="T1768" s="21" t="s">
        <v>41</v>
      </c>
      <c r="U1768" s="21"/>
      <c r="V1768" s="4" t="s">
        <v>42</v>
      </c>
      <c r="W1768" s="4" t="s">
        <v>381</v>
      </c>
      <c r="X1768" s="4" t="s">
        <v>382</v>
      </c>
      <c r="Y1768" s="21" t="s">
        <v>65</v>
      </c>
      <c r="Z1768" s="21"/>
      <c r="AA1768" s="4" t="s">
        <v>46</v>
      </c>
      <c r="AB1768" s="4" t="s">
        <v>47</v>
      </c>
      <c r="AC1768" s="4" t="s">
        <v>66</v>
      </c>
      <c r="AD1768" s="4" t="s">
        <v>73</v>
      </c>
      <c r="AE1768" s="4" t="s">
        <v>48</v>
      </c>
      <c r="AF1768" s="4" t="s">
        <v>41</v>
      </c>
      <c r="AG1768" s="4" t="s">
        <v>3588</v>
      </c>
    </row>
    <row r="1769" spans="1:33" ht="16.5" customHeight="1" x14ac:dyDescent="0.2">
      <c r="A1769" s="2" t="s">
        <v>31</v>
      </c>
      <c r="B1769" s="19" t="s">
        <v>50</v>
      </c>
      <c r="C1769" s="19"/>
      <c r="D1769" s="19"/>
      <c r="E1769" s="20" t="s">
        <v>33</v>
      </c>
      <c r="F1769" s="20"/>
      <c r="G1769" s="21" t="s">
        <v>3583</v>
      </c>
      <c r="H1769" s="21"/>
      <c r="I1769" s="21"/>
      <c r="J1769" s="3" t="s">
        <v>35</v>
      </c>
      <c r="K1769" s="4" t="s">
        <v>51</v>
      </c>
      <c r="L1769" s="4" t="s">
        <v>37</v>
      </c>
      <c r="N1769" s="21" t="s">
        <v>3778</v>
      </c>
      <c r="O1769" s="21"/>
      <c r="P1769" s="21" t="s">
        <v>3779</v>
      </c>
      <c r="Q1769" s="21"/>
      <c r="R1769" s="21"/>
      <c r="S1769" s="3" t="s">
        <v>40</v>
      </c>
      <c r="T1769" s="21" t="s">
        <v>41</v>
      </c>
      <c r="U1769" s="21"/>
      <c r="V1769" s="4" t="s">
        <v>42</v>
      </c>
      <c r="W1769" s="4" t="s">
        <v>54</v>
      </c>
      <c r="X1769" s="4" t="s">
        <v>55</v>
      </c>
      <c r="Y1769" s="21" t="s">
        <v>56</v>
      </c>
      <c r="Z1769" s="21"/>
      <c r="AA1769" s="4" t="s">
        <v>46</v>
      </c>
      <c r="AB1769" s="4" t="s">
        <v>47</v>
      </c>
      <c r="AC1769" s="4" t="s">
        <v>57</v>
      </c>
      <c r="AD1769" s="4" t="s">
        <v>58</v>
      </c>
      <c r="AE1769" s="4" t="s">
        <v>48</v>
      </c>
      <c r="AF1769" s="4" t="s">
        <v>41</v>
      </c>
      <c r="AG1769" s="4" t="s">
        <v>3588</v>
      </c>
    </row>
    <row r="1770" spans="1:33" ht="16.5" customHeight="1" x14ac:dyDescent="0.2">
      <c r="A1770" s="2" t="s">
        <v>31</v>
      </c>
      <c r="B1770" s="19" t="s">
        <v>50</v>
      </c>
      <c r="C1770" s="19"/>
      <c r="D1770" s="19"/>
      <c r="E1770" s="20" t="s">
        <v>33</v>
      </c>
      <c r="F1770" s="20"/>
      <c r="G1770" s="21" t="s">
        <v>3583</v>
      </c>
      <c r="H1770" s="21"/>
      <c r="I1770" s="21"/>
      <c r="J1770" s="3" t="s">
        <v>35</v>
      </c>
      <c r="K1770" s="4" t="s">
        <v>74</v>
      </c>
      <c r="L1770" s="4" t="s">
        <v>68</v>
      </c>
      <c r="N1770" s="21" t="s">
        <v>3780</v>
      </c>
      <c r="O1770" s="21"/>
      <c r="P1770" s="21" t="s">
        <v>3781</v>
      </c>
      <c r="Q1770" s="21"/>
      <c r="R1770" s="21"/>
      <c r="S1770" s="3" t="s">
        <v>40</v>
      </c>
      <c r="T1770" s="21" t="s">
        <v>41</v>
      </c>
      <c r="U1770" s="21"/>
      <c r="V1770" s="4" t="s">
        <v>42</v>
      </c>
      <c r="W1770" s="4" t="s">
        <v>54</v>
      </c>
      <c r="X1770" s="4" t="s">
        <v>55</v>
      </c>
      <c r="Y1770" s="21" t="s">
        <v>65</v>
      </c>
      <c r="Z1770" s="21"/>
      <c r="AA1770" s="4" t="s">
        <v>46</v>
      </c>
      <c r="AB1770" s="4" t="s">
        <v>47</v>
      </c>
      <c r="AC1770" s="4" t="s">
        <v>66</v>
      </c>
      <c r="AD1770" s="4" t="s">
        <v>69</v>
      </c>
      <c r="AE1770" s="4" t="s">
        <v>48</v>
      </c>
      <c r="AF1770" s="4" t="s">
        <v>41</v>
      </c>
      <c r="AG1770" s="4" t="s">
        <v>3588</v>
      </c>
    </row>
    <row r="1771" spans="1:33" ht="16.5" customHeight="1" x14ac:dyDescent="0.2">
      <c r="A1771" s="2" t="s">
        <v>31</v>
      </c>
      <c r="B1771" s="19" t="s">
        <v>50</v>
      </c>
      <c r="C1771" s="19"/>
      <c r="D1771" s="19"/>
      <c r="E1771" s="20" t="s">
        <v>33</v>
      </c>
      <c r="F1771" s="20"/>
      <c r="G1771" s="21" t="s">
        <v>3583</v>
      </c>
      <c r="H1771" s="21"/>
      <c r="I1771" s="21"/>
      <c r="J1771" s="3" t="s">
        <v>35</v>
      </c>
      <c r="K1771" s="4" t="s">
        <v>74</v>
      </c>
      <c r="L1771" s="4" t="s">
        <v>68</v>
      </c>
      <c r="N1771" s="21" t="s">
        <v>3782</v>
      </c>
      <c r="O1771" s="21"/>
      <c r="P1771" s="21" t="s">
        <v>3783</v>
      </c>
      <c r="Q1771" s="21"/>
      <c r="R1771" s="21"/>
      <c r="S1771" s="3" t="s">
        <v>40</v>
      </c>
      <c r="T1771" s="21" t="s">
        <v>41</v>
      </c>
      <c r="U1771" s="21"/>
      <c r="V1771" s="4" t="s">
        <v>42</v>
      </c>
      <c r="W1771" s="4" t="s">
        <v>54</v>
      </c>
      <c r="X1771" s="4" t="s">
        <v>55</v>
      </c>
      <c r="Y1771" s="21" t="s">
        <v>65</v>
      </c>
      <c r="Z1771" s="21"/>
      <c r="AA1771" s="4" t="s">
        <v>46</v>
      </c>
      <c r="AB1771" s="4" t="s">
        <v>47</v>
      </c>
      <c r="AC1771" s="4" t="s">
        <v>66</v>
      </c>
      <c r="AD1771" s="4" t="s">
        <v>69</v>
      </c>
      <c r="AE1771" s="4" t="s">
        <v>48</v>
      </c>
      <c r="AF1771" s="4" t="s">
        <v>41</v>
      </c>
      <c r="AG1771" s="4" t="s">
        <v>3588</v>
      </c>
    </row>
    <row r="1772" spans="1:33" ht="16.5" customHeight="1" x14ac:dyDescent="0.2">
      <c r="A1772" s="2" t="s">
        <v>31</v>
      </c>
      <c r="B1772" s="19" t="s">
        <v>50</v>
      </c>
      <c r="C1772" s="19"/>
      <c r="D1772" s="19"/>
      <c r="E1772" s="20" t="s">
        <v>33</v>
      </c>
      <c r="F1772" s="20"/>
      <c r="G1772" s="21" t="s">
        <v>3583</v>
      </c>
      <c r="H1772" s="21"/>
      <c r="I1772" s="21"/>
      <c r="J1772" s="3" t="s">
        <v>35</v>
      </c>
      <c r="K1772" s="4" t="s">
        <v>413</v>
      </c>
      <c r="L1772" s="4" t="s">
        <v>37</v>
      </c>
      <c r="N1772" s="21" t="s">
        <v>3784</v>
      </c>
      <c r="O1772" s="21"/>
      <c r="P1772" s="21" t="s">
        <v>3785</v>
      </c>
      <c r="Q1772" s="21"/>
      <c r="R1772" s="21"/>
      <c r="S1772" s="3" t="s">
        <v>40</v>
      </c>
      <c r="T1772" s="21" t="s">
        <v>41</v>
      </c>
      <c r="U1772" s="21"/>
      <c r="V1772" s="4" t="s">
        <v>42</v>
      </c>
      <c r="W1772" s="4" t="s">
        <v>54</v>
      </c>
      <c r="X1772" s="4" t="s">
        <v>55</v>
      </c>
      <c r="Y1772" s="21" t="s">
        <v>198</v>
      </c>
      <c r="Z1772" s="21"/>
      <c r="AA1772" s="4" t="s">
        <v>46</v>
      </c>
      <c r="AB1772" s="4" t="s">
        <v>47</v>
      </c>
      <c r="AC1772" s="4" t="s">
        <v>139</v>
      </c>
      <c r="AD1772" s="4" t="s">
        <v>140</v>
      </c>
      <c r="AE1772" s="4" t="s">
        <v>48</v>
      </c>
      <c r="AF1772" s="4" t="s">
        <v>41</v>
      </c>
      <c r="AG1772" s="4" t="s">
        <v>3588</v>
      </c>
    </row>
    <row r="1773" spans="1:33" ht="16.5" customHeight="1" x14ac:dyDescent="0.2">
      <c r="A1773" s="2" t="s">
        <v>31</v>
      </c>
      <c r="B1773" s="19" t="s">
        <v>50</v>
      </c>
      <c r="C1773" s="19"/>
      <c r="D1773" s="19"/>
      <c r="E1773" s="20" t="s">
        <v>33</v>
      </c>
      <c r="F1773" s="20"/>
      <c r="G1773" s="21" t="s">
        <v>3583</v>
      </c>
      <c r="H1773" s="21"/>
      <c r="I1773" s="21"/>
      <c r="J1773" s="3" t="s">
        <v>35</v>
      </c>
      <c r="K1773" s="4" t="s">
        <v>51</v>
      </c>
      <c r="L1773" s="4" t="s">
        <v>37</v>
      </c>
      <c r="N1773" s="21" t="s">
        <v>3786</v>
      </c>
      <c r="O1773" s="21"/>
      <c r="P1773" s="21" t="s">
        <v>3787</v>
      </c>
      <c r="Q1773" s="21"/>
      <c r="R1773" s="21"/>
      <c r="S1773" s="3" t="s">
        <v>40</v>
      </c>
      <c r="T1773" s="21" t="s">
        <v>41</v>
      </c>
      <c r="U1773" s="21"/>
      <c r="V1773" s="4" t="s">
        <v>42</v>
      </c>
      <c r="W1773" s="4" t="s">
        <v>54</v>
      </c>
      <c r="X1773" s="4" t="s">
        <v>55</v>
      </c>
      <c r="Y1773" s="21" t="s">
        <v>56</v>
      </c>
      <c r="Z1773" s="21"/>
      <c r="AA1773" s="4" t="s">
        <v>46</v>
      </c>
      <c r="AB1773" s="4" t="s">
        <v>47</v>
      </c>
      <c r="AC1773" s="4" t="s">
        <v>57</v>
      </c>
      <c r="AD1773" s="4" t="s">
        <v>58</v>
      </c>
      <c r="AE1773" s="4" t="s">
        <v>48</v>
      </c>
      <c r="AF1773" s="4" t="s">
        <v>41</v>
      </c>
      <c r="AG1773" s="4" t="s">
        <v>3588</v>
      </c>
    </row>
    <row r="1774" spans="1:33" ht="16.5" customHeight="1" x14ac:dyDescent="0.2">
      <c r="A1774" s="2" t="s">
        <v>31</v>
      </c>
      <c r="B1774" s="19" t="s">
        <v>50</v>
      </c>
      <c r="C1774" s="19"/>
      <c r="D1774" s="19"/>
      <c r="E1774" s="20" t="s">
        <v>33</v>
      </c>
      <c r="F1774" s="20"/>
      <c r="G1774" s="21" t="s">
        <v>3583</v>
      </c>
      <c r="H1774" s="21"/>
      <c r="I1774" s="21"/>
      <c r="J1774" s="3" t="s">
        <v>35</v>
      </c>
      <c r="K1774" s="4" t="s">
        <v>3537</v>
      </c>
      <c r="L1774" s="4" t="s">
        <v>37</v>
      </c>
      <c r="N1774" s="21" t="s">
        <v>3788</v>
      </c>
      <c r="O1774" s="21"/>
      <c r="P1774" s="21" t="s">
        <v>3789</v>
      </c>
      <c r="Q1774" s="21"/>
      <c r="R1774" s="21"/>
      <c r="S1774" s="3" t="s">
        <v>40</v>
      </c>
      <c r="T1774" s="21" t="s">
        <v>41</v>
      </c>
      <c r="U1774" s="21"/>
      <c r="V1774" s="4" t="s">
        <v>42</v>
      </c>
      <c r="W1774" s="4" t="s">
        <v>54</v>
      </c>
      <c r="X1774" s="4" t="s">
        <v>55</v>
      </c>
      <c r="Y1774" s="21" t="s">
        <v>56</v>
      </c>
      <c r="Z1774" s="21"/>
      <c r="AA1774" s="4" t="s">
        <v>46</v>
      </c>
      <c r="AB1774" s="4" t="s">
        <v>47</v>
      </c>
      <c r="AC1774" s="4" t="s">
        <v>57</v>
      </c>
      <c r="AD1774" s="4" t="s">
        <v>58</v>
      </c>
      <c r="AE1774" s="4" t="s">
        <v>48</v>
      </c>
      <c r="AF1774" s="4" t="s">
        <v>41</v>
      </c>
      <c r="AG1774" s="4" t="s">
        <v>3588</v>
      </c>
    </row>
    <row r="1775" spans="1:33" ht="16.5" customHeight="1" x14ac:dyDescent="0.2">
      <c r="A1775" s="2" t="s">
        <v>31</v>
      </c>
      <c r="B1775" s="19" t="s">
        <v>50</v>
      </c>
      <c r="C1775" s="19"/>
      <c r="D1775" s="19"/>
      <c r="E1775" s="20" t="s">
        <v>33</v>
      </c>
      <c r="F1775" s="20"/>
      <c r="G1775" s="21" t="s">
        <v>3583</v>
      </c>
      <c r="H1775" s="21"/>
      <c r="I1775" s="21"/>
      <c r="J1775" s="3" t="s">
        <v>35</v>
      </c>
      <c r="K1775" s="4" t="s">
        <v>74</v>
      </c>
      <c r="L1775" s="4" t="s">
        <v>37</v>
      </c>
      <c r="N1775" s="21" t="s">
        <v>3790</v>
      </c>
      <c r="O1775" s="21"/>
      <c r="P1775" s="21" t="s">
        <v>3791</v>
      </c>
      <c r="Q1775" s="21"/>
      <c r="R1775" s="21"/>
      <c r="S1775" s="3" t="s">
        <v>40</v>
      </c>
      <c r="T1775" s="21" t="s">
        <v>41</v>
      </c>
      <c r="U1775" s="21"/>
      <c r="V1775" s="4" t="s">
        <v>42</v>
      </c>
      <c r="W1775" s="4" t="s">
        <v>130</v>
      </c>
      <c r="X1775" s="4" t="s">
        <v>60</v>
      </c>
      <c r="Y1775" s="21" t="s">
        <v>65</v>
      </c>
      <c r="Z1775" s="21"/>
      <c r="AA1775" s="4" t="s">
        <v>46</v>
      </c>
      <c r="AB1775" s="4" t="s">
        <v>47</v>
      </c>
      <c r="AC1775" s="4" t="s">
        <v>66</v>
      </c>
      <c r="AD1775" s="4" t="s">
        <v>73</v>
      </c>
      <c r="AE1775" s="4" t="s">
        <v>48</v>
      </c>
      <c r="AF1775" s="4" t="s">
        <v>41</v>
      </c>
      <c r="AG1775" s="4" t="s">
        <v>3588</v>
      </c>
    </row>
    <row r="1776" spans="1:33" ht="16.5" customHeight="1" x14ac:dyDescent="0.2">
      <c r="A1776" s="2" t="s">
        <v>31</v>
      </c>
      <c r="B1776" s="19" t="s">
        <v>50</v>
      </c>
      <c r="C1776" s="19"/>
      <c r="D1776" s="19"/>
      <c r="E1776" s="20" t="s">
        <v>33</v>
      </c>
      <c r="F1776" s="20"/>
      <c r="G1776" s="21" t="s">
        <v>3583</v>
      </c>
      <c r="H1776" s="21"/>
      <c r="I1776" s="21"/>
      <c r="J1776" s="3" t="s">
        <v>35</v>
      </c>
      <c r="K1776" s="4" t="s">
        <v>61</v>
      </c>
      <c r="L1776" s="4" t="s">
        <v>37</v>
      </c>
      <c r="N1776" s="21" t="s">
        <v>3792</v>
      </c>
      <c r="O1776" s="21"/>
      <c r="P1776" s="21" t="s">
        <v>3793</v>
      </c>
      <c r="Q1776" s="21"/>
      <c r="R1776" s="21"/>
      <c r="S1776" s="3" t="s">
        <v>40</v>
      </c>
      <c r="T1776" s="21" t="s">
        <v>41</v>
      </c>
      <c r="U1776" s="21"/>
      <c r="V1776" s="4" t="s">
        <v>59</v>
      </c>
      <c r="W1776" s="4" t="s">
        <v>130</v>
      </c>
      <c r="X1776" s="4" t="s">
        <v>131</v>
      </c>
      <c r="Y1776" s="21" t="s">
        <v>65</v>
      </c>
      <c r="Z1776" s="21"/>
      <c r="AA1776" s="4" t="s">
        <v>46</v>
      </c>
      <c r="AB1776" s="4" t="s">
        <v>47</v>
      </c>
      <c r="AC1776" s="4" t="s">
        <v>66</v>
      </c>
      <c r="AD1776" s="4" t="s">
        <v>73</v>
      </c>
      <c r="AE1776" s="4" t="s">
        <v>48</v>
      </c>
      <c r="AF1776" s="4" t="s">
        <v>41</v>
      </c>
      <c r="AG1776" s="4" t="s">
        <v>3588</v>
      </c>
    </row>
    <row r="1777" spans="1:33" ht="16.5" customHeight="1" x14ac:dyDescent="0.2">
      <c r="A1777" s="2" t="s">
        <v>31</v>
      </c>
      <c r="B1777" s="19" t="s">
        <v>50</v>
      </c>
      <c r="C1777" s="19"/>
      <c r="D1777" s="19"/>
      <c r="E1777" s="20" t="s">
        <v>33</v>
      </c>
      <c r="F1777" s="20"/>
      <c r="G1777" s="21" t="s">
        <v>3583</v>
      </c>
      <c r="H1777" s="21"/>
      <c r="I1777" s="21"/>
      <c r="J1777" s="3" t="s">
        <v>35</v>
      </c>
      <c r="K1777" s="4" t="s">
        <v>51</v>
      </c>
      <c r="L1777" s="4" t="s">
        <v>68</v>
      </c>
      <c r="N1777" s="21" t="s">
        <v>3794</v>
      </c>
      <c r="O1777" s="21"/>
      <c r="P1777" s="21" t="s">
        <v>3795</v>
      </c>
      <c r="Q1777" s="21"/>
      <c r="R1777" s="21"/>
      <c r="S1777" s="3" t="s">
        <v>40</v>
      </c>
      <c r="T1777" s="21" t="s">
        <v>41</v>
      </c>
      <c r="U1777" s="21"/>
      <c r="V1777" s="4" t="s">
        <v>42</v>
      </c>
      <c r="W1777" s="4" t="s">
        <v>130</v>
      </c>
      <c r="X1777" s="4" t="s">
        <v>60</v>
      </c>
      <c r="Y1777" s="21" t="s">
        <v>56</v>
      </c>
      <c r="Z1777" s="21"/>
      <c r="AA1777" s="4" t="s">
        <v>46</v>
      </c>
      <c r="AB1777" s="4" t="s">
        <v>47</v>
      </c>
      <c r="AC1777" s="4" t="s">
        <v>57</v>
      </c>
      <c r="AD1777" s="4" t="s">
        <v>98</v>
      </c>
      <c r="AE1777" s="4" t="s">
        <v>48</v>
      </c>
      <c r="AF1777" s="4" t="s">
        <v>41</v>
      </c>
      <c r="AG1777" s="4" t="s">
        <v>3588</v>
      </c>
    </row>
    <row r="1778" spans="1:33" ht="16.5" customHeight="1" x14ac:dyDescent="0.2">
      <c r="A1778" s="2" t="s">
        <v>31</v>
      </c>
      <c r="B1778" s="19" t="s">
        <v>50</v>
      </c>
      <c r="C1778" s="19"/>
      <c r="D1778" s="19"/>
      <c r="E1778" s="20" t="s">
        <v>33</v>
      </c>
      <c r="F1778" s="20"/>
      <c r="G1778" s="21" t="s">
        <v>3583</v>
      </c>
      <c r="H1778" s="21"/>
      <c r="I1778" s="21"/>
      <c r="J1778" s="3" t="s">
        <v>35</v>
      </c>
      <c r="K1778" s="4" t="s">
        <v>51</v>
      </c>
      <c r="L1778" s="4" t="s">
        <v>68</v>
      </c>
      <c r="N1778" s="21" t="s">
        <v>3794</v>
      </c>
      <c r="O1778" s="21"/>
      <c r="P1778" s="21" t="s">
        <v>3795</v>
      </c>
      <c r="Q1778" s="21"/>
      <c r="R1778" s="21"/>
      <c r="S1778" s="3" t="s">
        <v>40</v>
      </c>
      <c r="T1778" s="21" t="s">
        <v>41</v>
      </c>
      <c r="U1778" s="21"/>
      <c r="V1778" s="4" t="s">
        <v>59</v>
      </c>
      <c r="W1778" s="4" t="s">
        <v>130</v>
      </c>
      <c r="X1778" s="4" t="s">
        <v>131</v>
      </c>
      <c r="Y1778" s="21" t="s">
        <v>56</v>
      </c>
      <c r="Z1778" s="21"/>
      <c r="AA1778" s="4" t="s">
        <v>46</v>
      </c>
      <c r="AB1778" s="4" t="s">
        <v>47</v>
      </c>
      <c r="AC1778" s="4" t="s">
        <v>57</v>
      </c>
      <c r="AD1778" s="4" t="s">
        <v>98</v>
      </c>
      <c r="AE1778" s="4" t="s">
        <v>48</v>
      </c>
      <c r="AF1778" s="4" t="s">
        <v>41</v>
      </c>
      <c r="AG1778" s="4" t="s">
        <v>3588</v>
      </c>
    </row>
    <row r="1779" spans="1:33" ht="16.5" customHeight="1" x14ac:dyDescent="0.2">
      <c r="A1779" s="2" t="s">
        <v>31</v>
      </c>
      <c r="B1779" s="19" t="s">
        <v>50</v>
      </c>
      <c r="C1779" s="19"/>
      <c r="D1779" s="19"/>
      <c r="E1779" s="20" t="s">
        <v>33</v>
      </c>
      <c r="F1779" s="20"/>
      <c r="G1779" s="21" t="s">
        <v>3583</v>
      </c>
      <c r="H1779" s="21"/>
      <c r="I1779" s="21"/>
      <c r="J1779" s="3" t="s">
        <v>35</v>
      </c>
      <c r="K1779" s="4" t="s">
        <v>74</v>
      </c>
      <c r="L1779" s="4" t="s">
        <v>37</v>
      </c>
      <c r="N1779" s="21" t="s">
        <v>3796</v>
      </c>
      <c r="O1779" s="21"/>
      <c r="P1779" s="21" t="s">
        <v>3797</v>
      </c>
      <c r="Q1779" s="21"/>
      <c r="R1779" s="21"/>
      <c r="S1779" s="3" t="s">
        <v>40</v>
      </c>
      <c r="T1779" s="21" t="s">
        <v>41</v>
      </c>
      <c r="U1779" s="21"/>
      <c r="V1779" s="4" t="s">
        <v>2518</v>
      </c>
      <c r="W1779" s="4" t="s">
        <v>42</v>
      </c>
      <c r="X1779" s="4" t="s">
        <v>131</v>
      </c>
      <c r="Y1779" s="21" t="s">
        <v>65</v>
      </c>
      <c r="Z1779" s="21"/>
      <c r="AA1779" s="4" t="s">
        <v>46</v>
      </c>
      <c r="AB1779" s="4" t="s">
        <v>47</v>
      </c>
      <c r="AC1779" s="4" t="s">
        <v>66</v>
      </c>
      <c r="AD1779" s="4" t="s">
        <v>73</v>
      </c>
      <c r="AE1779" s="4" t="s">
        <v>48</v>
      </c>
      <c r="AF1779" s="4" t="s">
        <v>41</v>
      </c>
      <c r="AG1779" s="4" t="s">
        <v>3588</v>
      </c>
    </row>
    <row r="1780" spans="1:33" ht="16.5" customHeight="1" x14ac:dyDescent="0.2">
      <c r="A1780" s="2" t="s">
        <v>31</v>
      </c>
      <c r="B1780" s="19" t="s">
        <v>50</v>
      </c>
      <c r="C1780" s="19"/>
      <c r="D1780" s="19"/>
      <c r="E1780" s="20" t="s">
        <v>33</v>
      </c>
      <c r="F1780" s="20"/>
      <c r="G1780" s="21" t="s">
        <v>3583</v>
      </c>
      <c r="H1780" s="21"/>
      <c r="I1780" s="21"/>
      <c r="J1780" s="3" t="s">
        <v>35</v>
      </c>
      <c r="K1780" s="4" t="s">
        <v>74</v>
      </c>
      <c r="L1780" s="4" t="s">
        <v>37</v>
      </c>
      <c r="N1780" s="21" t="s">
        <v>3798</v>
      </c>
      <c r="O1780" s="21"/>
      <c r="P1780" s="21" t="s">
        <v>3799</v>
      </c>
      <c r="Q1780" s="21"/>
      <c r="R1780" s="21"/>
      <c r="S1780" s="3" t="s">
        <v>40</v>
      </c>
      <c r="T1780" s="21" t="s">
        <v>41</v>
      </c>
      <c r="U1780" s="21"/>
      <c r="V1780" s="4" t="s">
        <v>42</v>
      </c>
      <c r="W1780" s="4" t="s">
        <v>130</v>
      </c>
      <c r="X1780" s="4" t="s">
        <v>60</v>
      </c>
      <c r="Y1780" s="21" t="s">
        <v>65</v>
      </c>
      <c r="Z1780" s="21"/>
      <c r="AA1780" s="4" t="s">
        <v>46</v>
      </c>
      <c r="AB1780" s="4" t="s">
        <v>47</v>
      </c>
      <c r="AC1780" s="4" t="s">
        <v>66</v>
      </c>
      <c r="AD1780" s="4" t="s">
        <v>73</v>
      </c>
      <c r="AE1780" s="4" t="s">
        <v>48</v>
      </c>
      <c r="AF1780" s="4" t="s">
        <v>41</v>
      </c>
      <c r="AG1780" s="4" t="s">
        <v>3588</v>
      </c>
    </row>
    <row r="1781" spans="1:33" ht="16.5" customHeight="1" x14ac:dyDescent="0.2">
      <c r="A1781" s="2" t="s">
        <v>31</v>
      </c>
      <c r="B1781" s="19" t="s">
        <v>50</v>
      </c>
      <c r="C1781" s="19"/>
      <c r="D1781" s="19"/>
      <c r="E1781" s="20" t="s">
        <v>33</v>
      </c>
      <c r="F1781" s="20"/>
      <c r="G1781" s="21" t="s">
        <v>3583</v>
      </c>
      <c r="H1781" s="21"/>
      <c r="I1781" s="21"/>
      <c r="J1781" s="3" t="s">
        <v>35</v>
      </c>
      <c r="K1781" s="4" t="s">
        <v>74</v>
      </c>
      <c r="L1781" s="4" t="s">
        <v>37</v>
      </c>
      <c r="N1781" s="21" t="s">
        <v>3798</v>
      </c>
      <c r="O1781" s="21"/>
      <c r="P1781" s="21" t="s">
        <v>3799</v>
      </c>
      <c r="Q1781" s="21"/>
      <c r="R1781" s="21"/>
      <c r="S1781" s="3" t="s">
        <v>40</v>
      </c>
      <c r="T1781" s="21" t="s">
        <v>41</v>
      </c>
      <c r="U1781" s="21"/>
      <c r="V1781" s="4" t="s">
        <v>59</v>
      </c>
      <c r="W1781" s="4" t="s">
        <v>130</v>
      </c>
      <c r="X1781" s="4" t="s">
        <v>131</v>
      </c>
      <c r="Y1781" s="21" t="s">
        <v>65</v>
      </c>
      <c r="Z1781" s="21"/>
      <c r="AA1781" s="4" t="s">
        <v>46</v>
      </c>
      <c r="AB1781" s="4" t="s">
        <v>47</v>
      </c>
      <c r="AC1781" s="4" t="s">
        <v>66</v>
      </c>
      <c r="AD1781" s="4" t="s">
        <v>73</v>
      </c>
      <c r="AE1781" s="4" t="s">
        <v>48</v>
      </c>
      <c r="AF1781" s="4" t="s">
        <v>41</v>
      </c>
      <c r="AG1781" s="4" t="s">
        <v>3588</v>
      </c>
    </row>
    <row r="1782" spans="1:33" ht="16.5" customHeight="1" x14ac:dyDescent="0.2">
      <c r="A1782" s="2" t="s">
        <v>31</v>
      </c>
      <c r="B1782" s="19" t="s">
        <v>50</v>
      </c>
      <c r="C1782" s="19"/>
      <c r="D1782" s="19"/>
      <c r="E1782" s="20" t="s">
        <v>33</v>
      </c>
      <c r="F1782" s="20"/>
      <c r="G1782" s="21" t="s">
        <v>3583</v>
      </c>
      <c r="H1782" s="21"/>
      <c r="I1782" s="21"/>
      <c r="J1782" s="3" t="s">
        <v>35</v>
      </c>
      <c r="K1782" s="4" t="s">
        <v>51</v>
      </c>
      <c r="L1782" s="4" t="s">
        <v>37</v>
      </c>
      <c r="N1782" s="21" t="s">
        <v>3800</v>
      </c>
      <c r="O1782" s="21"/>
      <c r="P1782" s="21" t="s">
        <v>3801</v>
      </c>
      <c r="Q1782" s="21"/>
      <c r="R1782" s="21"/>
      <c r="S1782" s="3" t="s">
        <v>40</v>
      </c>
      <c r="T1782" s="21" t="s">
        <v>41</v>
      </c>
      <c r="U1782" s="21"/>
      <c r="V1782" s="4" t="s">
        <v>42</v>
      </c>
      <c r="W1782" s="4" t="s">
        <v>130</v>
      </c>
      <c r="X1782" s="4" t="s">
        <v>60</v>
      </c>
      <c r="Y1782" s="21" t="s">
        <v>56</v>
      </c>
      <c r="Z1782" s="21"/>
      <c r="AA1782" s="4" t="s">
        <v>46</v>
      </c>
      <c r="AB1782" s="4" t="s">
        <v>47</v>
      </c>
      <c r="AC1782" s="4" t="s">
        <v>57</v>
      </c>
      <c r="AD1782" s="4" t="s">
        <v>58</v>
      </c>
      <c r="AE1782" s="4" t="s">
        <v>48</v>
      </c>
      <c r="AF1782" s="4" t="s">
        <v>41</v>
      </c>
      <c r="AG1782" s="4" t="s">
        <v>3588</v>
      </c>
    </row>
    <row r="1783" spans="1:33" ht="16.5" customHeight="1" x14ac:dyDescent="0.2">
      <c r="A1783" s="2" t="s">
        <v>31</v>
      </c>
      <c r="B1783" s="19" t="s">
        <v>50</v>
      </c>
      <c r="C1783" s="19"/>
      <c r="D1783" s="19"/>
      <c r="E1783" s="20" t="s">
        <v>33</v>
      </c>
      <c r="F1783" s="20"/>
      <c r="G1783" s="21" t="s">
        <v>3583</v>
      </c>
      <c r="H1783" s="21"/>
      <c r="I1783" s="21"/>
      <c r="J1783" s="3" t="s">
        <v>35</v>
      </c>
      <c r="K1783" s="4" t="s">
        <v>51</v>
      </c>
      <c r="L1783" s="4" t="s">
        <v>37</v>
      </c>
      <c r="N1783" s="21" t="s">
        <v>3800</v>
      </c>
      <c r="O1783" s="21"/>
      <c r="P1783" s="21" t="s">
        <v>3801</v>
      </c>
      <c r="Q1783" s="21"/>
      <c r="R1783" s="21"/>
      <c r="S1783" s="3" t="s">
        <v>40</v>
      </c>
      <c r="T1783" s="21" t="s">
        <v>41</v>
      </c>
      <c r="U1783" s="21"/>
      <c r="V1783" s="4" t="s">
        <v>59</v>
      </c>
      <c r="W1783" s="4" t="s">
        <v>130</v>
      </c>
      <c r="X1783" s="4" t="s">
        <v>131</v>
      </c>
      <c r="Y1783" s="21" t="s">
        <v>56</v>
      </c>
      <c r="Z1783" s="21"/>
      <c r="AA1783" s="4" t="s">
        <v>46</v>
      </c>
      <c r="AB1783" s="4" t="s">
        <v>47</v>
      </c>
      <c r="AC1783" s="4" t="s">
        <v>57</v>
      </c>
      <c r="AD1783" s="4" t="s">
        <v>58</v>
      </c>
      <c r="AE1783" s="4" t="s">
        <v>48</v>
      </c>
      <c r="AF1783" s="4" t="s">
        <v>41</v>
      </c>
      <c r="AG1783" s="4" t="s">
        <v>3588</v>
      </c>
    </row>
    <row r="1784" spans="1:33" ht="16.5" customHeight="1" x14ac:dyDescent="0.2">
      <c r="A1784" s="2" t="s">
        <v>31</v>
      </c>
      <c r="B1784" s="19" t="s">
        <v>50</v>
      </c>
      <c r="C1784" s="19"/>
      <c r="D1784" s="19"/>
      <c r="E1784" s="20" t="s">
        <v>33</v>
      </c>
      <c r="F1784" s="20"/>
      <c r="G1784" s="21" t="s">
        <v>3583</v>
      </c>
      <c r="H1784" s="21"/>
      <c r="I1784" s="21"/>
      <c r="J1784" s="3" t="s">
        <v>35</v>
      </c>
      <c r="K1784" s="4" t="s">
        <v>61</v>
      </c>
      <c r="L1784" s="4" t="s">
        <v>68</v>
      </c>
      <c r="N1784" s="21" t="s">
        <v>3802</v>
      </c>
      <c r="O1784" s="21"/>
      <c r="P1784" s="21" t="s">
        <v>3803</v>
      </c>
      <c r="Q1784" s="21"/>
      <c r="R1784" s="21"/>
      <c r="S1784" s="3" t="s">
        <v>40</v>
      </c>
      <c r="T1784" s="21" t="s">
        <v>41</v>
      </c>
      <c r="U1784" s="21"/>
      <c r="V1784" s="4" t="s">
        <v>42</v>
      </c>
      <c r="W1784" s="4" t="s">
        <v>59</v>
      </c>
      <c r="X1784" s="4" t="s">
        <v>131</v>
      </c>
      <c r="Y1784" s="21" t="s">
        <v>65</v>
      </c>
      <c r="Z1784" s="21"/>
      <c r="AA1784" s="4" t="s">
        <v>46</v>
      </c>
      <c r="AB1784" s="4" t="s">
        <v>47</v>
      </c>
      <c r="AC1784" s="4" t="s">
        <v>66</v>
      </c>
      <c r="AD1784" s="4" t="s">
        <v>69</v>
      </c>
      <c r="AE1784" s="4" t="s">
        <v>48</v>
      </c>
      <c r="AF1784" s="4" t="s">
        <v>41</v>
      </c>
      <c r="AG1784" s="4" t="s">
        <v>3588</v>
      </c>
    </row>
    <row r="1785" spans="1:33" ht="16.5" customHeight="1" x14ac:dyDescent="0.2">
      <c r="A1785" s="2" t="s">
        <v>31</v>
      </c>
      <c r="B1785" s="19" t="s">
        <v>50</v>
      </c>
      <c r="C1785" s="19"/>
      <c r="D1785" s="19"/>
      <c r="E1785" s="20" t="s">
        <v>33</v>
      </c>
      <c r="F1785" s="20"/>
      <c r="G1785" s="21" t="s">
        <v>3583</v>
      </c>
      <c r="H1785" s="21"/>
      <c r="I1785" s="21"/>
      <c r="J1785" s="3" t="s">
        <v>35</v>
      </c>
      <c r="K1785" s="4" t="s">
        <v>74</v>
      </c>
      <c r="L1785" s="4" t="s">
        <v>37</v>
      </c>
      <c r="N1785" s="21" t="s">
        <v>3804</v>
      </c>
      <c r="O1785" s="21"/>
      <c r="P1785" s="21" t="s">
        <v>3805</v>
      </c>
      <c r="Q1785" s="21"/>
      <c r="R1785" s="21"/>
      <c r="S1785" s="3" t="s">
        <v>40</v>
      </c>
      <c r="T1785" s="21" t="s">
        <v>41</v>
      </c>
      <c r="U1785" s="21"/>
      <c r="V1785" s="4" t="s">
        <v>42</v>
      </c>
      <c r="W1785" s="4" t="s">
        <v>59</v>
      </c>
      <c r="X1785" s="4" t="s">
        <v>131</v>
      </c>
      <c r="Y1785" s="21" t="s">
        <v>65</v>
      </c>
      <c r="Z1785" s="21"/>
      <c r="AA1785" s="4" t="s">
        <v>46</v>
      </c>
      <c r="AB1785" s="4" t="s">
        <v>47</v>
      </c>
      <c r="AC1785" s="4" t="s">
        <v>66</v>
      </c>
      <c r="AD1785" s="4" t="s">
        <v>73</v>
      </c>
      <c r="AE1785" s="4" t="s">
        <v>48</v>
      </c>
      <c r="AF1785" s="4" t="s">
        <v>41</v>
      </c>
      <c r="AG1785" s="4" t="s">
        <v>3588</v>
      </c>
    </row>
    <row r="1786" spans="1:33" ht="16.5" customHeight="1" x14ac:dyDescent="0.2">
      <c r="A1786" s="2" t="s">
        <v>31</v>
      </c>
      <c r="B1786" s="19" t="s">
        <v>110</v>
      </c>
      <c r="C1786" s="19"/>
      <c r="D1786" s="19"/>
      <c r="E1786" s="20" t="s">
        <v>33</v>
      </c>
      <c r="F1786" s="20"/>
      <c r="G1786" s="21" t="s">
        <v>3583</v>
      </c>
      <c r="H1786" s="21"/>
      <c r="I1786" s="21"/>
      <c r="J1786" s="3" t="s">
        <v>35</v>
      </c>
      <c r="K1786" s="4" t="s">
        <v>1301</v>
      </c>
      <c r="N1786" s="21" t="s">
        <v>3806</v>
      </c>
      <c r="O1786" s="21"/>
      <c r="P1786" s="21" t="s">
        <v>3807</v>
      </c>
      <c r="Q1786" s="21"/>
      <c r="R1786" s="21"/>
      <c r="S1786" s="3" t="s">
        <v>40</v>
      </c>
      <c r="T1786" s="21" t="s">
        <v>3808</v>
      </c>
      <c r="U1786" s="21"/>
      <c r="V1786" s="4" t="s">
        <v>59</v>
      </c>
      <c r="W1786" s="4" t="s">
        <v>381</v>
      </c>
      <c r="X1786" s="4" t="s">
        <v>55</v>
      </c>
      <c r="Y1786" s="21" t="s">
        <v>980</v>
      </c>
      <c r="Z1786" s="21"/>
      <c r="AA1786" s="4" t="s">
        <v>46</v>
      </c>
      <c r="AB1786" s="4" t="s">
        <v>117</v>
      </c>
      <c r="AC1786" s="4" t="s">
        <v>1305</v>
      </c>
      <c r="AD1786" s="4" t="s">
        <v>3809</v>
      </c>
      <c r="AE1786" s="4" t="s">
        <v>48</v>
      </c>
      <c r="AF1786" s="4" t="s">
        <v>41</v>
      </c>
      <c r="AG1786" s="4" t="s">
        <v>3588</v>
      </c>
    </row>
    <row r="1787" spans="1:33" ht="0.75" customHeight="1" x14ac:dyDescent="0.2"/>
    <row r="1788" spans="1:33" ht="12" customHeight="1" x14ac:dyDescent="0.2"/>
    <row r="1789" spans="1:33" ht="16.5" customHeight="1" x14ac:dyDescent="0.2">
      <c r="A1789" s="2" t="s">
        <v>31</v>
      </c>
      <c r="B1789" s="19" t="s">
        <v>110</v>
      </c>
      <c r="C1789" s="19"/>
      <c r="D1789" s="19"/>
      <c r="E1789" s="20" t="s">
        <v>33</v>
      </c>
      <c r="F1789" s="20"/>
      <c r="G1789" s="21" t="s">
        <v>3583</v>
      </c>
      <c r="H1789" s="21"/>
      <c r="I1789" s="21"/>
      <c r="J1789" s="3" t="s">
        <v>35</v>
      </c>
      <c r="K1789" s="4" t="s">
        <v>394</v>
      </c>
      <c r="N1789" s="21" t="s">
        <v>3810</v>
      </c>
      <c r="O1789" s="21"/>
      <c r="P1789" s="21" t="s">
        <v>3585</v>
      </c>
      <c r="Q1789" s="21"/>
      <c r="R1789" s="21"/>
      <c r="S1789" s="3" t="s">
        <v>40</v>
      </c>
      <c r="T1789" s="21" t="s">
        <v>3811</v>
      </c>
      <c r="U1789" s="21"/>
      <c r="V1789" s="4" t="s">
        <v>59</v>
      </c>
      <c r="W1789" s="4" t="s">
        <v>381</v>
      </c>
      <c r="X1789" s="4" t="s">
        <v>55</v>
      </c>
      <c r="Y1789" s="21" t="s">
        <v>924</v>
      </c>
      <c r="Z1789" s="21"/>
      <c r="AA1789" s="4" t="s">
        <v>46</v>
      </c>
      <c r="AB1789" s="4" t="s">
        <v>117</v>
      </c>
      <c r="AC1789" s="4" t="s">
        <v>925</v>
      </c>
      <c r="AD1789" s="4" t="s">
        <v>3812</v>
      </c>
      <c r="AE1789" s="4" t="s">
        <v>48</v>
      </c>
      <c r="AF1789" s="4" t="s">
        <v>41</v>
      </c>
      <c r="AG1789" s="4" t="s">
        <v>3588</v>
      </c>
    </row>
    <row r="1790" spans="1:33" ht="16.5" customHeight="1" x14ac:dyDescent="0.2">
      <c r="A1790" s="2" t="s">
        <v>31</v>
      </c>
      <c r="B1790" s="19" t="s">
        <v>110</v>
      </c>
      <c r="C1790" s="19"/>
      <c r="D1790" s="19"/>
      <c r="E1790" s="20" t="s">
        <v>33</v>
      </c>
      <c r="F1790" s="20"/>
      <c r="G1790" s="21" t="s">
        <v>3583</v>
      </c>
      <c r="H1790" s="21"/>
      <c r="I1790" s="21"/>
      <c r="J1790" s="3" t="s">
        <v>35</v>
      </c>
      <c r="K1790" s="4" t="s">
        <v>394</v>
      </c>
      <c r="N1790" s="21" t="s">
        <v>3813</v>
      </c>
      <c r="O1790" s="21"/>
      <c r="P1790" s="21" t="s">
        <v>3814</v>
      </c>
      <c r="Q1790" s="21"/>
      <c r="R1790" s="21"/>
      <c r="S1790" s="3" t="s">
        <v>40</v>
      </c>
      <c r="T1790" s="21" t="s">
        <v>3815</v>
      </c>
      <c r="U1790" s="21"/>
      <c r="V1790" s="4" t="s">
        <v>59</v>
      </c>
      <c r="W1790" s="4" t="s">
        <v>381</v>
      </c>
      <c r="X1790" s="4" t="s">
        <v>55</v>
      </c>
      <c r="Y1790" s="21" t="s">
        <v>924</v>
      </c>
      <c r="Z1790" s="21"/>
      <c r="AA1790" s="4" t="s">
        <v>46</v>
      </c>
      <c r="AB1790" s="4" t="s">
        <v>117</v>
      </c>
      <c r="AC1790" s="4" t="s">
        <v>925</v>
      </c>
      <c r="AD1790" s="4" t="s">
        <v>3816</v>
      </c>
      <c r="AE1790" s="4" t="s">
        <v>48</v>
      </c>
      <c r="AF1790" s="4" t="s">
        <v>41</v>
      </c>
      <c r="AG1790" s="4" t="s">
        <v>3588</v>
      </c>
    </row>
    <row r="1791" spans="1:33" ht="16.5" customHeight="1" x14ac:dyDescent="0.2">
      <c r="A1791" s="2" t="s">
        <v>31</v>
      </c>
      <c r="B1791" s="19" t="s">
        <v>110</v>
      </c>
      <c r="C1791" s="19"/>
      <c r="D1791" s="19"/>
      <c r="E1791" s="20" t="s">
        <v>33</v>
      </c>
      <c r="F1791" s="20"/>
      <c r="G1791" s="21" t="s">
        <v>3583</v>
      </c>
      <c r="H1791" s="21"/>
      <c r="I1791" s="21"/>
      <c r="J1791" s="3" t="s">
        <v>35</v>
      </c>
      <c r="K1791" s="4" t="s">
        <v>3817</v>
      </c>
      <c r="N1791" s="21" t="s">
        <v>3818</v>
      </c>
      <c r="O1791" s="21"/>
      <c r="P1791" s="21" t="s">
        <v>3819</v>
      </c>
      <c r="Q1791" s="21"/>
      <c r="R1791" s="21"/>
      <c r="S1791" s="3" t="s">
        <v>40</v>
      </c>
      <c r="T1791" s="21" t="s">
        <v>3820</v>
      </c>
      <c r="U1791" s="21"/>
      <c r="V1791" s="4" t="s">
        <v>42</v>
      </c>
      <c r="W1791" s="4" t="s">
        <v>54</v>
      </c>
      <c r="X1791" s="4" t="s">
        <v>55</v>
      </c>
      <c r="Y1791" s="21" t="s">
        <v>398</v>
      </c>
      <c r="Z1791" s="21"/>
      <c r="AA1791" s="4" t="s">
        <v>46</v>
      </c>
      <c r="AB1791" s="4" t="s">
        <v>117</v>
      </c>
      <c r="AC1791" s="4" t="s">
        <v>399</v>
      </c>
      <c r="AD1791" s="4" t="s">
        <v>3821</v>
      </c>
      <c r="AE1791" s="4" t="s">
        <v>48</v>
      </c>
      <c r="AF1791" s="4" t="s">
        <v>41</v>
      </c>
      <c r="AG1791" s="4" t="s">
        <v>3588</v>
      </c>
    </row>
    <row r="1792" spans="1:33" ht="16.5" customHeight="1" x14ac:dyDescent="0.2">
      <c r="A1792" s="2" t="s">
        <v>31</v>
      </c>
      <c r="B1792" s="19" t="s">
        <v>110</v>
      </c>
      <c r="C1792" s="19"/>
      <c r="D1792" s="19"/>
      <c r="E1792" s="20" t="s">
        <v>33</v>
      </c>
      <c r="F1792" s="20"/>
      <c r="G1792" s="21" t="s">
        <v>3583</v>
      </c>
      <c r="H1792" s="21"/>
      <c r="I1792" s="21"/>
      <c r="J1792" s="3" t="s">
        <v>35</v>
      </c>
      <c r="K1792" s="4" t="s">
        <v>3817</v>
      </c>
      <c r="N1792" s="21" t="s">
        <v>3818</v>
      </c>
      <c r="O1792" s="21"/>
      <c r="P1792" s="21" t="s">
        <v>3819</v>
      </c>
      <c r="Q1792" s="21"/>
      <c r="R1792" s="21"/>
      <c r="S1792" s="3" t="s">
        <v>40</v>
      </c>
      <c r="T1792" s="21" t="s">
        <v>3820</v>
      </c>
      <c r="U1792" s="21"/>
      <c r="V1792" s="4" t="s">
        <v>59</v>
      </c>
      <c r="W1792" s="4" t="s">
        <v>54</v>
      </c>
      <c r="X1792" s="4" t="s">
        <v>60</v>
      </c>
      <c r="Y1792" s="21" t="s">
        <v>398</v>
      </c>
      <c r="Z1792" s="21"/>
      <c r="AA1792" s="4" t="s">
        <v>46</v>
      </c>
      <c r="AB1792" s="4" t="s">
        <v>117</v>
      </c>
      <c r="AC1792" s="4" t="s">
        <v>399</v>
      </c>
      <c r="AD1792" s="4" t="s">
        <v>3821</v>
      </c>
      <c r="AE1792" s="4" t="s">
        <v>48</v>
      </c>
      <c r="AF1792" s="4" t="s">
        <v>41</v>
      </c>
      <c r="AG1792" s="4" t="s">
        <v>3588</v>
      </c>
    </row>
    <row r="1793" spans="1:33" ht="16.5" customHeight="1" x14ac:dyDescent="0.2">
      <c r="A1793" s="2" t="s">
        <v>31</v>
      </c>
      <c r="B1793" s="19" t="s">
        <v>110</v>
      </c>
      <c r="C1793" s="19"/>
      <c r="D1793" s="19"/>
      <c r="E1793" s="20" t="s">
        <v>33</v>
      </c>
      <c r="F1793" s="20"/>
      <c r="G1793" s="21" t="s">
        <v>3583</v>
      </c>
      <c r="H1793" s="21"/>
      <c r="I1793" s="21"/>
      <c r="J1793" s="3" t="s">
        <v>35</v>
      </c>
      <c r="K1793" s="4" t="s">
        <v>3817</v>
      </c>
      <c r="N1793" s="21" t="s">
        <v>3818</v>
      </c>
      <c r="O1793" s="21"/>
      <c r="P1793" s="21" t="s">
        <v>3819</v>
      </c>
      <c r="Q1793" s="21"/>
      <c r="R1793" s="21"/>
      <c r="S1793" s="3" t="s">
        <v>40</v>
      </c>
      <c r="T1793" s="21" t="s">
        <v>3822</v>
      </c>
      <c r="U1793" s="21"/>
      <c r="V1793" s="4" t="s">
        <v>59</v>
      </c>
      <c r="W1793" s="4" t="s">
        <v>54</v>
      </c>
      <c r="X1793" s="4" t="s">
        <v>60</v>
      </c>
      <c r="Y1793" s="21" t="s">
        <v>398</v>
      </c>
      <c r="Z1793" s="21"/>
      <c r="AA1793" s="4" t="s">
        <v>46</v>
      </c>
      <c r="AB1793" s="4" t="s">
        <v>117</v>
      </c>
      <c r="AC1793" s="4" t="s">
        <v>399</v>
      </c>
      <c r="AD1793" s="4" t="s">
        <v>3823</v>
      </c>
      <c r="AE1793" s="4" t="s">
        <v>48</v>
      </c>
      <c r="AF1793" s="4" t="s">
        <v>41</v>
      </c>
      <c r="AG1793" s="4" t="s">
        <v>3588</v>
      </c>
    </row>
    <row r="1794" spans="1:33" ht="16.5" customHeight="1" x14ac:dyDescent="0.2">
      <c r="A1794" s="2" t="s">
        <v>31</v>
      </c>
      <c r="B1794" s="19" t="s">
        <v>110</v>
      </c>
      <c r="C1794" s="19"/>
      <c r="D1794" s="19"/>
      <c r="E1794" s="20" t="s">
        <v>33</v>
      </c>
      <c r="F1794" s="20"/>
      <c r="G1794" s="21" t="s">
        <v>3583</v>
      </c>
      <c r="H1794" s="21"/>
      <c r="I1794" s="21"/>
      <c r="J1794" s="3" t="s">
        <v>35</v>
      </c>
      <c r="K1794" s="4" t="s">
        <v>394</v>
      </c>
      <c r="N1794" s="21" t="s">
        <v>3824</v>
      </c>
      <c r="O1794" s="21"/>
      <c r="P1794" s="21" t="s">
        <v>3825</v>
      </c>
      <c r="Q1794" s="21"/>
      <c r="R1794" s="21"/>
      <c r="S1794" s="3" t="s">
        <v>40</v>
      </c>
      <c r="T1794" s="21" t="s">
        <v>3826</v>
      </c>
      <c r="U1794" s="21"/>
      <c r="V1794" s="4" t="s">
        <v>59</v>
      </c>
      <c r="W1794" s="4" t="s">
        <v>54</v>
      </c>
      <c r="X1794" s="4" t="s">
        <v>60</v>
      </c>
      <c r="Y1794" s="21" t="s">
        <v>924</v>
      </c>
      <c r="Z1794" s="21"/>
      <c r="AA1794" s="4" t="s">
        <v>46</v>
      </c>
      <c r="AB1794" s="4" t="s">
        <v>117</v>
      </c>
      <c r="AC1794" s="4" t="s">
        <v>925</v>
      </c>
      <c r="AD1794" s="4" t="s">
        <v>3827</v>
      </c>
      <c r="AE1794" s="4" t="s">
        <v>48</v>
      </c>
      <c r="AF1794" s="4" t="s">
        <v>41</v>
      </c>
      <c r="AG1794" s="4" t="s">
        <v>3588</v>
      </c>
    </row>
    <row r="1795" spans="1:33" ht="16.5" customHeight="1" x14ac:dyDescent="0.2">
      <c r="A1795" s="2" t="s">
        <v>31</v>
      </c>
      <c r="B1795" s="19" t="s">
        <v>110</v>
      </c>
      <c r="C1795" s="19"/>
      <c r="D1795" s="19"/>
      <c r="E1795" s="20" t="s">
        <v>33</v>
      </c>
      <c r="F1795" s="20"/>
      <c r="G1795" s="21" t="s">
        <v>3583</v>
      </c>
      <c r="H1795" s="21"/>
      <c r="I1795" s="21"/>
      <c r="J1795" s="3" t="s">
        <v>35</v>
      </c>
      <c r="K1795" s="4" t="s">
        <v>394</v>
      </c>
      <c r="N1795" s="21" t="s">
        <v>3828</v>
      </c>
      <c r="O1795" s="21"/>
      <c r="P1795" s="21" t="s">
        <v>3829</v>
      </c>
      <c r="Q1795" s="21"/>
      <c r="R1795" s="21"/>
      <c r="S1795" s="3" t="s">
        <v>40</v>
      </c>
      <c r="T1795" s="21" t="s">
        <v>3830</v>
      </c>
      <c r="U1795" s="21"/>
      <c r="V1795" s="4" t="s">
        <v>59</v>
      </c>
      <c r="W1795" s="4" t="s">
        <v>54</v>
      </c>
      <c r="X1795" s="4" t="s">
        <v>60</v>
      </c>
      <c r="Y1795" s="21" t="s">
        <v>924</v>
      </c>
      <c r="Z1795" s="21"/>
      <c r="AA1795" s="4" t="s">
        <v>46</v>
      </c>
      <c r="AB1795" s="4" t="s">
        <v>117</v>
      </c>
      <c r="AC1795" s="4" t="s">
        <v>925</v>
      </c>
      <c r="AD1795" s="4" t="s">
        <v>3831</v>
      </c>
      <c r="AE1795" s="4" t="s">
        <v>48</v>
      </c>
      <c r="AF1795" s="4" t="s">
        <v>41</v>
      </c>
      <c r="AG1795" s="4" t="s">
        <v>3588</v>
      </c>
    </row>
    <row r="1796" spans="1:33" ht="16.5" customHeight="1" x14ac:dyDescent="0.2">
      <c r="A1796" s="2" t="s">
        <v>31</v>
      </c>
      <c r="B1796" s="19" t="s">
        <v>110</v>
      </c>
      <c r="C1796" s="19"/>
      <c r="D1796" s="19"/>
      <c r="E1796" s="20" t="s">
        <v>33</v>
      </c>
      <c r="F1796" s="20"/>
      <c r="G1796" s="21" t="s">
        <v>3583</v>
      </c>
      <c r="H1796" s="21"/>
      <c r="I1796" s="21"/>
      <c r="J1796" s="3" t="s">
        <v>35</v>
      </c>
      <c r="K1796" s="4" t="s">
        <v>1301</v>
      </c>
      <c r="N1796" s="21" t="s">
        <v>3832</v>
      </c>
      <c r="O1796" s="21"/>
      <c r="P1796" s="21" t="s">
        <v>3833</v>
      </c>
      <c r="Q1796" s="21"/>
      <c r="R1796" s="21"/>
      <c r="S1796" s="3" t="s">
        <v>40</v>
      </c>
      <c r="T1796" s="21" t="s">
        <v>3834</v>
      </c>
      <c r="U1796" s="21"/>
      <c r="V1796" s="4" t="s">
        <v>59</v>
      </c>
      <c r="W1796" s="4" t="s">
        <v>54</v>
      </c>
      <c r="X1796" s="4" t="s">
        <v>60</v>
      </c>
      <c r="Y1796" s="21" t="s">
        <v>980</v>
      </c>
      <c r="Z1796" s="21"/>
      <c r="AA1796" s="4" t="s">
        <v>46</v>
      </c>
      <c r="AB1796" s="4" t="s">
        <v>117</v>
      </c>
      <c r="AC1796" s="4" t="s">
        <v>1305</v>
      </c>
      <c r="AD1796" s="4" t="s">
        <v>3835</v>
      </c>
      <c r="AE1796" s="4" t="s">
        <v>48</v>
      </c>
      <c r="AF1796" s="4" t="s">
        <v>41</v>
      </c>
      <c r="AG1796" s="4" t="s">
        <v>3588</v>
      </c>
    </row>
    <row r="1797" spans="1:33" ht="16.5" customHeight="1" x14ac:dyDescent="0.2">
      <c r="A1797" s="2" t="s">
        <v>31</v>
      </c>
      <c r="B1797" s="19" t="s">
        <v>110</v>
      </c>
      <c r="C1797" s="19"/>
      <c r="D1797" s="19"/>
      <c r="E1797" s="20" t="s">
        <v>33</v>
      </c>
      <c r="F1797" s="20"/>
      <c r="G1797" s="21" t="s">
        <v>3583</v>
      </c>
      <c r="H1797" s="21"/>
      <c r="I1797" s="21"/>
      <c r="J1797" s="3" t="s">
        <v>35</v>
      </c>
      <c r="K1797" s="4" t="s">
        <v>1301</v>
      </c>
      <c r="N1797" s="21" t="s">
        <v>3832</v>
      </c>
      <c r="O1797" s="21"/>
      <c r="P1797" s="21" t="s">
        <v>3833</v>
      </c>
      <c r="Q1797" s="21"/>
      <c r="R1797" s="21"/>
      <c r="S1797" s="3" t="s">
        <v>40</v>
      </c>
      <c r="T1797" s="21" t="s">
        <v>3834</v>
      </c>
      <c r="U1797" s="21"/>
      <c r="V1797" s="4" t="s">
        <v>130</v>
      </c>
      <c r="W1797" s="4" t="s">
        <v>54</v>
      </c>
      <c r="X1797" s="4" t="s">
        <v>131</v>
      </c>
      <c r="Y1797" s="21" t="s">
        <v>980</v>
      </c>
      <c r="Z1797" s="21"/>
      <c r="AA1797" s="4" t="s">
        <v>46</v>
      </c>
      <c r="AB1797" s="4" t="s">
        <v>117</v>
      </c>
      <c r="AC1797" s="4" t="s">
        <v>1305</v>
      </c>
      <c r="AD1797" s="4" t="s">
        <v>3835</v>
      </c>
      <c r="AE1797" s="4" t="s">
        <v>48</v>
      </c>
      <c r="AF1797" s="4" t="s">
        <v>41</v>
      </c>
      <c r="AG1797" s="4" t="s">
        <v>3588</v>
      </c>
    </row>
    <row r="1798" spans="1:33" ht="16.5" customHeight="1" x14ac:dyDescent="0.2">
      <c r="A1798" s="2" t="s">
        <v>31</v>
      </c>
      <c r="B1798" s="19" t="s">
        <v>110</v>
      </c>
      <c r="C1798" s="19"/>
      <c r="D1798" s="19"/>
      <c r="E1798" s="20" t="s">
        <v>33</v>
      </c>
      <c r="F1798" s="20"/>
      <c r="G1798" s="21" t="s">
        <v>3583</v>
      </c>
      <c r="H1798" s="21"/>
      <c r="I1798" s="21"/>
      <c r="J1798" s="3" t="s">
        <v>35</v>
      </c>
      <c r="K1798" s="4" t="s">
        <v>1301</v>
      </c>
      <c r="N1798" s="21" t="s">
        <v>3836</v>
      </c>
      <c r="O1798" s="21"/>
      <c r="P1798" s="21" t="s">
        <v>3837</v>
      </c>
      <c r="Q1798" s="21"/>
      <c r="R1798" s="21"/>
      <c r="S1798" s="3" t="s">
        <v>40</v>
      </c>
      <c r="T1798" s="21" t="s">
        <v>3838</v>
      </c>
      <c r="U1798" s="21"/>
      <c r="V1798" s="4" t="s">
        <v>3019</v>
      </c>
      <c r="W1798" s="4" t="s">
        <v>3839</v>
      </c>
      <c r="X1798" s="4" t="s">
        <v>382</v>
      </c>
      <c r="Y1798" s="21" t="s">
        <v>959</v>
      </c>
      <c r="Z1798" s="21"/>
      <c r="AA1798" s="4" t="s">
        <v>46</v>
      </c>
      <c r="AB1798" s="4" t="s">
        <v>117</v>
      </c>
      <c r="AC1798" s="4" t="s">
        <v>960</v>
      </c>
      <c r="AD1798" s="4" t="s">
        <v>3840</v>
      </c>
      <c r="AE1798" s="4" t="s">
        <v>48</v>
      </c>
      <c r="AF1798" s="4" t="s">
        <v>41</v>
      </c>
      <c r="AG1798" s="4" t="s">
        <v>3588</v>
      </c>
    </row>
    <row r="1799" spans="1:33" ht="16.5" customHeight="1" x14ac:dyDescent="0.2">
      <c r="A1799" s="2" t="s">
        <v>31</v>
      </c>
      <c r="B1799" s="19" t="s">
        <v>110</v>
      </c>
      <c r="C1799" s="19"/>
      <c r="D1799" s="19"/>
      <c r="E1799" s="20" t="s">
        <v>33</v>
      </c>
      <c r="F1799" s="20"/>
      <c r="G1799" s="21" t="s">
        <v>3583</v>
      </c>
      <c r="H1799" s="21"/>
      <c r="I1799" s="21"/>
      <c r="J1799" s="3" t="s">
        <v>35</v>
      </c>
      <c r="K1799" s="4" t="s">
        <v>394</v>
      </c>
      <c r="N1799" s="21" t="s">
        <v>3841</v>
      </c>
      <c r="O1799" s="21"/>
      <c r="P1799" s="21" t="s">
        <v>3594</v>
      </c>
      <c r="Q1799" s="21"/>
      <c r="R1799" s="21"/>
      <c r="S1799" s="3" t="s">
        <v>40</v>
      </c>
      <c r="T1799" s="21" t="s">
        <v>2056</v>
      </c>
      <c r="U1799" s="21"/>
      <c r="V1799" s="4" t="s">
        <v>59</v>
      </c>
      <c r="W1799" s="4" t="s">
        <v>54</v>
      </c>
      <c r="X1799" s="4" t="s">
        <v>60</v>
      </c>
      <c r="Y1799" s="21" t="s">
        <v>398</v>
      </c>
      <c r="Z1799" s="21"/>
      <c r="AA1799" s="4" t="s">
        <v>46</v>
      </c>
      <c r="AB1799" s="4" t="s">
        <v>117</v>
      </c>
      <c r="AC1799" s="4" t="s">
        <v>399</v>
      </c>
      <c r="AD1799" s="4" t="s">
        <v>2057</v>
      </c>
      <c r="AE1799" s="4" t="s">
        <v>48</v>
      </c>
      <c r="AF1799" s="4" t="s">
        <v>41</v>
      </c>
      <c r="AG1799" s="4" t="s">
        <v>3588</v>
      </c>
    </row>
    <row r="1800" spans="1:33" ht="16.5" customHeight="1" x14ac:dyDescent="0.2">
      <c r="A1800" s="2" t="s">
        <v>31</v>
      </c>
      <c r="B1800" s="19" t="s">
        <v>110</v>
      </c>
      <c r="C1800" s="19"/>
      <c r="D1800" s="19"/>
      <c r="E1800" s="20" t="s">
        <v>33</v>
      </c>
      <c r="F1800" s="20"/>
      <c r="G1800" s="21" t="s">
        <v>3583</v>
      </c>
      <c r="H1800" s="21"/>
      <c r="I1800" s="21"/>
      <c r="J1800" s="3" t="s">
        <v>35</v>
      </c>
      <c r="K1800" s="4" t="s">
        <v>394</v>
      </c>
      <c r="N1800" s="21" t="s">
        <v>3842</v>
      </c>
      <c r="O1800" s="21"/>
      <c r="P1800" s="21" t="s">
        <v>3596</v>
      </c>
      <c r="Q1800" s="21"/>
      <c r="R1800" s="21"/>
      <c r="S1800" s="3" t="s">
        <v>40</v>
      </c>
      <c r="T1800" s="21" t="s">
        <v>397</v>
      </c>
      <c r="U1800" s="21"/>
      <c r="V1800" s="4" t="s">
        <v>59</v>
      </c>
      <c r="W1800" s="4" t="s">
        <v>54</v>
      </c>
      <c r="X1800" s="4" t="s">
        <v>60</v>
      </c>
      <c r="Y1800" s="21" t="s">
        <v>398</v>
      </c>
      <c r="Z1800" s="21"/>
      <c r="AA1800" s="4" t="s">
        <v>46</v>
      </c>
      <c r="AB1800" s="4" t="s">
        <v>117</v>
      </c>
      <c r="AC1800" s="4" t="s">
        <v>399</v>
      </c>
      <c r="AD1800" s="4" t="s">
        <v>400</v>
      </c>
      <c r="AE1800" s="4" t="s">
        <v>48</v>
      </c>
      <c r="AF1800" s="4" t="s">
        <v>41</v>
      </c>
      <c r="AG1800" s="4" t="s">
        <v>3588</v>
      </c>
    </row>
    <row r="1801" spans="1:33" ht="16.5" customHeight="1" x14ac:dyDescent="0.2">
      <c r="A1801" s="2" t="s">
        <v>31</v>
      </c>
      <c r="B1801" s="19" t="s">
        <v>110</v>
      </c>
      <c r="C1801" s="19"/>
      <c r="D1801" s="19"/>
      <c r="E1801" s="20" t="s">
        <v>33</v>
      </c>
      <c r="F1801" s="20"/>
      <c r="G1801" s="21" t="s">
        <v>3583</v>
      </c>
      <c r="H1801" s="21"/>
      <c r="I1801" s="21"/>
      <c r="J1801" s="3" t="s">
        <v>35</v>
      </c>
      <c r="K1801" s="4" t="s">
        <v>394</v>
      </c>
      <c r="N1801" s="21" t="s">
        <v>3843</v>
      </c>
      <c r="O1801" s="21"/>
      <c r="P1801" s="21" t="s">
        <v>3844</v>
      </c>
      <c r="Q1801" s="21"/>
      <c r="R1801" s="21"/>
      <c r="S1801" s="3" t="s">
        <v>40</v>
      </c>
      <c r="T1801" s="21" t="s">
        <v>1281</v>
      </c>
      <c r="U1801" s="21"/>
      <c r="V1801" s="4" t="s">
        <v>3845</v>
      </c>
      <c r="W1801" s="4" t="s">
        <v>3846</v>
      </c>
      <c r="X1801" s="4" t="s">
        <v>55</v>
      </c>
      <c r="Y1801" s="21" t="s">
        <v>398</v>
      </c>
      <c r="Z1801" s="21"/>
      <c r="AA1801" s="4" t="s">
        <v>46</v>
      </c>
      <c r="AB1801" s="4" t="s">
        <v>117</v>
      </c>
      <c r="AC1801" s="4" t="s">
        <v>399</v>
      </c>
      <c r="AD1801" s="4" t="s">
        <v>1282</v>
      </c>
      <c r="AE1801" s="4" t="s">
        <v>48</v>
      </c>
      <c r="AF1801" s="4" t="s">
        <v>41</v>
      </c>
      <c r="AG1801" s="4" t="s">
        <v>3588</v>
      </c>
    </row>
    <row r="1802" spans="1:33" ht="16.5" customHeight="1" x14ac:dyDescent="0.2">
      <c r="A1802" s="2" t="s">
        <v>31</v>
      </c>
      <c r="B1802" s="19" t="s">
        <v>110</v>
      </c>
      <c r="C1802" s="19"/>
      <c r="D1802" s="19"/>
      <c r="E1802" s="20" t="s">
        <v>33</v>
      </c>
      <c r="F1802" s="20"/>
      <c r="G1802" s="21" t="s">
        <v>3583</v>
      </c>
      <c r="H1802" s="21"/>
      <c r="I1802" s="21"/>
      <c r="J1802" s="3" t="s">
        <v>35</v>
      </c>
      <c r="K1802" s="4" t="s">
        <v>394</v>
      </c>
      <c r="N1802" s="21" t="s">
        <v>3847</v>
      </c>
      <c r="O1802" s="21"/>
      <c r="P1802" s="21" t="s">
        <v>3848</v>
      </c>
      <c r="Q1802" s="21"/>
      <c r="R1802" s="21"/>
      <c r="S1802" s="3" t="s">
        <v>40</v>
      </c>
      <c r="T1802" s="21" t="s">
        <v>969</v>
      </c>
      <c r="U1802" s="21"/>
      <c r="V1802" s="4" t="s">
        <v>42</v>
      </c>
      <c r="W1802" s="4" t="s">
        <v>54</v>
      </c>
      <c r="X1802" s="4" t="s">
        <v>55</v>
      </c>
      <c r="Y1802" s="21" t="s">
        <v>398</v>
      </c>
      <c r="Z1802" s="21"/>
      <c r="AA1802" s="4" t="s">
        <v>46</v>
      </c>
      <c r="AB1802" s="4" t="s">
        <v>117</v>
      </c>
      <c r="AC1802" s="4" t="s">
        <v>399</v>
      </c>
      <c r="AD1802" s="4" t="s">
        <v>3849</v>
      </c>
      <c r="AE1802" s="4" t="s">
        <v>48</v>
      </c>
      <c r="AF1802" s="4" t="s">
        <v>41</v>
      </c>
      <c r="AG1802" s="4" t="s">
        <v>3588</v>
      </c>
    </row>
    <row r="1803" spans="1:33" ht="16.5" customHeight="1" x14ac:dyDescent="0.2">
      <c r="A1803" s="2" t="s">
        <v>31</v>
      </c>
      <c r="B1803" s="19" t="s">
        <v>110</v>
      </c>
      <c r="C1803" s="19"/>
      <c r="D1803" s="19"/>
      <c r="E1803" s="20" t="s">
        <v>33</v>
      </c>
      <c r="F1803" s="20"/>
      <c r="G1803" s="21" t="s">
        <v>3583</v>
      </c>
      <c r="H1803" s="21"/>
      <c r="I1803" s="21"/>
      <c r="J1803" s="3" t="s">
        <v>35</v>
      </c>
      <c r="K1803" s="4" t="s">
        <v>1301</v>
      </c>
      <c r="N1803" s="21" t="s">
        <v>3850</v>
      </c>
      <c r="O1803" s="21"/>
      <c r="P1803" s="21" t="s">
        <v>3851</v>
      </c>
      <c r="Q1803" s="21"/>
      <c r="R1803" s="21"/>
      <c r="S1803" s="3" t="s">
        <v>40</v>
      </c>
      <c r="T1803" s="21" t="s">
        <v>3852</v>
      </c>
      <c r="U1803" s="21"/>
      <c r="V1803" s="4" t="s">
        <v>42</v>
      </c>
      <c r="W1803" s="4" t="s">
        <v>54</v>
      </c>
      <c r="X1803" s="4" t="s">
        <v>55</v>
      </c>
      <c r="Y1803" s="21" t="s">
        <v>980</v>
      </c>
      <c r="Z1803" s="21"/>
      <c r="AA1803" s="4" t="s">
        <v>46</v>
      </c>
      <c r="AB1803" s="4" t="s">
        <v>117</v>
      </c>
      <c r="AC1803" s="4" t="s">
        <v>1305</v>
      </c>
      <c r="AD1803" s="4" t="s">
        <v>3853</v>
      </c>
      <c r="AE1803" s="4" t="s">
        <v>48</v>
      </c>
      <c r="AF1803" s="4" t="s">
        <v>41</v>
      </c>
      <c r="AG1803" s="4" t="s">
        <v>3588</v>
      </c>
    </row>
    <row r="1804" spans="1:33" ht="16.5" customHeight="1" x14ac:dyDescent="0.2">
      <c r="A1804" s="2" t="s">
        <v>31</v>
      </c>
      <c r="B1804" s="19" t="s">
        <v>110</v>
      </c>
      <c r="C1804" s="19"/>
      <c r="D1804" s="19"/>
      <c r="E1804" s="20" t="s">
        <v>33</v>
      </c>
      <c r="F1804" s="20"/>
      <c r="G1804" s="21" t="s">
        <v>3583</v>
      </c>
      <c r="H1804" s="21"/>
      <c r="I1804" s="21"/>
      <c r="J1804" s="3" t="s">
        <v>35</v>
      </c>
      <c r="K1804" s="4" t="s">
        <v>1301</v>
      </c>
      <c r="N1804" s="21" t="s">
        <v>3850</v>
      </c>
      <c r="O1804" s="21"/>
      <c r="P1804" s="21" t="s">
        <v>3851</v>
      </c>
      <c r="Q1804" s="21"/>
      <c r="R1804" s="21"/>
      <c r="S1804" s="3" t="s">
        <v>40</v>
      </c>
      <c r="T1804" s="21" t="s">
        <v>3852</v>
      </c>
      <c r="U1804" s="21"/>
      <c r="V1804" s="4" t="s">
        <v>59</v>
      </c>
      <c r="W1804" s="4" t="s">
        <v>54</v>
      </c>
      <c r="X1804" s="4" t="s">
        <v>60</v>
      </c>
      <c r="Y1804" s="21" t="s">
        <v>980</v>
      </c>
      <c r="Z1804" s="21"/>
      <c r="AA1804" s="4" t="s">
        <v>46</v>
      </c>
      <c r="AB1804" s="4" t="s">
        <v>117</v>
      </c>
      <c r="AC1804" s="4" t="s">
        <v>1305</v>
      </c>
      <c r="AD1804" s="4" t="s">
        <v>3853</v>
      </c>
      <c r="AE1804" s="4" t="s">
        <v>48</v>
      </c>
      <c r="AF1804" s="4" t="s">
        <v>41</v>
      </c>
      <c r="AG1804" s="4" t="s">
        <v>3588</v>
      </c>
    </row>
    <row r="1805" spans="1:33" ht="16.5" customHeight="1" x14ac:dyDescent="0.2">
      <c r="A1805" s="2" t="s">
        <v>31</v>
      </c>
      <c r="B1805" s="19" t="s">
        <v>110</v>
      </c>
      <c r="C1805" s="19"/>
      <c r="D1805" s="19"/>
      <c r="E1805" s="20" t="s">
        <v>33</v>
      </c>
      <c r="F1805" s="20"/>
      <c r="G1805" s="21" t="s">
        <v>3583</v>
      </c>
      <c r="H1805" s="21"/>
      <c r="I1805" s="21"/>
      <c r="J1805" s="3" t="s">
        <v>35</v>
      </c>
      <c r="K1805" s="4" t="s">
        <v>3817</v>
      </c>
      <c r="N1805" s="21" t="s">
        <v>3854</v>
      </c>
      <c r="O1805" s="21"/>
      <c r="P1805" s="21" t="s">
        <v>3855</v>
      </c>
      <c r="Q1805" s="21"/>
      <c r="R1805" s="21"/>
      <c r="S1805" s="3" t="s">
        <v>40</v>
      </c>
      <c r="T1805" s="21" t="s">
        <v>3856</v>
      </c>
      <c r="U1805" s="21"/>
      <c r="V1805" s="4" t="s">
        <v>59</v>
      </c>
      <c r="W1805" s="4" t="s">
        <v>54</v>
      </c>
      <c r="X1805" s="4" t="s">
        <v>60</v>
      </c>
      <c r="Y1805" s="21" t="s">
        <v>924</v>
      </c>
      <c r="Z1805" s="21"/>
      <c r="AA1805" s="4" t="s">
        <v>46</v>
      </c>
      <c r="AB1805" s="4" t="s">
        <v>117</v>
      </c>
      <c r="AC1805" s="4" t="s">
        <v>925</v>
      </c>
      <c r="AD1805" s="4" t="s">
        <v>3857</v>
      </c>
      <c r="AE1805" s="4" t="s">
        <v>48</v>
      </c>
      <c r="AF1805" s="4" t="s">
        <v>41</v>
      </c>
      <c r="AG1805" s="4" t="s">
        <v>3588</v>
      </c>
    </row>
    <row r="1806" spans="1:33" ht="16.5" customHeight="1" x14ac:dyDescent="0.2">
      <c r="A1806" s="2" t="s">
        <v>31</v>
      </c>
      <c r="B1806" s="19" t="s">
        <v>110</v>
      </c>
      <c r="C1806" s="19"/>
      <c r="D1806" s="19"/>
      <c r="E1806" s="20" t="s">
        <v>33</v>
      </c>
      <c r="F1806" s="20"/>
      <c r="G1806" s="21" t="s">
        <v>3583</v>
      </c>
      <c r="H1806" s="21"/>
      <c r="I1806" s="21"/>
      <c r="J1806" s="3" t="s">
        <v>35</v>
      </c>
      <c r="K1806" s="4" t="s">
        <v>1301</v>
      </c>
      <c r="N1806" s="21" t="s">
        <v>3858</v>
      </c>
      <c r="O1806" s="21"/>
      <c r="P1806" s="21" t="s">
        <v>3859</v>
      </c>
      <c r="Q1806" s="21"/>
      <c r="R1806" s="21"/>
      <c r="S1806" s="3" t="s">
        <v>40</v>
      </c>
      <c r="T1806" s="21" t="s">
        <v>3860</v>
      </c>
      <c r="U1806" s="21"/>
      <c r="V1806" s="4" t="s">
        <v>59</v>
      </c>
      <c r="W1806" s="4" t="s">
        <v>54</v>
      </c>
      <c r="X1806" s="4" t="s">
        <v>60</v>
      </c>
      <c r="Y1806" s="21" t="s">
        <v>980</v>
      </c>
      <c r="Z1806" s="21"/>
      <c r="AA1806" s="4" t="s">
        <v>46</v>
      </c>
      <c r="AB1806" s="4" t="s">
        <v>117</v>
      </c>
      <c r="AC1806" s="4" t="s">
        <v>1305</v>
      </c>
      <c r="AD1806" s="4" t="s">
        <v>3861</v>
      </c>
      <c r="AE1806" s="4" t="s">
        <v>48</v>
      </c>
      <c r="AF1806" s="4" t="s">
        <v>41</v>
      </c>
      <c r="AG1806" s="4" t="s">
        <v>3588</v>
      </c>
    </row>
    <row r="1807" spans="1:33" ht="16.5" customHeight="1" x14ac:dyDescent="0.2">
      <c r="A1807" s="2" t="s">
        <v>31</v>
      </c>
      <c r="B1807" s="19" t="s">
        <v>110</v>
      </c>
      <c r="C1807" s="19"/>
      <c r="D1807" s="19"/>
      <c r="E1807" s="20" t="s">
        <v>33</v>
      </c>
      <c r="F1807" s="20"/>
      <c r="G1807" s="21" t="s">
        <v>3583</v>
      </c>
      <c r="H1807" s="21"/>
      <c r="I1807" s="21"/>
      <c r="J1807" s="3" t="s">
        <v>35</v>
      </c>
      <c r="K1807" s="4" t="s">
        <v>937</v>
      </c>
      <c r="N1807" s="21" t="s">
        <v>3862</v>
      </c>
      <c r="O1807" s="21"/>
      <c r="P1807" s="21" t="s">
        <v>3863</v>
      </c>
      <c r="Q1807" s="21"/>
      <c r="R1807" s="21"/>
      <c r="S1807" s="3" t="s">
        <v>40</v>
      </c>
      <c r="T1807" s="21" t="s">
        <v>3100</v>
      </c>
      <c r="U1807" s="21"/>
      <c r="V1807" s="4" t="s">
        <v>59</v>
      </c>
      <c r="W1807" s="4" t="s">
        <v>54</v>
      </c>
      <c r="X1807" s="4" t="s">
        <v>60</v>
      </c>
      <c r="Y1807" s="21" t="s">
        <v>398</v>
      </c>
      <c r="Z1807" s="21"/>
      <c r="AA1807" s="4" t="s">
        <v>46</v>
      </c>
      <c r="AB1807" s="4" t="s">
        <v>117</v>
      </c>
      <c r="AC1807" s="4" t="s">
        <v>399</v>
      </c>
      <c r="AD1807" s="4" t="s">
        <v>3101</v>
      </c>
      <c r="AE1807" s="4" t="s">
        <v>48</v>
      </c>
      <c r="AF1807" s="4" t="s">
        <v>41</v>
      </c>
      <c r="AG1807" s="4" t="s">
        <v>3588</v>
      </c>
    </row>
    <row r="1808" spans="1:33" ht="16.5" customHeight="1" x14ac:dyDescent="0.2">
      <c r="A1808" s="2" t="s">
        <v>31</v>
      </c>
      <c r="B1808" s="19" t="s">
        <v>110</v>
      </c>
      <c r="C1808" s="19"/>
      <c r="D1808" s="19"/>
      <c r="E1808" s="20" t="s">
        <v>33</v>
      </c>
      <c r="F1808" s="20"/>
      <c r="G1808" s="21" t="s">
        <v>3583</v>
      </c>
      <c r="H1808" s="21"/>
      <c r="I1808" s="21"/>
      <c r="J1808" s="3" t="s">
        <v>35</v>
      </c>
      <c r="K1808" s="4" t="s">
        <v>937</v>
      </c>
      <c r="N1808" s="21" t="s">
        <v>3864</v>
      </c>
      <c r="O1808" s="21"/>
      <c r="P1808" s="21" t="s">
        <v>3865</v>
      </c>
      <c r="Q1808" s="21"/>
      <c r="R1808" s="21"/>
      <c r="S1808" s="3" t="s">
        <v>40</v>
      </c>
      <c r="T1808" s="21" t="s">
        <v>3866</v>
      </c>
      <c r="U1808" s="21"/>
      <c r="V1808" s="4" t="s">
        <v>59</v>
      </c>
      <c r="W1808" s="4" t="s">
        <v>54</v>
      </c>
      <c r="X1808" s="4" t="s">
        <v>60</v>
      </c>
      <c r="Y1808" s="21" t="s">
        <v>398</v>
      </c>
      <c r="Z1808" s="21"/>
      <c r="AA1808" s="4" t="s">
        <v>46</v>
      </c>
      <c r="AB1808" s="4" t="s">
        <v>117</v>
      </c>
      <c r="AC1808" s="4" t="s">
        <v>399</v>
      </c>
      <c r="AD1808" s="4" t="s">
        <v>3867</v>
      </c>
      <c r="AE1808" s="4" t="s">
        <v>48</v>
      </c>
      <c r="AF1808" s="4" t="s">
        <v>41</v>
      </c>
      <c r="AG1808" s="4" t="s">
        <v>3588</v>
      </c>
    </row>
    <row r="1809" spans="1:33" ht="16.5" customHeight="1" x14ac:dyDescent="0.2">
      <c r="A1809" s="2" t="s">
        <v>31</v>
      </c>
      <c r="B1809" s="19" t="s">
        <v>110</v>
      </c>
      <c r="C1809" s="19"/>
      <c r="D1809" s="19"/>
      <c r="E1809" s="20" t="s">
        <v>33</v>
      </c>
      <c r="F1809" s="20"/>
      <c r="G1809" s="21" t="s">
        <v>3583</v>
      </c>
      <c r="H1809" s="21"/>
      <c r="I1809" s="21"/>
      <c r="J1809" s="3" t="s">
        <v>35</v>
      </c>
      <c r="K1809" s="4" t="s">
        <v>1301</v>
      </c>
      <c r="N1809" s="21" t="s">
        <v>3868</v>
      </c>
      <c r="O1809" s="21"/>
      <c r="P1809" s="21" t="s">
        <v>3869</v>
      </c>
      <c r="Q1809" s="21"/>
      <c r="R1809" s="21"/>
      <c r="S1809" s="3" t="s">
        <v>40</v>
      </c>
      <c r="T1809" s="21" t="s">
        <v>2320</v>
      </c>
      <c r="U1809" s="21"/>
      <c r="V1809" s="4" t="s">
        <v>59</v>
      </c>
      <c r="W1809" s="4" t="s">
        <v>54</v>
      </c>
      <c r="X1809" s="4" t="s">
        <v>60</v>
      </c>
      <c r="Y1809" s="21" t="s">
        <v>980</v>
      </c>
      <c r="Z1809" s="21"/>
      <c r="AA1809" s="4" t="s">
        <v>46</v>
      </c>
      <c r="AB1809" s="4" t="s">
        <v>117</v>
      </c>
      <c r="AC1809" s="4" t="s">
        <v>1305</v>
      </c>
      <c r="AD1809" s="4" t="s">
        <v>2321</v>
      </c>
      <c r="AE1809" s="4" t="s">
        <v>48</v>
      </c>
      <c r="AF1809" s="4" t="s">
        <v>41</v>
      </c>
      <c r="AG1809" s="4" t="s">
        <v>3588</v>
      </c>
    </row>
    <row r="1810" spans="1:33" ht="16.5" customHeight="1" x14ac:dyDescent="0.2">
      <c r="A1810" s="2" t="s">
        <v>31</v>
      </c>
      <c r="B1810" s="19" t="s">
        <v>110</v>
      </c>
      <c r="C1810" s="19"/>
      <c r="D1810" s="19"/>
      <c r="E1810" s="20" t="s">
        <v>33</v>
      </c>
      <c r="F1810" s="20"/>
      <c r="G1810" s="21" t="s">
        <v>3583</v>
      </c>
      <c r="H1810" s="21"/>
      <c r="I1810" s="21"/>
      <c r="J1810" s="3" t="s">
        <v>35</v>
      </c>
      <c r="K1810" s="4" t="s">
        <v>1301</v>
      </c>
      <c r="N1810" s="21" t="s">
        <v>3868</v>
      </c>
      <c r="O1810" s="21"/>
      <c r="P1810" s="21" t="s">
        <v>3869</v>
      </c>
      <c r="Q1810" s="21"/>
      <c r="R1810" s="21"/>
      <c r="S1810" s="3" t="s">
        <v>40</v>
      </c>
      <c r="T1810" s="21" t="s">
        <v>2320</v>
      </c>
      <c r="U1810" s="21"/>
      <c r="V1810" s="4" t="s">
        <v>130</v>
      </c>
      <c r="W1810" s="4" t="s">
        <v>54</v>
      </c>
      <c r="X1810" s="4" t="s">
        <v>131</v>
      </c>
      <c r="Y1810" s="21" t="s">
        <v>980</v>
      </c>
      <c r="Z1810" s="21"/>
      <c r="AA1810" s="4" t="s">
        <v>46</v>
      </c>
      <c r="AB1810" s="4" t="s">
        <v>117</v>
      </c>
      <c r="AC1810" s="4" t="s">
        <v>1305</v>
      </c>
      <c r="AD1810" s="4" t="s">
        <v>2321</v>
      </c>
      <c r="AE1810" s="4" t="s">
        <v>48</v>
      </c>
      <c r="AF1810" s="4" t="s">
        <v>41</v>
      </c>
      <c r="AG1810" s="4" t="s">
        <v>3588</v>
      </c>
    </row>
    <row r="1811" spans="1:33" ht="16.5" customHeight="1" x14ac:dyDescent="0.2">
      <c r="A1811" s="2" t="s">
        <v>31</v>
      </c>
      <c r="B1811" s="19" t="s">
        <v>110</v>
      </c>
      <c r="C1811" s="19"/>
      <c r="D1811" s="19"/>
      <c r="E1811" s="20" t="s">
        <v>33</v>
      </c>
      <c r="F1811" s="20"/>
      <c r="G1811" s="21" t="s">
        <v>3583</v>
      </c>
      <c r="H1811" s="21"/>
      <c r="I1811" s="21"/>
      <c r="J1811" s="3" t="s">
        <v>35</v>
      </c>
      <c r="K1811" s="4" t="s">
        <v>1301</v>
      </c>
      <c r="N1811" s="21" t="s">
        <v>3870</v>
      </c>
      <c r="O1811" s="21"/>
      <c r="P1811" s="21" t="s">
        <v>3871</v>
      </c>
      <c r="Q1811" s="21"/>
      <c r="R1811" s="21"/>
      <c r="S1811" s="3" t="s">
        <v>40</v>
      </c>
      <c r="T1811" s="21" t="s">
        <v>2320</v>
      </c>
      <c r="U1811" s="21"/>
      <c r="V1811" s="4" t="s">
        <v>59</v>
      </c>
      <c r="W1811" s="4" t="s">
        <v>130</v>
      </c>
      <c r="X1811" s="4" t="s">
        <v>131</v>
      </c>
      <c r="Y1811" s="21" t="s">
        <v>980</v>
      </c>
      <c r="Z1811" s="21"/>
      <c r="AA1811" s="4" t="s">
        <v>46</v>
      </c>
      <c r="AB1811" s="4" t="s">
        <v>117</v>
      </c>
      <c r="AC1811" s="4" t="s">
        <v>981</v>
      </c>
      <c r="AD1811" s="4" t="s">
        <v>3872</v>
      </c>
      <c r="AE1811" s="4" t="s">
        <v>48</v>
      </c>
      <c r="AF1811" s="4" t="s">
        <v>41</v>
      </c>
      <c r="AG1811" s="4" t="s">
        <v>3588</v>
      </c>
    </row>
    <row r="1812" spans="1:33" ht="16.5" customHeight="1" x14ac:dyDescent="0.2">
      <c r="A1812" s="2" t="s">
        <v>31</v>
      </c>
      <c r="B1812" s="19" t="s">
        <v>110</v>
      </c>
      <c r="C1812" s="19"/>
      <c r="D1812" s="19"/>
      <c r="E1812" s="20" t="s">
        <v>33</v>
      </c>
      <c r="F1812" s="20"/>
      <c r="G1812" s="21" t="s">
        <v>3583</v>
      </c>
      <c r="H1812" s="21"/>
      <c r="I1812" s="21"/>
      <c r="J1812" s="3" t="s">
        <v>35</v>
      </c>
      <c r="K1812" s="4" t="s">
        <v>394</v>
      </c>
      <c r="N1812" s="21" t="s">
        <v>3873</v>
      </c>
      <c r="O1812" s="21"/>
      <c r="P1812" s="21" t="s">
        <v>3874</v>
      </c>
      <c r="Q1812" s="21"/>
      <c r="R1812" s="21"/>
      <c r="S1812" s="3" t="s">
        <v>40</v>
      </c>
      <c r="T1812" s="21" t="s">
        <v>2056</v>
      </c>
      <c r="U1812" s="21"/>
      <c r="V1812" s="4" t="s">
        <v>3875</v>
      </c>
      <c r="W1812" s="4" t="s">
        <v>3876</v>
      </c>
      <c r="X1812" s="4" t="s">
        <v>60</v>
      </c>
      <c r="Y1812" s="21" t="s">
        <v>398</v>
      </c>
      <c r="Z1812" s="21"/>
      <c r="AA1812" s="4" t="s">
        <v>46</v>
      </c>
      <c r="AB1812" s="4" t="s">
        <v>117</v>
      </c>
      <c r="AC1812" s="4" t="s">
        <v>399</v>
      </c>
      <c r="AD1812" s="4" t="s">
        <v>2057</v>
      </c>
      <c r="AE1812" s="4" t="s">
        <v>48</v>
      </c>
      <c r="AF1812" s="4" t="s">
        <v>41</v>
      </c>
      <c r="AG1812" s="4" t="s">
        <v>3588</v>
      </c>
    </row>
    <row r="1813" spans="1:33" ht="16.5" customHeight="1" x14ac:dyDescent="0.2">
      <c r="A1813" s="2" t="s">
        <v>31</v>
      </c>
      <c r="B1813" s="19" t="s">
        <v>110</v>
      </c>
      <c r="C1813" s="19"/>
      <c r="D1813" s="19"/>
      <c r="E1813" s="20" t="s">
        <v>33</v>
      </c>
      <c r="F1813" s="20"/>
      <c r="G1813" s="21" t="s">
        <v>3583</v>
      </c>
      <c r="H1813" s="21"/>
      <c r="I1813" s="21"/>
      <c r="J1813" s="3" t="s">
        <v>35</v>
      </c>
      <c r="K1813" s="4" t="s">
        <v>394</v>
      </c>
      <c r="N1813" s="21" t="s">
        <v>3873</v>
      </c>
      <c r="O1813" s="21"/>
      <c r="P1813" s="21" t="s">
        <v>3874</v>
      </c>
      <c r="Q1813" s="21"/>
      <c r="R1813" s="21"/>
      <c r="S1813" s="3" t="s">
        <v>40</v>
      </c>
      <c r="T1813" s="21" t="s">
        <v>2056</v>
      </c>
      <c r="U1813" s="21"/>
      <c r="V1813" s="4" t="s">
        <v>3877</v>
      </c>
      <c r="W1813" s="4" t="s">
        <v>3876</v>
      </c>
      <c r="X1813" s="4" t="s">
        <v>131</v>
      </c>
      <c r="Y1813" s="21" t="s">
        <v>398</v>
      </c>
      <c r="Z1813" s="21"/>
      <c r="AA1813" s="4" t="s">
        <v>46</v>
      </c>
      <c r="AB1813" s="4" t="s">
        <v>117</v>
      </c>
      <c r="AC1813" s="4" t="s">
        <v>399</v>
      </c>
      <c r="AD1813" s="4" t="s">
        <v>2057</v>
      </c>
      <c r="AE1813" s="4" t="s">
        <v>48</v>
      </c>
      <c r="AF1813" s="4" t="s">
        <v>41</v>
      </c>
      <c r="AG1813" s="4" t="s">
        <v>3588</v>
      </c>
    </row>
    <row r="1814" spans="1:33" ht="16.5" customHeight="1" x14ac:dyDescent="0.2">
      <c r="A1814" s="2" t="s">
        <v>31</v>
      </c>
      <c r="B1814" s="19" t="s">
        <v>110</v>
      </c>
      <c r="C1814" s="19"/>
      <c r="D1814" s="19"/>
      <c r="E1814" s="20" t="s">
        <v>33</v>
      </c>
      <c r="F1814" s="20"/>
      <c r="G1814" s="21" t="s">
        <v>3583</v>
      </c>
      <c r="H1814" s="21"/>
      <c r="I1814" s="21"/>
      <c r="J1814" s="3" t="s">
        <v>35</v>
      </c>
      <c r="K1814" s="4" t="s">
        <v>1301</v>
      </c>
      <c r="N1814" s="21" t="s">
        <v>3878</v>
      </c>
      <c r="O1814" s="21"/>
      <c r="P1814" s="21" t="s">
        <v>3879</v>
      </c>
      <c r="Q1814" s="21"/>
      <c r="R1814" s="21"/>
      <c r="S1814" s="3" t="s">
        <v>40</v>
      </c>
      <c r="T1814" s="21" t="s">
        <v>3880</v>
      </c>
      <c r="U1814" s="21"/>
      <c r="V1814" s="4" t="s">
        <v>59</v>
      </c>
      <c r="W1814" s="4" t="s">
        <v>130</v>
      </c>
      <c r="X1814" s="4" t="s">
        <v>131</v>
      </c>
      <c r="Y1814" s="21" t="s">
        <v>980</v>
      </c>
      <c r="Z1814" s="21"/>
      <c r="AA1814" s="4" t="s">
        <v>46</v>
      </c>
      <c r="AB1814" s="4" t="s">
        <v>117</v>
      </c>
      <c r="AC1814" s="4" t="s">
        <v>981</v>
      </c>
      <c r="AD1814" s="4" t="s">
        <v>3881</v>
      </c>
      <c r="AE1814" s="4" t="s">
        <v>48</v>
      </c>
      <c r="AF1814" s="4" t="s">
        <v>41</v>
      </c>
      <c r="AG1814" s="4" t="s">
        <v>3588</v>
      </c>
    </row>
    <row r="1815" spans="1:33" ht="16.5" customHeight="1" x14ac:dyDescent="0.2">
      <c r="A1815" s="2" t="s">
        <v>31</v>
      </c>
      <c r="B1815" s="19" t="s">
        <v>110</v>
      </c>
      <c r="C1815" s="19"/>
      <c r="D1815" s="19"/>
      <c r="E1815" s="20" t="s">
        <v>33</v>
      </c>
      <c r="F1815" s="20"/>
      <c r="G1815" s="21" t="s">
        <v>3583</v>
      </c>
      <c r="H1815" s="21"/>
      <c r="I1815" s="21"/>
      <c r="J1815" s="3" t="s">
        <v>35</v>
      </c>
      <c r="K1815" s="4" t="s">
        <v>1301</v>
      </c>
      <c r="N1815" s="21" t="s">
        <v>3882</v>
      </c>
      <c r="O1815" s="21"/>
      <c r="P1815" s="21" t="s">
        <v>3883</v>
      </c>
      <c r="Q1815" s="21"/>
      <c r="R1815" s="21"/>
      <c r="S1815" s="3" t="s">
        <v>40</v>
      </c>
      <c r="T1815" s="21" t="s">
        <v>2316</v>
      </c>
      <c r="U1815" s="21"/>
      <c r="V1815" s="4" t="s">
        <v>42</v>
      </c>
      <c r="W1815" s="4" t="s">
        <v>130</v>
      </c>
      <c r="X1815" s="4" t="s">
        <v>60</v>
      </c>
      <c r="Y1815" s="21" t="s">
        <v>980</v>
      </c>
      <c r="Z1815" s="21"/>
      <c r="AA1815" s="4" t="s">
        <v>46</v>
      </c>
      <c r="AB1815" s="4" t="s">
        <v>117</v>
      </c>
      <c r="AC1815" s="4" t="s">
        <v>981</v>
      </c>
      <c r="AD1815" s="4" t="s">
        <v>3884</v>
      </c>
      <c r="AE1815" s="4" t="s">
        <v>48</v>
      </c>
      <c r="AF1815" s="4" t="s">
        <v>41</v>
      </c>
      <c r="AG1815" s="4" t="s">
        <v>3588</v>
      </c>
    </row>
    <row r="1816" spans="1:33" ht="16.5" customHeight="1" x14ac:dyDescent="0.2">
      <c r="A1816" s="2" t="s">
        <v>31</v>
      </c>
      <c r="B1816" s="19" t="s">
        <v>110</v>
      </c>
      <c r="C1816" s="19"/>
      <c r="D1816" s="19"/>
      <c r="E1816" s="20" t="s">
        <v>33</v>
      </c>
      <c r="F1816" s="20"/>
      <c r="G1816" s="21" t="s">
        <v>3583</v>
      </c>
      <c r="H1816" s="21"/>
      <c r="I1816" s="21"/>
      <c r="J1816" s="3" t="s">
        <v>35</v>
      </c>
      <c r="K1816" s="4" t="s">
        <v>1301</v>
      </c>
      <c r="N1816" s="21" t="s">
        <v>3882</v>
      </c>
      <c r="O1816" s="21"/>
      <c r="P1816" s="21" t="s">
        <v>3883</v>
      </c>
      <c r="Q1816" s="21"/>
      <c r="R1816" s="21"/>
      <c r="S1816" s="3" t="s">
        <v>40</v>
      </c>
      <c r="T1816" s="21" t="s">
        <v>2316</v>
      </c>
      <c r="U1816" s="21"/>
      <c r="V1816" s="4" t="s">
        <v>59</v>
      </c>
      <c r="W1816" s="4" t="s">
        <v>130</v>
      </c>
      <c r="X1816" s="4" t="s">
        <v>131</v>
      </c>
      <c r="Y1816" s="21" t="s">
        <v>980</v>
      </c>
      <c r="Z1816" s="21"/>
      <c r="AA1816" s="4" t="s">
        <v>46</v>
      </c>
      <c r="AB1816" s="4" t="s">
        <v>117</v>
      </c>
      <c r="AC1816" s="4" t="s">
        <v>981</v>
      </c>
      <c r="AD1816" s="4" t="s">
        <v>3884</v>
      </c>
      <c r="AE1816" s="4" t="s">
        <v>48</v>
      </c>
      <c r="AF1816" s="4" t="s">
        <v>41</v>
      </c>
      <c r="AG1816" s="4" t="s">
        <v>3588</v>
      </c>
    </row>
    <row r="1817" spans="1:33" ht="16.5" customHeight="1" x14ac:dyDescent="0.2">
      <c r="A1817" s="2" t="s">
        <v>31</v>
      </c>
      <c r="B1817" s="19" t="s">
        <v>50</v>
      </c>
      <c r="C1817" s="19"/>
      <c r="D1817" s="19"/>
      <c r="E1817" s="20" t="s">
        <v>33</v>
      </c>
      <c r="F1817" s="20"/>
      <c r="G1817" s="21" t="s">
        <v>3885</v>
      </c>
      <c r="H1817" s="21"/>
      <c r="I1817" s="21"/>
      <c r="J1817" s="3" t="s">
        <v>35</v>
      </c>
      <c r="K1817" s="4" t="s">
        <v>204</v>
      </c>
      <c r="L1817" s="4" t="s">
        <v>37</v>
      </c>
      <c r="N1817" s="21" t="s">
        <v>3886</v>
      </c>
      <c r="O1817" s="21"/>
      <c r="P1817" s="21" t="s">
        <v>3887</v>
      </c>
      <c r="Q1817" s="21"/>
      <c r="R1817" s="21"/>
      <c r="S1817" s="3" t="s">
        <v>40</v>
      </c>
      <c r="T1817" s="21" t="s">
        <v>41</v>
      </c>
      <c r="U1817" s="21"/>
      <c r="V1817" s="4" t="s">
        <v>42</v>
      </c>
      <c r="W1817" s="4" t="s">
        <v>59</v>
      </c>
      <c r="X1817" s="4" t="s">
        <v>131</v>
      </c>
      <c r="Y1817" s="21" t="s">
        <v>198</v>
      </c>
      <c r="Z1817" s="21"/>
      <c r="AA1817" s="4" t="s">
        <v>46</v>
      </c>
      <c r="AB1817" s="4" t="s">
        <v>47</v>
      </c>
      <c r="AC1817" s="4" t="s">
        <v>139</v>
      </c>
      <c r="AD1817" s="4" t="s">
        <v>140</v>
      </c>
      <c r="AE1817" s="4" t="s">
        <v>48</v>
      </c>
      <c r="AF1817" s="4" t="s">
        <v>41</v>
      </c>
      <c r="AG1817" s="4" t="s">
        <v>3888</v>
      </c>
    </row>
    <row r="1818" spans="1:33" ht="409.6" customHeight="1" x14ac:dyDescent="0.2"/>
    <row r="1819" spans="1:33" ht="12" customHeight="1" x14ac:dyDescent="0.2"/>
  </sheetData>
  <mergeCells count="12329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6:D166"/>
    <mergeCell ref="E166:F166"/>
    <mergeCell ref="G166:I166"/>
    <mergeCell ref="N166:O166"/>
    <mergeCell ref="P166:R166"/>
    <mergeCell ref="T166:U166"/>
    <mergeCell ref="Y166:Z16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43:D243"/>
    <mergeCell ref="E243:F243"/>
    <mergeCell ref="G243:I243"/>
    <mergeCell ref="N243:O243"/>
    <mergeCell ref="P243:R243"/>
    <mergeCell ref="T243:U243"/>
    <mergeCell ref="Y243:Z243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247:D247"/>
    <mergeCell ref="E247:F247"/>
    <mergeCell ref="G247:I247"/>
    <mergeCell ref="N247:O247"/>
    <mergeCell ref="P247:R247"/>
    <mergeCell ref="T247:U247"/>
    <mergeCell ref="Y247:Z247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53:D253"/>
    <mergeCell ref="E253:F253"/>
    <mergeCell ref="G253:I253"/>
    <mergeCell ref="N253:O253"/>
    <mergeCell ref="P253:R253"/>
    <mergeCell ref="T253:U253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B256:D256"/>
    <mergeCell ref="E256:F256"/>
    <mergeCell ref="G256:I256"/>
    <mergeCell ref="N256:O256"/>
    <mergeCell ref="P256:R256"/>
    <mergeCell ref="T256:U256"/>
    <mergeCell ref="Y256:Z256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9:D259"/>
    <mergeCell ref="E259:F259"/>
    <mergeCell ref="G259:I259"/>
    <mergeCell ref="N259:O259"/>
    <mergeCell ref="P259:R259"/>
    <mergeCell ref="T259:U259"/>
    <mergeCell ref="Y259:Z259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62:D262"/>
    <mergeCell ref="E262:F262"/>
    <mergeCell ref="G262:I262"/>
    <mergeCell ref="N262:O262"/>
    <mergeCell ref="P262:R262"/>
    <mergeCell ref="T262:U262"/>
    <mergeCell ref="Y262:Z262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65:D265"/>
    <mergeCell ref="E265:F265"/>
    <mergeCell ref="G265:I265"/>
    <mergeCell ref="N265:O265"/>
    <mergeCell ref="P265:R265"/>
    <mergeCell ref="T265:U265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71:D271"/>
    <mergeCell ref="E271:F271"/>
    <mergeCell ref="G271:I271"/>
    <mergeCell ref="N271:O271"/>
    <mergeCell ref="P271:R271"/>
    <mergeCell ref="T271:U271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80:D280"/>
    <mergeCell ref="E280:F280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83:D283"/>
    <mergeCell ref="E283:F283"/>
    <mergeCell ref="G283:I283"/>
    <mergeCell ref="N283:O283"/>
    <mergeCell ref="P283:R283"/>
    <mergeCell ref="T283:U283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85:D285"/>
    <mergeCell ref="E285:F285"/>
    <mergeCell ref="G285:I285"/>
    <mergeCell ref="N285:O285"/>
    <mergeCell ref="P285:R285"/>
    <mergeCell ref="T285:U285"/>
    <mergeCell ref="Y285:Z285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9:D289"/>
    <mergeCell ref="E289:F289"/>
    <mergeCell ref="G289:I289"/>
    <mergeCell ref="N289:O289"/>
    <mergeCell ref="P289:R289"/>
    <mergeCell ref="T289:U289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92:D292"/>
    <mergeCell ref="E292:F292"/>
    <mergeCell ref="G292:I292"/>
    <mergeCell ref="N292:O292"/>
    <mergeCell ref="P292:R292"/>
    <mergeCell ref="T292:U292"/>
    <mergeCell ref="Y292:Z292"/>
    <mergeCell ref="B293:D293"/>
    <mergeCell ref="E293:F293"/>
    <mergeCell ref="G293:I293"/>
    <mergeCell ref="N293:O293"/>
    <mergeCell ref="P293:R293"/>
    <mergeCell ref="T293:U293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95:D295"/>
    <mergeCell ref="E295:F295"/>
    <mergeCell ref="G295:I295"/>
    <mergeCell ref="N295:O295"/>
    <mergeCell ref="P295:R295"/>
    <mergeCell ref="T295:U295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7:D297"/>
    <mergeCell ref="E297:F297"/>
    <mergeCell ref="G297:I297"/>
    <mergeCell ref="N297:O297"/>
    <mergeCell ref="P297:R297"/>
    <mergeCell ref="T297:U297"/>
    <mergeCell ref="Y297:Z297"/>
    <mergeCell ref="B298:D298"/>
    <mergeCell ref="E298:F298"/>
    <mergeCell ref="G298:I298"/>
    <mergeCell ref="N298:O298"/>
    <mergeCell ref="P298:R298"/>
    <mergeCell ref="T298:U298"/>
    <mergeCell ref="Y298:Z298"/>
    <mergeCell ref="B299:D299"/>
    <mergeCell ref="E299:F299"/>
    <mergeCell ref="G299:I299"/>
    <mergeCell ref="N299:O299"/>
    <mergeCell ref="P299:R299"/>
    <mergeCell ref="T299:U299"/>
    <mergeCell ref="Y299:Z299"/>
    <mergeCell ref="B300:D300"/>
    <mergeCell ref="E300:F300"/>
    <mergeCell ref="G300:I300"/>
    <mergeCell ref="N300:O300"/>
    <mergeCell ref="P300:R300"/>
    <mergeCell ref="T300:U300"/>
    <mergeCell ref="Y300:Z300"/>
    <mergeCell ref="B301:D301"/>
    <mergeCell ref="E301:F301"/>
    <mergeCell ref="G301:I301"/>
    <mergeCell ref="N301:O301"/>
    <mergeCell ref="P301:R301"/>
    <mergeCell ref="T301:U301"/>
    <mergeCell ref="Y301:Z301"/>
    <mergeCell ref="B302:D302"/>
    <mergeCell ref="E302:F302"/>
    <mergeCell ref="G302:I302"/>
    <mergeCell ref="N302:O302"/>
    <mergeCell ref="P302:R302"/>
    <mergeCell ref="T302:U302"/>
    <mergeCell ref="Y302:Z302"/>
    <mergeCell ref="B303:D303"/>
    <mergeCell ref="E303:F303"/>
    <mergeCell ref="G303:I303"/>
    <mergeCell ref="N303:O303"/>
    <mergeCell ref="P303:R303"/>
    <mergeCell ref="T303:U303"/>
    <mergeCell ref="Y303:Z303"/>
    <mergeCell ref="B304:D304"/>
    <mergeCell ref="E304:F304"/>
    <mergeCell ref="G304:I304"/>
    <mergeCell ref="N304:O304"/>
    <mergeCell ref="P304:R304"/>
    <mergeCell ref="T304:U304"/>
    <mergeCell ref="Y304:Z304"/>
    <mergeCell ref="B305:D305"/>
    <mergeCell ref="E305:F305"/>
    <mergeCell ref="G305:I305"/>
    <mergeCell ref="N305:O305"/>
    <mergeCell ref="P305:R305"/>
    <mergeCell ref="T305:U305"/>
    <mergeCell ref="Y305:Z305"/>
    <mergeCell ref="B306:D306"/>
    <mergeCell ref="E306:F306"/>
    <mergeCell ref="G306:I306"/>
    <mergeCell ref="N306:O306"/>
    <mergeCell ref="P306:R306"/>
    <mergeCell ref="T306:U306"/>
    <mergeCell ref="Y306:Z306"/>
    <mergeCell ref="B307:D307"/>
    <mergeCell ref="E307:F307"/>
    <mergeCell ref="G307:I307"/>
    <mergeCell ref="N307:O307"/>
    <mergeCell ref="P307:R307"/>
    <mergeCell ref="T307:U307"/>
    <mergeCell ref="Y307:Z307"/>
    <mergeCell ref="B308:D308"/>
    <mergeCell ref="E308:F308"/>
    <mergeCell ref="G308:I308"/>
    <mergeCell ref="N308:O308"/>
    <mergeCell ref="P308:R308"/>
    <mergeCell ref="T308:U308"/>
    <mergeCell ref="Y308:Z308"/>
    <mergeCell ref="B309:D309"/>
    <mergeCell ref="E309:F309"/>
    <mergeCell ref="G309:I309"/>
    <mergeCell ref="N309:O309"/>
    <mergeCell ref="P309:R309"/>
    <mergeCell ref="T309:U309"/>
    <mergeCell ref="Y309:Z309"/>
    <mergeCell ref="B310:D310"/>
    <mergeCell ref="E310:F310"/>
    <mergeCell ref="G310:I310"/>
    <mergeCell ref="N310:O310"/>
    <mergeCell ref="P310:R310"/>
    <mergeCell ref="T310:U310"/>
    <mergeCell ref="Y310:Z310"/>
    <mergeCell ref="B311:D311"/>
    <mergeCell ref="E311:F311"/>
    <mergeCell ref="G311:I311"/>
    <mergeCell ref="N311:O311"/>
    <mergeCell ref="P311:R311"/>
    <mergeCell ref="T311:U311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313:D313"/>
    <mergeCell ref="E313:F313"/>
    <mergeCell ref="G313:I313"/>
    <mergeCell ref="N313:O313"/>
    <mergeCell ref="P313:R313"/>
    <mergeCell ref="T313:U313"/>
    <mergeCell ref="Y313:Z313"/>
    <mergeCell ref="B314:D314"/>
    <mergeCell ref="E314:F314"/>
    <mergeCell ref="G314:I314"/>
    <mergeCell ref="N314:O314"/>
    <mergeCell ref="P314:R314"/>
    <mergeCell ref="T314:U314"/>
    <mergeCell ref="Y314:Z314"/>
    <mergeCell ref="B315:D315"/>
    <mergeCell ref="E315:F315"/>
    <mergeCell ref="G315:I315"/>
    <mergeCell ref="N315:O315"/>
    <mergeCell ref="P315:R315"/>
    <mergeCell ref="T315:U315"/>
    <mergeCell ref="Y315:Z315"/>
    <mergeCell ref="B316:D316"/>
    <mergeCell ref="E316:F316"/>
    <mergeCell ref="G316:I316"/>
    <mergeCell ref="N316:O316"/>
    <mergeCell ref="P316:R316"/>
    <mergeCell ref="T316:U316"/>
    <mergeCell ref="Y316:Z316"/>
    <mergeCell ref="B317:D317"/>
    <mergeCell ref="E317:F317"/>
    <mergeCell ref="G317:I317"/>
    <mergeCell ref="N317:O317"/>
    <mergeCell ref="P317:R317"/>
    <mergeCell ref="T317:U317"/>
    <mergeCell ref="Y317:Z317"/>
    <mergeCell ref="B318:D318"/>
    <mergeCell ref="E318:F318"/>
    <mergeCell ref="G318:I318"/>
    <mergeCell ref="N318:O318"/>
    <mergeCell ref="P318:R318"/>
    <mergeCell ref="T318:U318"/>
    <mergeCell ref="Y318:Z318"/>
    <mergeCell ref="B319:D319"/>
    <mergeCell ref="E319:F319"/>
    <mergeCell ref="G319:I319"/>
    <mergeCell ref="N319:O319"/>
    <mergeCell ref="P319:R319"/>
    <mergeCell ref="T319:U319"/>
    <mergeCell ref="Y319:Z319"/>
    <mergeCell ref="B320:D320"/>
    <mergeCell ref="E320:F320"/>
    <mergeCell ref="G320:I320"/>
    <mergeCell ref="N320:O320"/>
    <mergeCell ref="P320:R320"/>
    <mergeCell ref="T320:U320"/>
    <mergeCell ref="Y320:Z320"/>
    <mergeCell ref="B321:D321"/>
    <mergeCell ref="E321:F321"/>
    <mergeCell ref="G321:I321"/>
    <mergeCell ref="N321:O321"/>
    <mergeCell ref="P321:R321"/>
    <mergeCell ref="T321:U321"/>
    <mergeCell ref="Y321:Z321"/>
    <mergeCell ref="B322:D322"/>
    <mergeCell ref="E322:F322"/>
    <mergeCell ref="G322:I322"/>
    <mergeCell ref="N322:O322"/>
    <mergeCell ref="P322:R322"/>
    <mergeCell ref="T322:U322"/>
    <mergeCell ref="Y322:Z322"/>
    <mergeCell ref="B323:D323"/>
    <mergeCell ref="E323:F323"/>
    <mergeCell ref="G323:I323"/>
    <mergeCell ref="N323:O323"/>
    <mergeCell ref="P323:R323"/>
    <mergeCell ref="T323:U323"/>
    <mergeCell ref="Y323:Z323"/>
    <mergeCell ref="B324:D324"/>
    <mergeCell ref="E324:F324"/>
    <mergeCell ref="G324:I324"/>
    <mergeCell ref="N324:O324"/>
    <mergeCell ref="P324:R324"/>
    <mergeCell ref="T324:U324"/>
    <mergeCell ref="Y324:Z324"/>
    <mergeCell ref="B325:D325"/>
    <mergeCell ref="E325:F325"/>
    <mergeCell ref="G325:I325"/>
    <mergeCell ref="N325:O325"/>
    <mergeCell ref="P325:R325"/>
    <mergeCell ref="T325:U325"/>
    <mergeCell ref="Y325:Z325"/>
    <mergeCell ref="B326:D326"/>
    <mergeCell ref="E326:F326"/>
    <mergeCell ref="G326:I326"/>
    <mergeCell ref="N326:O326"/>
    <mergeCell ref="P326:R326"/>
    <mergeCell ref="T326:U326"/>
    <mergeCell ref="Y326:Z326"/>
    <mergeCell ref="B327:D327"/>
    <mergeCell ref="E327:F327"/>
    <mergeCell ref="G327:I327"/>
    <mergeCell ref="N327:O327"/>
    <mergeCell ref="P327:R327"/>
    <mergeCell ref="T327:U327"/>
    <mergeCell ref="Y327:Z327"/>
    <mergeCell ref="B328:D328"/>
    <mergeCell ref="E328:F328"/>
    <mergeCell ref="G328:I328"/>
    <mergeCell ref="N328:O328"/>
    <mergeCell ref="P328:R328"/>
    <mergeCell ref="T328:U328"/>
    <mergeCell ref="Y328:Z328"/>
    <mergeCell ref="B331:D331"/>
    <mergeCell ref="E331:F331"/>
    <mergeCell ref="G331:I331"/>
    <mergeCell ref="N331:O331"/>
    <mergeCell ref="P331:R331"/>
    <mergeCell ref="T331:U331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3:D333"/>
    <mergeCell ref="E333:F333"/>
    <mergeCell ref="G333:I333"/>
    <mergeCell ref="N333:O333"/>
    <mergeCell ref="P333:R333"/>
    <mergeCell ref="T333:U333"/>
    <mergeCell ref="Y333:Z333"/>
    <mergeCell ref="B334:D334"/>
    <mergeCell ref="E334:F334"/>
    <mergeCell ref="G334:I334"/>
    <mergeCell ref="N334:O334"/>
    <mergeCell ref="P334:R334"/>
    <mergeCell ref="T334:U334"/>
    <mergeCell ref="Y334:Z334"/>
    <mergeCell ref="B335:D335"/>
    <mergeCell ref="E335:F335"/>
    <mergeCell ref="G335:I335"/>
    <mergeCell ref="N335:O335"/>
    <mergeCell ref="P335:R335"/>
    <mergeCell ref="T335:U335"/>
    <mergeCell ref="Y335:Z335"/>
    <mergeCell ref="B336:D336"/>
    <mergeCell ref="E336:F336"/>
    <mergeCell ref="G336:I336"/>
    <mergeCell ref="N336:O336"/>
    <mergeCell ref="P336:R336"/>
    <mergeCell ref="T336:U336"/>
    <mergeCell ref="Y336:Z336"/>
    <mergeCell ref="B337:D337"/>
    <mergeCell ref="E337:F337"/>
    <mergeCell ref="G337:I337"/>
    <mergeCell ref="N337:O337"/>
    <mergeCell ref="P337:R337"/>
    <mergeCell ref="T337:U337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339:D339"/>
    <mergeCell ref="E339:F339"/>
    <mergeCell ref="G339:I339"/>
    <mergeCell ref="N339:O339"/>
    <mergeCell ref="P339:R339"/>
    <mergeCell ref="T339:U339"/>
    <mergeCell ref="Y339:Z339"/>
    <mergeCell ref="B340:D340"/>
    <mergeCell ref="E340:F340"/>
    <mergeCell ref="G340:I340"/>
    <mergeCell ref="N340:O340"/>
    <mergeCell ref="P340:R340"/>
    <mergeCell ref="T340:U340"/>
    <mergeCell ref="Y340:Z340"/>
    <mergeCell ref="B341:D341"/>
    <mergeCell ref="E341:F341"/>
    <mergeCell ref="G341:I341"/>
    <mergeCell ref="N341:O341"/>
    <mergeCell ref="P341:R341"/>
    <mergeCell ref="T341:U341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343:D343"/>
    <mergeCell ref="E343:F343"/>
    <mergeCell ref="G343:I343"/>
    <mergeCell ref="N343:O343"/>
    <mergeCell ref="P343:R343"/>
    <mergeCell ref="T343:U343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45:D345"/>
    <mergeCell ref="E345:F345"/>
    <mergeCell ref="G345:I345"/>
    <mergeCell ref="N345:O345"/>
    <mergeCell ref="P345:R345"/>
    <mergeCell ref="T345:U345"/>
    <mergeCell ref="Y345:Z345"/>
    <mergeCell ref="B346:D346"/>
    <mergeCell ref="E346:F346"/>
    <mergeCell ref="G346:I346"/>
    <mergeCell ref="N346:O346"/>
    <mergeCell ref="P346:R346"/>
    <mergeCell ref="T346:U346"/>
    <mergeCell ref="Y346:Z346"/>
    <mergeCell ref="B347:D347"/>
    <mergeCell ref="E347:F347"/>
    <mergeCell ref="G347:I347"/>
    <mergeCell ref="N347:O347"/>
    <mergeCell ref="P347:R347"/>
    <mergeCell ref="T347:U347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9:D349"/>
    <mergeCell ref="E349:F349"/>
    <mergeCell ref="G349:I349"/>
    <mergeCell ref="N349:O349"/>
    <mergeCell ref="P349:R349"/>
    <mergeCell ref="T349:U349"/>
    <mergeCell ref="Y349:Z349"/>
    <mergeCell ref="B350:D350"/>
    <mergeCell ref="E350:F350"/>
    <mergeCell ref="G350:I350"/>
    <mergeCell ref="N350:O350"/>
    <mergeCell ref="P350:R350"/>
    <mergeCell ref="T350:U350"/>
    <mergeCell ref="Y350:Z350"/>
    <mergeCell ref="B351:D351"/>
    <mergeCell ref="E351:F351"/>
    <mergeCell ref="G351:I351"/>
    <mergeCell ref="N351:O351"/>
    <mergeCell ref="P351:R351"/>
    <mergeCell ref="T351:U351"/>
    <mergeCell ref="Y351:Z351"/>
    <mergeCell ref="B352:D352"/>
    <mergeCell ref="E352:F352"/>
    <mergeCell ref="G352:I352"/>
    <mergeCell ref="N352:O352"/>
    <mergeCell ref="P352:R352"/>
    <mergeCell ref="T352:U352"/>
    <mergeCell ref="Y352:Z352"/>
    <mergeCell ref="B353:D353"/>
    <mergeCell ref="E353:F353"/>
    <mergeCell ref="G353:I353"/>
    <mergeCell ref="N353:O353"/>
    <mergeCell ref="P353:R353"/>
    <mergeCell ref="T353:U353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55:D355"/>
    <mergeCell ref="E355:F355"/>
    <mergeCell ref="G355:I355"/>
    <mergeCell ref="N355:O355"/>
    <mergeCell ref="P355:R355"/>
    <mergeCell ref="T355:U355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7:D357"/>
    <mergeCell ref="E357:F357"/>
    <mergeCell ref="G357:I357"/>
    <mergeCell ref="N357:O357"/>
    <mergeCell ref="P357:R357"/>
    <mergeCell ref="T357:U357"/>
    <mergeCell ref="Y357:Z357"/>
    <mergeCell ref="B358:D358"/>
    <mergeCell ref="E358:F358"/>
    <mergeCell ref="G358:I358"/>
    <mergeCell ref="N358:O358"/>
    <mergeCell ref="P358:R358"/>
    <mergeCell ref="T358:U358"/>
    <mergeCell ref="Y358:Z358"/>
    <mergeCell ref="B359:D359"/>
    <mergeCell ref="E359:F359"/>
    <mergeCell ref="G359:I359"/>
    <mergeCell ref="N359:O359"/>
    <mergeCell ref="P359:R359"/>
    <mergeCell ref="T359:U359"/>
    <mergeCell ref="Y359:Z359"/>
    <mergeCell ref="B360:D360"/>
    <mergeCell ref="E360:F360"/>
    <mergeCell ref="G360:I360"/>
    <mergeCell ref="N360:O360"/>
    <mergeCell ref="P360:R360"/>
    <mergeCell ref="T360:U360"/>
    <mergeCell ref="Y360:Z360"/>
    <mergeCell ref="B361:D361"/>
    <mergeCell ref="E361:F361"/>
    <mergeCell ref="G361:I361"/>
    <mergeCell ref="N361:O361"/>
    <mergeCell ref="P361:R361"/>
    <mergeCell ref="T361:U361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3:D363"/>
    <mergeCell ref="E363:F363"/>
    <mergeCell ref="G363:I363"/>
    <mergeCell ref="N363:O363"/>
    <mergeCell ref="P363:R363"/>
    <mergeCell ref="T363:U363"/>
    <mergeCell ref="Y363:Z363"/>
    <mergeCell ref="B364:D364"/>
    <mergeCell ref="E364:F364"/>
    <mergeCell ref="G364:I364"/>
    <mergeCell ref="N364:O364"/>
    <mergeCell ref="P364:R364"/>
    <mergeCell ref="T364:U364"/>
    <mergeCell ref="Y364:Z364"/>
    <mergeCell ref="B365:D365"/>
    <mergeCell ref="E365:F365"/>
    <mergeCell ref="G365:I365"/>
    <mergeCell ref="N365:O365"/>
    <mergeCell ref="P365:R365"/>
    <mergeCell ref="T365:U365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7:D367"/>
    <mergeCell ref="E367:F367"/>
    <mergeCell ref="G367:I367"/>
    <mergeCell ref="N367:O367"/>
    <mergeCell ref="P367:R367"/>
    <mergeCell ref="T367:U367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9:D369"/>
    <mergeCell ref="E369:F369"/>
    <mergeCell ref="G369:I369"/>
    <mergeCell ref="N369:O369"/>
    <mergeCell ref="P369:R369"/>
    <mergeCell ref="T369:U369"/>
    <mergeCell ref="Y369:Z369"/>
    <mergeCell ref="B370:D370"/>
    <mergeCell ref="E370:F370"/>
    <mergeCell ref="G370:I370"/>
    <mergeCell ref="N370:O370"/>
    <mergeCell ref="P370:R370"/>
    <mergeCell ref="T370:U370"/>
    <mergeCell ref="Y370:Z370"/>
    <mergeCell ref="B371:D371"/>
    <mergeCell ref="E371:F371"/>
    <mergeCell ref="G371:I371"/>
    <mergeCell ref="N371:O371"/>
    <mergeCell ref="P371:R371"/>
    <mergeCell ref="T371:U371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73:D373"/>
    <mergeCell ref="E373:F373"/>
    <mergeCell ref="G373:I373"/>
    <mergeCell ref="N373:O373"/>
    <mergeCell ref="P373:R373"/>
    <mergeCell ref="T373:U373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75:D375"/>
    <mergeCell ref="E375:F375"/>
    <mergeCell ref="G375:I375"/>
    <mergeCell ref="N375:O375"/>
    <mergeCell ref="P375:R375"/>
    <mergeCell ref="T375:U375"/>
    <mergeCell ref="Y375:Z375"/>
    <mergeCell ref="B376:D376"/>
    <mergeCell ref="E376:F376"/>
    <mergeCell ref="G376:I376"/>
    <mergeCell ref="N376:O376"/>
    <mergeCell ref="P376:R376"/>
    <mergeCell ref="T376:U376"/>
    <mergeCell ref="Y376:Z376"/>
    <mergeCell ref="B377:D377"/>
    <mergeCell ref="E377:F377"/>
    <mergeCell ref="G377:I377"/>
    <mergeCell ref="N377:O377"/>
    <mergeCell ref="P377:R377"/>
    <mergeCell ref="T377:U377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9:D379"/>
    <mergeCell ref="E379:F379"/>
    <mergeCell ref="G379:I379"/>
    <mergeCell ref="N379:O379"/>
    <mergeCell ref="P379:R379"/>
    <mergeCell ref="T379:U379"/>
    <mergeCell ref="Y379:Z379"/>
    <mergeCell ref="B380:D380"/>
    <mergeCell ref="E380:F380"/>
    <mergeCell ref="G380:I380"/>
    <mergeCell ref="N380:O380"/>
    <mergeCell ref="P380:R380"/>
    <mergeCell ref="T380:U380"/>
    <mergeCell ref="Y380:Z380"/>
    <mergeCell ref="B381:D381"/>
    <mergeCell ref="E381:F381"/>
    <mergeCell ref="G381:I381"/>
    <mergeCell ref="N381:O381"/>
    <mergeCell ref="P381:R381"/>
    <mergeCell ref="T381:U381"/>
    <mergeCell ref="Y381:Z381"/>
    <mergeCell ref="B382:D382"/>
    <mergeCell ref="E382:F382"/>
    <mergeCell ref="G382:I382"/>
    <mergeCell ref="N382:O382"/>
    <mergeCell ref="P382:R382"/>
    <mergeCell ref="T382:U382"/>
    <mergeCell ref="Y382:Z382"/>
    <mergeCell ref="B383:D383"/>
    <mergeCell ref="E383:F383"/>
    <mergeCell ref="G383:I383"/>
    <mergeCell ref="N383:O383"/>
    <mergeCell ref="P383:R383"/>
    <mergeCell ref="T383:U383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85:D385"/>
    <mergeCell ref="E385:F385"/>
    <mergeCell ref="G385:I385"/>
    <mergeCell ref="N385:O385"/>
    <mergeCell ref="P385:R385"/>
    <mergeCell ref="T385:U385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7:D387"/>
    <mergeCell ref="E387:F387"/>
    <mergeCell ref="G387:I387"/>
    <mergeCell ref="N387:O387"/>
    <mergeCell ref="P387:R387"/>
    <mergeCell ref="T387:U387"/>
    <mergeCell ref="Y387:Z387"/>
    <mergeCell ref="B388:D388"/>
    <mergeCell ref="E388:F388"/>
    <mergeCell ref="G388:I388"/>
    <mergeCell ref="N388:O388"/>
    <mergeCell ref="P388:R388"/>
    <mergeCell ref="T388:U388"/>
    <mergeCell ref="Y388:Z388"/>
    <mergeCell ref="B389:D389"/>
    <mergeCell ref="E389:F389"/>
    <mergeCell ref="G389:I389"/>
    <mergeCell ref="N389:O389"/>
    <mergeCell ref="P389:R389"/>
    <mergeCell ref="T389:U389"/>
    <mergeCell ref="Y389:Z389"/>
    <mergeCell ref="B390:D390"/>
    <mergeCell ref="E390:F390"/>
    <mergeCell ref="G390:I390"/>
    <mergeCell ref="N390:O390"/>
    <mergeCell ref="P390:R390"/>
    <mergeCell ref="T390:U390"/>
    <mergeCell ref="Y390:Z390"/>
    <mergeCell ref="B391:D391"/>
    <mergeCell ref="E391:F391"/>
    <mergeCell ref="G391:I391"/>
    <mergeCell ref="N391:O391"/>
    <mergeCell ref="P391:R391"/>
    <mergeCell ref="T391:U391"/>
    <mergeCell ref="Y391:Z391"/>
    <mergeCell ref="B392:D392"/>
    <mergeCell ref="E392:F392"/>
    <mergeCell ref="G392:I392"/>
    <mergeCell ref="N392:O392"/>
    <mergeCell ref="P392:R392"/>
    <mergeCell ref="T392:U392"/>
    <mergeCell ref="Y392:Z392"/>
    <mergeCell ref="B393:D393"/>
    <mergeCell ref="E393:F393"/>
    <mergeCell ref="G393:I393"/>
    <mergeCell ref="N393:O393"/>
    <mergeCell ref="P393:R393"/>
    <mergeCell ref="T393:U393"/>
    <mergeCell ref="Y393:Z393"/>
    <mergeCell ref="B394:D394"/>
    <mergeCell ref="E394:F394"/>
    <mergeCell ref="G394:I394"/>
    <mergeCell ref="N394:O394"/>
    <mergeCell ref="P394:R394"/>
    <mergeCell ref="T394:U394"/>
    <mergeCell ref="Y394:Z394"/>
    <mergeCell ref="B395:D395"/>
    <mergeCell ref="E395:F395"/>
    <mergeCell ref="G395:I395"/>
    <mergeCell ref="N395:O395"/>
    <mergeCell ref="P395:R395"/>
    <mergeCell ref="T395:U395"/>
    <mergeCell ref="Y395:Z395"/>
    <mergeCell ref="B396:D396"/>
    <mergeCell ref="E396:F396"/>
    <mergeCell ref="G396:I396"/>
    <mergeCell ref="N396:O396"/>
    <mergeCell ref="P396:R396"/>
    <mergeCell ref="T396:U396"/>
    <mergeCell ref="Y396:Z396"/>
    <mergeCell ref="B397:D397"/>
    <mergeCell ref="E397:F397"/>
    <mergeCell ref="G397:I397"/>
    <mergeCell ref="N397:O397"/>
    <mergeCell ref="P397:R397"/>
    <mergeCell ref="T397:U397"/>
    <mergeCell ref="Y397:Z397"/>
    <mergeCell ref="B398:D398"/>
    <mergeCell ref="E398:F398"/>
    <mergeCell ref="G398:I398"/>
    <mergeCell ref="N398:O398"/>
    <mergeCell ref="P398:R398"/>
    <mergeCell ref="T398:U398"/>
    <mergeCell ref="Y398:Z398"/>
    <mergeCell ref="B399:D399"/>
    <mergeCell ref="E399:F399"/>
    <mergeCell ref="G399:I399"/>
    <mergeCell ref="N399:O399"/>
    <mergeCell ref="P399:R399"/>
    <mergeCell ref="T399:U399"/>
    <mergeCell ref="Y399:Z399"/>
    <mergeCell ref="B400:D400"/>
    <mergeCell ref="E400:F400"/>
    <mergeCell ref="G400:I400"/>
    <mergeCell ref="N400:O400"/>
    <mergeCell ref="P400:R400"/>
    <mergeCell ref="T400:U400"/>
    <mergeCell ref="Y400:Z400"/>
    <mergeCell ref="B401:D401"/>
    <mergeCell ref="E401:F401"/>
    <mergeCell ref="G401:I401"/>
    <mergeCell ref="N401:O401"/>
    <mergeCell ref="P401:R401"/>
    <mergeCell ref="T401:U401"/>
    <mergeCell ref="Y401:Z401"/>
    <mergeCell ref="B402:D402"/>
    <mergeCell ref="E402:F402"/>
    <mergeCell ref="G402:I402"/>
    <mergeCell ref="N402:O402"/>
    <mergeCell ref="P402:R402"/>
    <mergeCell ref="T402:U402"/>
    <mergeCell ref="Y402:Z402"/>
    <mergeCell ref="B403:D403"/>
    <mergeCell ref="E403:F403"/>
    <mergeCell ref="G403:I403"/>
    <mergeCell ref="N403:O403"/>
    <mergeCell ref="P403:R403"/>
    <mergeCell ref="T403:U403"/>
    <mergeCell ref="Y403:Z403"/>
    <mergeCell ref="B404:D404"/>
    <mergeCell ref="E404:F404"/>
    <mergeCell ref="G404:I404"/>
    <mergeCell ref="N404:O404"/>
    <mergeCell ref="P404:R404"/>
    <mergeCell ref="T404:U404"/>
    <mergeCell ref="Y404:Z404"/>
    <mergeCell ref="B405:D405"/>
    <mergeCell ref="E405:F405"/>
    <mergeCell ref="G405:I405"/>
    <mergeCell ref="N405:O405"/>
    <mergeCell ref="P405:R405"/>
    <mergeCell ref="T405:U405"/>
    <mergeCell ref="Y405:Z405"/>
    <mergeCell ref="B406:D406"/>
    <mergeCell ref="E406:F406"/>
    <mergeCell ref="G406:I406"/>
    <mergeCell ref="N406:O406"/>
    <mergeCell ref="P406:R406"/>
    <mergeCell ref="T406:U406"/>
    <mergeCell ref="Y406:Z406"/>
    <mergeCell ref="B407:D407"/>
    <mergeCell ref="E407:F407"/>
    <mergeCell ref="G407:I407"/>
    <mergeCell ref="N407:O407"/>
    <mergeCell ref="P407:R407"/>
    <mergeCell ref="T407:U407"/>
    <mergeCell ref="Y407:Z407"/>
    <mergeCell ref="B408:D408"/>
    <mergeCell ref="E408:F408"/>
    <mergeCell ref="G408:I408"/>
    <mergeCell ref="N408:O408"/>
    <mergeCell ref="P408:R408"/>
    <mergeCell ref="T408:U408"/>
    <mergeCell ref="Y408:Z408"/>
    <mergeCell ref="B409:D409"/>
    <mergeCell ref="E409:F409"/>
    <mergeCell ref="G409:I409"/>
    <mergeCell ref="N409:O409"/>
    <mergeCell ref="P409:R409"/>
    <mergeCell ref="T409:U409"/>
    <mergeCell ref="Y409:Z409"/>
    <mergeCell ref="B412:D412"/>
    <mergeCell ref="E412:F412"/>
    <mergeCell ref="G412:I412"/>
    <mergeCell ref="N412:O412"/>
    <mergeCell ref="P412:R412"/>
    <mergeCell ref="T412:U412"/>
    <mergeCell ref="Y412:Z412"/>
    <mergeCell ref="B413:D413"/>
    <mergeCell ref="E413:F413"/>
    <mergeCell ref="G413:I413"/>
    <mergeCell ref="N413:O413"/>
    <mergeCell ref="P413:R413"/>
    <mergeCell ref="T413:U413"/>
    <mergeCell ref="Y413:Z413"/>
    <mergeCell ref="B414:D414"/>
    <mergeCell ref="E414:F414"/>
    <mergeCell ref="G414:I414"/>
    <mergeCell ref="N414:O414"/>
    <mergeCell ref="P414:R414"/>
    <mergeCell ref="T414:U414"/>
    <mergeCell ref="Y414:Z414"/>
    <mergeCell ref="B415:D415"/>
    <mergeCell ref="E415:F415"/>
    <mergeCell ref="G415:I415"/>
    <mergeCell ref="N415:O415"/>
    <mergeCell ref="P415:R415"/>
    <mergeCell ref="T415:U415"/>
    <mergeCell ref="Y415:Z415"/>
    <mergeCell ref="B416:D416"/>
    <mergeCell ref="E416:F416"/>
    <mergeCell ref="G416:I416"/>
    <mergeCell ref="N416:O416"/>
    <mergeCell ref="P416:R416"/>
    <mergeCell ref="T416:U416"/>
    <mergeCell ref="Y416:Z416"/>
    <mergeCell ref="B417:D417"/>
    <mergeCell ref="E417:F417"/>
    <mergeCell ref="G417:I417"/>
    <mergeCell ref="N417:O417"/>
    <mergeCell ref="P417:R417"/>
    <mergeCell ref="T417:U417"/>
    <mergeCell ref="Y417:Z417"/>
    <mergeCell ref="B418:D418"/>
    <mergeCell ref="E418:F418"/>
    <mergeCell ref="G418:I418"/>
    <mergeCell ref="N418:O418"/>
    <mergeCell ref="P418:R418"/>
    <mergeCell ref="T418:U418"/>
    <mergeCell ref="Y418:Z418"/>
    <mergeCell ref="B419:D419"/>
    <mergeCell ref="E419:F419"/>
    <mergeCell ref="G419:I419"/>
    <mergeCell ref="N419:O419"/>
    <mergeCell ref="P419:R419"/>
    <mergeCell ref="T419:U419"/>
    <mergeCell ref="Y419:Z419"/>
    <mergeCell ref="B420:D420"/>
    <mergeCell ref="E420:F420"/>
    <mergeCell ref="G420:I420"/>
    <mergeCell ref="N420:O420"/>
    <mergeCell ref="P420:R420"/>
    <mergeCell ref="T420:U420"/>
    <mergeCell ref="Y420:Z420"/>
    <mergeCell ref="B421:D421"/>
    <mergeCell ref="E421:F421"/>
    <mergeCell ref="G421:I421"/>
    <mergeCell ref="N421:O421"/>
    <mergeCell ref="P421:R421"/>
    <mergeCell ref="T421:U421"/>
    <mergeCell ref="Y421:Z421"/>
    <mergeCell ref="B422:D422"/>
    <mergeCell ref="E422:F422"/>
    <mergeCell ref="G422:I422"/>
    <mergeCell ref="N422:O422"/>
    <mergeCell ref="P422:R422"/>
    <mergeCell ref="T422:U422"/>
    <mergeCell ref="Y422:Z422"/>
    <mergeCell ref="B423:D423"/>
    <mergeCell ref="E423:F423"/>
    <mergeCell ref="G423:I423"/>
    <mergeCell ref="N423:O423"/>
    <mergeCell ref="P423:R423"/>
    <mergeCell ref="T423:U423"/>
    <mergeCell ref="Y423:Z423"/>
    <mergeCell ref="B424:D424"/>
    <mergeCell ref="E424:F424"/>
    <mergeCell ref="G424:I424"/>
    <mergeCell ref="N424:O424"/>
    <mergeCell ref="P424:R424"/>
    <mergeCell ref="T424:U424"/>
    <mergeCell ref="Y424:Z424"/>
    <mergeCell ref="B425:D425"/>
    <mergeCell ref="E425:F425"/>
    <mergeCell ref="G425:I425"/>
    <mergeCell ref="N425:O425"/>
    <mergeCell ref="P425:R425"/>
    <mergeCell ref="T425:U425"/>
    <mergeCell ref="Y425:Z425"/>
    <mergeCell ref="B426:D426"/>
    <mergeCell ref="E426:F426"/>
    <mergeCell ref="G426:I426"/>
    <mergeCell ref="N426:O426"/>
    <mergeCell ref="P426:R426"/>
    <mergeCell ref="T426:U426"/>
    <mergeCell ref="Y426:Z426"/>
    <mergeCell ref="B427:D427"/>
    <mergeCell ref="E427:F427"/>
    <mergeCell ref="G427:I427"/>
    <mergeCell ref="N427:O427"/>
    <mergeCell ref="P427:R427"/>
    <mergeCell ref="T427:U427"/>
    <mergeCell ref="Y427:Z427"/>
    <mergeCell ref="B428:D428"/>
    <mergeCell ref="E428:F428"/>
    <mergeCell ref="G428:I428"/>
    <mergeCell ref="N428:O428"/>
    <mergeCell ref="P428:R428"/>
    <mergeCell ref="T428:U428"/>
    <mergeCell ref="Y428:Z428"/>
    <mergeCell ref="B429:D429"/>
    <mergeCell ref="E429:F429"/>
    <mergeCell ref="G429:I429"/>
    <mergeCell ref="N429:O429"/>
    <mergeCell ref="P429:R429"/>
    <mergeCell ref="T429:U429"/>
    <mergeCell ref="Y429:Z429"/>
    <mergeCell ref="B430:D430"/>
    <mergeCell ref="E430:F430"/>
    <mergeCell ref="G430:I430"/>
    <mergeCell ref="N430:O430"/>
    <mergeCell ref="P430:R430"/>
    <mergeCell ref="T430:U430"/>
    <mergeCell ref="Y430:Z430"/>
    <mergeCell ref="B431:D431"/>
    <mergeCell ref="E431:F431"/>
    <mergeCell ref="G431:I431"/>
    <mergeCell ref="N431:O431"/>
    <mergeCell ref="P431:R431"/>
    <mergeCell ref="T431:U431"/>
    <mergeCell ref="Y431:Z431"/>
    <mergeCell ref="B432:D432"/>
    <mergeCell ref="E432:F432"/>
    <mergeCell ref="G432:I432"/>
    <mergeCell ref="N432:O432"/>
    <mergeCell ref="P432:R432"/>
    <mergeCell ref="T432:U432"/>
    <mergeCell ref="Y432:Z432"/>
    <mergeCell ref="B433:D433"/>
    <mergeCell ref="E433:F433"/>
    <mergeCell ref="G433:I433"/>
    <mergeCell ref="N433:O433"/>
    <mergeCell ref="P433:R433"/>
    <mergeCell ref="T433:U433"/>
    <mergeCell ref="Y433:Z433"/>
    <mergeCell ref="B434:D434"/>
    <mergeCell ref="E434:F434"/>
    <mergeCell ref="G434:I434"/>
    <mergeCell ref="N434:O434"/>
    <mergeCell ref="P434:R434"/>
    <mergeCell ref="T434:U434"/>
    <mergeCell ref="Y434:Z434"/>
    <mergeCell ref="B435:D435"/>
    <mergeCell ref="E435:F435"/>
    <mergeCell ref="G435:I435"/>
    <mergeCell ref="N435:O435"/>
    <mergeCell ref="P435:R435"/>
    <mergeCell ref="T435:U435"/>
    <mergeCell ref="Y435:Z435"/>
    <mergeCell ref="B436:D436"/>
    <mergeCell ref="E436:F436"/>
    <mergeCell ref="G436:I436"/>
    <mergeCell ref="N436:O436"/>
    <mergeCell ref="P436:R436"/>
    <mergeCell ref="T436:U436"/>
    <mergeCell ref="Y436:Z436"/>
    <mergeCell ref="B437:D437"/>
    <mergeCell ref="E437:F437"/>
    <mergeCell ref="G437:I437"/>
    <mergeCell ref="N437:O437"/>
    <mergeCell ref="P437:R437"/>
    <mergeCell ref="T437:U437"/>
    <mergeCell ref="Y437:Z437"/>
    <mergeCell ref="B438:D438"/>
    <mergeCell ref="E438:F438"/>
    <mergeCell ref="G438:I438"/>
    <mergeCell ref="N438:O438"/>
    <mergeCell ref="P438:R438"/>
    <mergeCell ref="T438:U438"/>
    <mergeCell ref="Y438:Z438"/>
    <mergeCell ref="B439:D439"/>
    <mergeCell ref="E439:F439"/>
    <mergeCell ref="G439:I439"/>
    <mergeCell ref="N439:O439"/>
    <mergeCell ref="P439:R439"/>
    <mergeCell ref="T439:U439"/>
    <mergeCell ref="Y439:Z439"/>
    <mergeCell ref="B440:D440"/>
    <mergeCell ref="E440:F440"/>
    <mergeCell ref="G440:I440"/>
    <mergeCell ref="N440:O440"/>
    <mergeCell ref="P440:R440"/>
    <mergeCell ref="T440:U440"/>
    <mergeCell ref="Y440:Z440"/>
    <mergeCell ref="B441:D441"/>
    <mergeCell ref="E441:F441"/>
    <mergeCell ref="G441:I441"/>
    <mergeCell ref="N441:O441"/>
    <mergeCell ref="P441:R441"/>
    <mergeCell ref="T441:U441"/>
    <mergeCell ref="Y441:Z441"/>
    <mergeCell ref="B442:D442"/>
    <mergeCell ref="E442:F442"/>
    <mergeCell ref="G442:I442"/>
    <mergeCell ref="N442:O442"/>
    <mergeCell ref="P442:R442"/>
    <mergeCell ref="T442:U442"/>
    <mergeCell ref="Y442:Z442"/>
    <mergeCell ref="B443:D443"/>
    <mergeCell ref="E443:F443"/>
    <mergeCell ref="G443:I443"/>
    <mergeCell ref="N443:O443"/>
    <mergeCell ref="P443:R443"/>
    <mergeCell ref="T443:U443"/>
    <mergeCell ref="Y443:Z443"/>
    <mergeCell ref="B444:D444"/>
    <mergeCell ref="E444:F444"/>
    <mergeCell ref="G444:I444"/>
    <mergeCell ref="N444:O444"/>
    <mergeCell ref="P444:R444"/>
    <mergeCell ref="T444:U444"/>
    <mergeCell ref="Y444:Z444"/>
    <mergeCell ref="B445:D445"/>
    <mergeCell ref="E445:F445"/>
    <mergeCell ref="G445:I445"/>
    <mergeCell ref="N445:O445"/>
    <mergeCell ref="P445:R445"/>
    <mergeCell ref="T445:U445"/>
    <mergeCell ref="Y445:Z445"/>
    <mergeCell ref="B446:D446"/>
    <mergeCell ref="E446:F446"/>
    <mergeCell ref="G446:I446"/>
    <mergeCell ref="N446:O446"/>
    <mergeCell ref="P446:R446"/>
    <mergeCell ref="T446:U446"/>
    <mergeCell ref="Y446:Z446"/>
    <mergeCell ref="B447:D447"/>
    <mergeCell ref="E447:F447"/>
    <mergeCell ref="G447:I447"/>
    <mergeCell ref="N447:O447"/>
    <mergeCell ref="P447:R447"/>
    <mergeCell ref="T447:U447"/>
    <mergeCell ref="Y447:Z447"/>
    <mergeCell ref="B448:D448"/>
    <mergeCell ref="E448:F448"/>
    <mergeCell ref="G448:I448"/>
    <mergeCell ref="N448:O448"/>
    <mergeCell ref="P448:R448"/>
    <mergeCell ref="T448:U448"/>
    <mergeCell ref="Y448:Z448"/>
    <mergeCell ref="B449:D449"/>
    <mergeCell ref="E449:F449"/>
    <mergeCell ref="G449:I449"/>
    <mergeCell ref="N449:O449"/>
    <mergeCell ref="P449:R449"/>
    <mergeCell ref="T449:U449"/>
    <mergeCell ref="Y449:Z449"/>
    <mergeCell ref="B450:D450"/>
    <mergeCell ref="E450:F450"/>
    <mergeCell ref="G450:I450"/>
    <mergeCell ref="N450:O450"/>
    <mergeCell ref="P450:R450"/>
    <mergeCell ref="T450:U450"/>
    <mergeCell ref="Y450:Z450"/>
    <mergeCell ref="B451:D451"/>
    <mergeCell ref="E451:F451"/>
    <mergeCell ref="G451:I451"/>
    <mergeCell ref="N451:O451"/>
    <mergeCell ref="P451:R451"/>
    <mergeCell ref="T451:U451"/>
    <mergeCell ref="Y451:Z451"/>
    <mergeCell ref="B452:D452"/>
    <mergeCell ref="E452:F452"/>
    <mergeCell ref="G452:I452"/>
    <mergeCell ref="N452:O452"/>
    <mergeCell ref="P452:R452"/>
    <mergeCell ref="T452:U452"/>
    <mergeCell ref="Y452:Z452"/>
    <mergeCell ref="B453:D453"/>
    <mergeCell ref="E453:F453"/>
    <mergeCell ref="G453:I453"/>
    <mergeCell ref="N453:O453"/>
    <mergeCell ref="P453:R453"/>
    <mergeCell ref="T453:U453"/>
    <mergeCell ref="Y453:Z453"/>
    <mergeCell ref="B454:D454"/>
    <mergeCell ref="E454:F454"/>
    <mergeCell ref="G454:I454"/>
    <mergeCell ref="N454:O454"/>
    <mergeCell ref="P454:R454"/>
    <mergeCell ref="T454:U454"/>
    <mergeCell ref="Y454:Z454"/>
    <mergeCell ref="B455:D455"/>
    <mergeCell ref="E455:F455"/>
    <mergeCell ref="G455:I455"/>
    <mergeCell ref="N455:O455"/>
    <mergeCell ref="P455:R455"/>
    <mergeCell ref="T455:U455"/>
    <mergeCell ref="Y455:Z455"/>
    <mergeCell ref="B456:D456"/>
    <mergeCell ref="E456:F456"/>
    <mergeCell ref="G456:I456"/>
    <mergeCell ref="N456:O456"/>
    <mergeCell ref="P456:R456"/>
    <mergeCell ref="T456:U456"/>
    <mergeCell ref="Y456:Z456"/>
    <mergeCell ref="B457:D457"/>
    <mergeCell ref="E457:F457"/>
    <mergeCell ref="G457:I457"/>
    <mergeCell ref="N457:O457"/>
    <mergeCell ref="P457:R457"/>
    <mergeCell ref="T457:U457"/>
    <mergeCell ref="Y457:Z457"/>
    <mergeCell ref="B458:D458"/>
    <mergeCell ref="E458:F458"/>
    <mergeCell ref="G458:I458"/>
    <mergeCell ref="N458:O458"/>
    <mergeCell ref="P458:R458"/>
    <mergeCell ref="T458:U458"/>
    <mergeCell ref="Y458:Z458"/>
    <mergeCell ref="B459:D459"/>
    <mergeCell ref="E459:F459"/>
    <mergeCell ref="G459:I459"/>
    <mergeCell ref="N459:O459"/>
    <mergeCell ref="P459:R459"/>
    <mergeCell ref="T459:U459"/>
    <mergeCell ref="Y459:Z459"/>
    <mergeCell ref="B460:D460"/>
    <mergeCell ref="E460:F460"/>
    <mergeCell ref="G460:I460"/>
    <mergeCell ref="N460:O460"/>
    <mergeCell ref="P460:R460"/>
    <mergeCell ref="T460:U460"/>
    <mergeCell ref="Y460:Z460"/>
    <mergeCell ref="B461:D461"/>
    <mergeCell ref="E461:F461"/>
    <mergeCell ref="G461:I461"/>
    <mergeCell ref="N461:O461"/>
    <mergeCell ref="P461:R461"/>
    <mergeCell ref="T461:U461"/>
    <mergeCell ref="Y461:Z461"/>
    <mergeCell ref="B462:D462"/>
    <mergeCell ref="E462:F462"/>
    <mergeCell ref="G462:I462"/>
    <mergeCell ref="N462:O462"/>
    <mergeCell ref="P462:R462"/>
    <mergeCell ref="T462:U462"/>
    <mergeCell ref="Y462:Z462"/>
    <mergeCell ref="B463:D463"/>
    <mergeCell ref="E463:F463"/>
    <mergeCell ref="G463:I463"/>
    <mergeCell ref="N463:O463"/>
    <mergeCell ref="P463:R463"/>
    <mergeCell ref="T463:U463"/>
    <mergeCell ref="Y463:Z463"/>
    <mergeCell ref="B464:D464"/>
    <mergeCell ref="E464:F464"/>
    <mergeCell ref="G464:I464"/>
    <mergeCell ref="N464:O464"/>
    <mergeCell ref="P464:R464"/>
    <mergeCell ref="T464:U464"/>
    <mergeCell ref="Y464:Z464"/>
    <mergeCell ref="B465:D465"/>
    <mergeCell ref="E465:F465"/>
    <mergeCell ref="G465:I465"/>
    <mergeCell ref="N465:O465"/>
    <mergeCell ref="P465:R465"/>
    <mergeCell ref="T465:U465"/>
    <mergeCell ref="Y465:Z465"/>
    <mergeCell ref="B466:D466"/>
    <mergeCell ref="E466:F466"/>
    <mergeCell ref="G466:I466"/>
    <mergeCell ref="N466:O466"/>
    <mergeCell ref="P466:R466"/>
    <mergeCell ref="T466:U466"/>
    <mergeCell ref="Y466:Z466"/>
    <mergeCell ref="B467:D467"/>
    <mergeCell ref="E467:F467"/>
    <mergeCell ref="G467:I467"/>
    <mergeCell ref="N467:O467"/>
    <mergeCell ref="P467:R467"/>
    <mergeCell ref="T467:U467"/>
    <mergeCell ref="Y467:Z467"/>
    <mergeCell ref="B468:D468"/>
    <mergeCell ref="E468:F468"/>
    <mergeCell ref="G468:I468"/>
    <mergeCell ref="N468:O468"/>
    <mergeCell ref="P468:R468"/>
    <mergeCell ref="T468:U468"/>
    <mergeCell ref="Y468:Z468"/>
    <mergeCell ref="B469:D469"/>
    <mergeCell ref="E469:F469"/>
    <mergeCell ref="G469:I469"/>
    <mergeCell ref="N469:O469"/>
    <mergeCell ref="P469:R469"/>
    <mergeCell ref="T469:U469"/>
    <mergeCell ref="Y469:Z469"/>
    <mergeCell ref="B470:D470"/>
    <mergeCell ref="E470:F470"/>
    <mergeCell ref="G470:I470"/>
    <mergeCell ref="N470:O470"/>
    <mergeCell ref="P470:R470"/>
    <mergeCell ref="T470:U470"/>
    <mergeCell ref="Y470:Z470"/>
    <mergeCell ref="B471:D471"/>
    <mergeCell ref="E471:F471"/>
    <mergeCell ref="G471:I471"/>
    <mergeCell ref="N471:O471"/>
    <mergeCell ref="P471:R471"/>
    <mergeCell ref="T471:U471"/>
    <mergeCell ref="Y471:Z471"/>
    <mergeCell ref="B472:D472"/>
    <mergeCell ref="E472:F472"/>
    <mergeCell ref="G472:I472"/>
    <mergeCell ref="N472:O472"/>
    <mergeCell ref="P472:R472"/>
    <mergeCell ref="T472:U472"/>
    <mergeCell ref="Y472:Z472"/>
    <mergeCell ref="B473:D473"/>
    <mergeCell ref="E473:F473"/>
    <mergeCell ref="G473:I473"/>
    <mergeCell ref="N473:O473"/>
    <mergeCell ref="P473:R473"/>
    <mergeCell ref="T473:U473"/>
    <mergeCell ref="Y473:Z473"/>
    <mergeCell ref="B474:D474"/>
    <mergeCell ref="E474:F474"/>
    <mergeCell ref="G474:I474"/>
    <mergeCell ref="N474:O474"/>
    <mergeCell ref="P474:R474"/>
    <mergeCell ref="T474:U474"/>
    <mergeCell ref="Y474:Z474"/>
    <mergeCell ref="B475:D475"/>
    <mergeCell ref="E475:F475"/>
    <mergeCell ref="G475:I475"/>
    <mergeCell ref="N475:O475"/>
    <mergeCell ref="P475:R475"/>
    <mergeCell ref="T475:U475"/>
    <mergeCell ref="Y475:Z475"/>
    <mergeCell ref="B476:D476"/>
    <mergeCell ref="E476:F476"/>
    <mergeCell ref="G476:I476"/>
    <mergeCell ref="N476:O476"/>
    <mergeCell ref="P476:R476"/>
    <mergeCell ref="T476:U476"/>
    <mergeCell ref="Y476:Z476"/>
    <mergeCell ref="B477:D477"/>
    <mergeCell ref="E477:F477"/>
    <mergeCell ref="G477:I477"/>
    <mergeCell ref="N477:O477"/>
    <mergeCell ref="P477:R477"/>
    <mergeCell ref="T477:U477"/>
    <mergeCell ref="Y477:Z477"/>
    <mergeCell ref="B478:D478"/>
    <mergeCell ref="E478:F478"/>
    <mergeCell ref="G478:I478"/>
    <mergeCell ref="N478:O478"/>
    <mergeCell ref="P478:R478"/>
    <mergeCell ref="T478:U478"/>
    <mergeCell ref="Y478:Z478"/>
    <mergeCell ref="B479:D479"/>
    <mergeCell ref="E479:F479"/>
    <mergeCell ref="G479:I479"/>
    <mergeCell ref="N479:O479"/>
    <mergeCell ref="P479:R479"/>
    <mergeCell ref="T479:U479"/>
    <mergeCell ref="Y479:Z479"/>
    <mergeCell ref="B480:D480"/>
    <mergeCell ref="E480:F480"/>
    <mergeCell ref="G480:I480"/>
    <mergeCell ref="N480:O480"/>
    <mergeCell ref="P480:R480"/>
    <mergeCell ref="T480:U480"/>
    <mergeCell ref="Y480:Z480"/>
    <mergeCell ref="B481:D481"/>
    <mergeCell ref="E481:F481"/>
    <mergeCell ref="G481:I481"/>
    <mergeCell ref="N481:O481"/>
    <mergeCell ref="P481:R481"/>
    <mergeCell ref="T481:U481"/>
    <mergeCell ref="Y481:Z481"/>
    <mergeCell ref="B482:D482"/>
    <mergeCell ref="E482:F482"/>
    <mergeCell ref="G482:I482"/>
    <mergeCell ref="N482:O482"/>
    <mergeCell ref="P482:R482"/>
    <mergeCell ref="T482:U482"/>
    <mergeCell ref="Y482:Z482"/>
    <mergeCell ref="B483:D483"/>
    <mergeCell ref="E483:F483"/>
    <mergeCell ref="G483:I483"/>
    <mergeCell ref="N483:O483"/>
    <mergeCell ref="P483:R483"/>
    <mergeCell ref="T483:U483"/>
    <mergeCell ref="Y483:Z483"/>
    <mergeCell ref="B484:D484"/>
    <mergeCell ref="E484:F484"/>
    <mergeCell ref="G484:I484"/>
    <mergeCell ref="N484:O484"/>
    <mergeCell ref="P484:R484"/>
    <mergeCell ref="T484:U484"/>
    <mergeCell ref="Y484:Z484"/>
    <mergeCell ref="B485:D485"/>
    <mergeCell ref="E485:F485"/>
    <mergeCell ref="G485:I485"/>
    <mergeCell ref="N485:O485"/>
    <mergeCell ref="P485:R485"/>
    <mergeCell ref="T485:U485"/>
    <mergeCell ref="Y485:Z485"/>
    <mergeCell ref="B486:D486"/>
    <mergeCell ref="E486:F486"/>
    <mergeCell ref="G486:I486"/>
    <mergeCell ref="N486:O486"/>
    <mergeCell ref="P486:R486"/>
    <mergeCell ref="T486:U486"/>
    <mergeCell ref="Y486:Z486"/>
    <mergeCell ref="B487:D487"/>
    <mergeCell ref="E487:F487"/>
    <mergeCell ref="G487:I487"/>
    <mergeCell ref="N487:O487"/>
    <mergeCell ref="P487:R487"/>
    <mergeCell ref="T487:U487"/>
    <mergeCell ref="Y487:Z487"/>
    <mergeCell ref="B488:D488"/>
    <mergeCell ref="E488:F488"/>
    <mergeCell ref="G488:I488"/>
    <mergeCell ref="N488:O488"/>
    <mergeCell ref="P488:R488"/>
    <mergeCell ref="T488:U488"/>
    <mergeCell ref="Y488:Z488"/>
    <mergeCell ref="B489:D489"/>
    <mergeCell ref="E489:F489"/>
    <mergeCell ref="G489:I489"/>
    <mergeCell ref="N489:O489"/>
    <mergeCell ref="P489:R489"/>
    <mergeCell ref="T489:U489"/>
    <mergeCell ref="Y489:Z489"/>
    <mergeCell ref="B490:D490"/>
    <mergeCell ref="E490:F490"/>
    <mergeCell ref="G490:I490"/>
    <mergeCell ref="N490:O490"/>
    <mergeCell ref="P490:R490"/>
    <mergeCell ref="T490:U490"/>
    <mergeCell ref="Y490:Z490"/>
    <mergeCell ref="B493:D493"/>
    <mergeCell ref="E493:F493"/>
    <mergeCell ref="G493:I493"/>
    <mergeCell ref="N493:O493"/>
    <mergeCell ref="P493:R493"/>
    <mergeCell ref="T493:U493"/>
    <mergeCell ref="Y493:Z493"/>
    <mergeCell ref="B494:D494"/>
    <mergeCell ref="E494:F494"/>
    <mergeCell ref="G494:I494"/>
    <mergeCell ref="N494:O494"/>
    <mergeCell ref="P494:R494"/>
    <mergeCell ref="T494:U494"/>
    <mergeCell ref="Y494:Z494"/>
    <mergeCell ref="B495:D495"/>
    <mergeCell ref="E495:F495"/>
    <mergeCell ref="G495:I495"/>
    <mergeCell ref="N495:O495"/>
    <mergeCell ref="P495:R495"/>
    <mergeCell ref="T495:U495"/>
    <mergeCell ref="Y495:Z495"/>
    <mergeCell ref="B496:D496"/>
    <mergeCell ref="E496:F496"/>
    <mergeCell ref="G496:I496"/>
    <mergeCell ref="N496:O496"/>
    <mergeCell ref="P496:R496"/>
    <mergeCell ref="T496:U496"/>
    <mergeCell ref="Y496:Z496"/>
    <mergeCell ref="B497:D497"/>
    <mergeCell ref="E497:F497"/>
    <mergeCell ref="G497:I497"/>
    <mergeCell ref="N497:O497"/>
    <mergeCell ref="P497:R497"/>
    <mergeCell ref="T497:U497"/>
    <mergeCell ref="Y497:Z497"/>
    <mergeCell ref="B498:D498"/>
    <mergeCell ref="E498:F498"/>
    <mergeCell ref="G498:I498"/>
    <mergeCell ref="N498:O498"/>
    <mergeCell ref="P498:R498"/>
    <mergeCell ref="T498:U498"/>
    <mergeCell ref="Y498:Z498"/>
    <mergeCell ref="B499:D499"/>
    <mergeCell ref="E499:F499"/>
    <mergeCell ref="G499:I499"/>
    <mergeCell ref="N499:O499"/>
    <mergeCell ref="P499:R499"/>
    <mergeCell ref="T499:U499"/>
    <mergeCell ref="Y499:Z499"/>
    <mergeCell ref="B500:D500"/>
    <mergeCell ref="E500:F500"/>
    <mergeCell ref="G500:I500"/>
    <mergeCell ref="N500:O500"/>
    <mergeCell ref="P500:R500"/>
    <mergeCell ref="T500:U500"/>
    <mergeCell ref="Y500:Z500"/>
    <mergeCell ref="B501:D501"/>
    <mergeCell ref="E501:F501"/>
    <mergeCell ref="G501:I501"/>
    <mergeCell ref="N501:O501"/>
    <mergeCell ref="P501:R501"/>
    <mergeCell ref="T501:U501"/>
    <mergeCell ref="Y501:Z501"/>
    <mergeCell ref="B502:D502"/>
    <mergeCell ref="E502:F502"/>
    <mergeCell ref="G502:I502"/>
    <mergeCell ref="N502:O502"/>
    <mergeCell ref="P502:R502"/>
    <mergeCell ref="T502:U502"/>
    <mergeCell ref="Y502:Z502"/>
    <mergeCell ref="B503:D503"/>
    <mergeCell ref="E503:F503"/>
    <mergeCell ref="G503:I503"/>
    <mergeCell ref="N503:O503"/>
    <mergeCell ref="P503:R503"/>
    <mergeCell ref="T503:U503"/>
    <mergeCell ref="Y503:Z503"/>
    <mergeCell ref="B504:D504"/>
    <mergeCell ref="E504:F504"/>
    <mergeCell ref="G504:I504"/>
    <mergeCell ref="N504:O504"/>
    <mergeCell ref="P504:R504"/>
    <mergeCell ref="T504:U504"/>
    <mergeCell ref="Y504:Z504"/>
    <mergeCell ref="B505:D505"/>
    <mergeCell ref="E505:F505"/>
    <mergeCell ref="G505:I505"/>
    <mergeCell ref="N505:O505"/>
    <mergeCell ref="P505:R505"/>
    <mergeCell ref="T505:U505"/>
    <mergeCell ref="Y505:Z505"/>
    <mergeCell ref="B506:D506"/>
    <mergeCell ref="E506:F506"/>
    <mergeCell ref="G506:I506"/>
    <mergeCell ref="N506:O506"/>
    <mergeCell ref="P506:R506"/>
    <mergeCell ref="T506:U506"/>
    <mergeCell ref="Y506:Z506"/>
    <mergeCell ref="B507:D507"/>
    <mergeCell ref="E507:F507"/>
    <mergeCell ref="G507:I507"/>
    <mergeCell ref="N507:O507"/>
    <mergeCell ref="P507:R507"/>
    <mergeCell ref="T507:U507"/>
    <mergeCell ref="Y507:Z507"/>
    <mergeCell ref="B508:D508"/>
    <mergeCell ref="E508:F508"/>
    <mergeCell ref="G508:I508"/>
    <mergeCell ref="N508:O508"/>
    <mergeCell ref="P508:R508"/>
    <mergeCell ref="T508:U508"/>
    <mergeCell ref="Y508:Z508"/>
    <mergeCell ref="B509:D509"/>
    <mergeCell ref="E509:F509"/>
    <mergeCell ref="G509:I509"/>
    <mergeCell ref="N509:O509"/>
    <mergeCell ref="P509:R509"/>
    <mergeCell ref="T509:U509"/>
    <mergeCell ref="Y509:Z509"/>
    <mergeCell ref="B510:D510"/>
    <mergeCell ref="E510:F510"/>
    <mergeCell ref="G510:I510"/>
    <mergeCell ref="N510:O510"/>
    <mergeCell ref="P510:R510"/>
    <mergeCell ref="T510:U510"/>
    <mergeCell ref="Y510:Z510"/>
    <mergeCell ref="B511:D511"/>
    <mergeCell ref="E511:F511"/>
    <mergeCell ref="G511:I511"/>
    <mergeCell ref="N511:O511"/>
    <mergeCell ref="P511:R511"/>
    <mergeCell ref="T511:U511"/>
    <mergeCell ref="Y511:Z511"/>
    <mergeCell ref="B512:D512"/>
    <mergeCell ref="E512:F512"/>
    <mergeCell ref="G512:I512"/>
    <mergeCell ref="N512:O512"/>
    <mergeCell ref="P512:R512"/>
    <mergeCell ref="T512:U512"/>
    <mergeCell ref="Y512:Z512"/>
    <mergeCell ref="B513:D513"/>
    <mergeCell ref="E513:F513"/>
    <mergeCell ref="G513:I513"/>
    <mergeCell ref="N513:O513"/>
    <mergeCell ref="P513:R513"/>
    <mergeCell ref="T513:U513"/>
    <mergeCell ref="Y513:Z513"/>
    <mergeCell ref="B514:D514"/>
    <mergeCell ref="E514:F514"/>
    <mergeCell ref="G514:I514"/>
    <mergeCell ref="N514:O514"/>
    <mergeCell ref="P514:R514"/>
    <mergeCell ref="T514:U514"/>
    <mergeCell ref="Y514:Z514"/>
    <mergeCell ref="B515:D515"/>
    <mergeCell ref="E515:F515"/>
    <mergeCell ref="G515:I515"/>
    <mergeCell ref="N515:O515"/>
    <mergeCell ref="P515:R515"/>
    <mergeCell ref="T515:U515"/>
    <mergeCell ref="Y515:Z515"/>
    <mergeCell ref="B516:D516"/>
    <mergeCell ref="E516:F516"/>
    <mergeCell ref="G516:I516"/>
    <mergeCell ref="N516:O516"/>
    <mergeCell ref="P516:R516"/>
    <mergeCell ref="T516:U516"/>
    <mergeCell ref="Y516:Z516"/>
    <mergeCell ref="B517:D517"/>
    <mergeCell ref="E517:F517"/>
    <mergeCell ref="G517:I517"/>
    <mergeCell ref="N517:O517"/>
    <mergeCell ref="P517:R517"/>
    <mergeCell ref="T517:U517"/>
    <mergeCell ref="Y517:Z517"/>
    <mergeCell ref="B518:D518"/>
    <mergeCell ref="E518:F518"/>
    <mergeCell ref="G518:I518"/>
    <mergeCell ref="N518:O518"/>
    <mergeCell ref="P518:R518"/>
    <mergeCell ref="T518:U518"/>
    <mergeCell ref="Y518:Z518"/>
    <mergeCell ref="B519:D519"/>
    <mergeCell ref="E519:F519"/>
    <mergeCell ref="G519:I519"/>
    <mergeCell ref="N519:O519"/>
    <mergeCell ref="P519:R519"/>
    <mergeCell ref="T519:U519"/>
    <mergeCell ref="Y519:Z519"/>
    <mergeCell ref="B520:D520"/>
    <mergeCell ref="E520:F520"/>
    <mergeCell ref="G520:I520"/>
    <mergeCell ref="N520:O520"/>
    <mergeCell ref="P520:R520"/>
    <mergeCell ref="T520:U520"/>
    <mergeCell ref="Y520:Z520"/>
    <mergeCell ref="B521:D521"/>
    <mergeCell ref="E521:F521"/>
    <mergeCell ref="G521:I521"/>
    <mergeCell ref="N521:O521"/>
    <mergeCell ref="P521:R521"/>
    <mergeCell ref="T521:U521"/>
    <mergeCell ref="Y521:Z521"/>
    <mergeCell ref="B522:D522"/>
    <mergeCell ref="E522:F522"/>
    <mergeCell ref="G522:I522"/>
    <mergeCell ref="N522:O522"/>
    <mergeCell ref="P522:R522"/>
    <mergeCell ref="T522:U522"/>
    <mergeCell ref="Y522:Z522"/>
    <mergeCell ref="B523:D523"/>
    <mergeCell ref="E523:F523"/>
    <mergeCell ref="G523:I523"/>
    <mergeCell ref="N523:O523"/>
    <mergeCell ref="P523:R523"/>
    <mergeCell ref="T523:U523"/>
    <mergeCell ref="Y523:Z523"/>
    <mergeCell ref="B524:D524"/>
    <mergeCell ref="E524:F524"/>
    <mergeCell ref="G524:I524"/>
    <mergeCell ref="N524:O524"/>
    <mergeCell ref="P524:R524"/>
    <mergeCell ref="T524:U524"/>
    <mergeCell ref="Y524:Z524"/>
    <mergeCell ref="B525:D525"/>
    <mergeCell ref="E525:F525"/>
    <mergeCell ref="G525:I525"/>
    <mergeCell ref="N525:O525"/>
    <mergeCell ref="P525:R525"/>
    <mergeCell ref="T525:U525"/>
    <mergeCell ref="Y525:Z525"/>
    <mergeCell ref="B526:D526"/>
    <mergeCell ref="E526:F526"/>
    <mergeCell ref="G526:I526"/>
    <mergeCell ref="N526:O526"/>
    <mergeCell ref="P526:R526"/>
    <mergeCell ref="T526:U526"/>
    <mergeCell ref="Y526:Z526"/>
    <mergeCell ref="B527:D527"/>
    <mergeCell ref="E527:F527"/>
    <mergeCell ref="G527:I527"/>
    <mergeCell ref="N527:O527"/>
    <mergeCell ref="P527:R527"/>
    <mergeCell ref="T527:U527"/>
    <mergeCell ref="Y527:Z527"/>
    <mergeCell ref="B528:D528"/>
    <mergeCell ref="E528:F528"/>
    <mergeCell ref="G528:I528"/>
    <mergeCell ref="N528:O528"/>
    <mergeCell ref="P528:R528"/>
    <mergeCell ref="T528:U528"/>
    <mergeCell ref="Y528:Z528"/>
    <mergeCell ref="B529:D529"/>
    <mergeCell ref="E529:F529"/>
    <mergeCell ref="G529:I529"/>
    <mergeCell ref="N529:O529"/>
    <mergeCell ref="P529:R529"/>
    <mergeCell ref="T529:U529"/>
    <mergeCell ref="Y529:Z529"/>
    <mergeCell ref="B530:D530"/>
    <mergeCell ref="E530:F530"/>
    <mergeCell ref="G530:I530"/>
    <mergeCell ref="N530:O530"/>
    <mergeCell ref="P530:R530"/>
    <mergeCell ref="T530:U530"/>
    <mergeCell ref="Y530:Z530"/>
    <mergeCell ref="B531:D531"/>
    <mergeCell ref="E531:F531"/>
    <mergeCell ref="G531:I531"/>
    <mergeCell ref="N531:O531"/>
    <mergeCell ref="P531:R531"/>
    <mergeCell ref="T531:U531"/>
    <mergeCell ref="Y531:Z531"/>
    <mergeCell ref="B532:D532"/>
    <mergeCell ref="E532:F532"/>
    <mergeCell ref="G532:I532"/>
    <mergeCell ref="N532:O532"/>
    <mergeCell ref="P532:R532"/>
    <mergeCell ref="T532:U532"/>
    <mergeCell ref="Y532:Z532"/>
    <mergeCell ref="B533:D533"/>
    <mergeCell ref="E533:F533"/>
    <mergeCell ref="G533:I533"/>
    <mergeCell ref="N533:O533"/>
    <mergeCell ref="P533:R533"/>
    <mergeCell ref="T533:U533"/>
    <mergeCell ref="Y533:Z533"/>
    <mergeCell ref="B534:D534"/>
    <mergeCell ref="E534:F534"/>
    <mergeCell ref="G534:I534"/>
    <mergeCell ref="N534:O534"/>
    <mergeCell ref="P534:R534"/>
    <mergeCell ref="T534:U534"/>
    <mergeCell ref="Y534:Z534"/>
    <mergeCell ref="B535:D535"/>
    <mergeCell ref="E535:F535"/>
    <mergeCell ref="G535:I535"/>
    <mergeCell ref="N535:O535"/>
    <mergeCell ref="P535:R535"/>
    <mergeCell ref="T535:U535"/>
    <mergeCell ref="Y535:Z535"/>
    <mergeCell ref="B536:D536"/>
    <mergeCell ref="E536:F536"/>
    <mergeCell ref="G536:I536"/>
    <mergeCell ref="N536:O536"/>
    <mergeCell ref="P536:R536"/>
    <mergeCell ref="T536:U536"/>
    <mergeCell ref="Y536:Z536"/>
    <mergeCell ref="B537:D537"/>
    <mergeCell ref="E537:F537"/>
    <mergeCell ref="G537:I537"/>
    <mergeCell ref="N537:O537"/>
    <mergeCell ref="P537:R537"/>
    <mergeCell ref="T537:U537"/>
    <mergeCell ref="Y537:Z537"/>
    <mergeCell ref="B538:D538"/>
    <mergeCell ref="E538:F538"/>
    <mergeCell ref="G538:I538"/>
    <mergeCell ref="N538:O538"/>
    <mergeCell ref="P538:R538"/>
    <mergeCell ref="T538:U538"/>
    <mergeCell ref="Y538:Z538"/>
    <mergeCell ref="B539:D539"/>
    <mergeCell ref="E539:F539"/>
    <mergeCell ref="G539:I539"/>
    <mergeCell ref="N539:O539"/>
    <mergeCell ref="P539:R539"/>
    <mergeCell ref="T539:U539"/>
    <mergeCell ref="Y539:Z539"/>
    <mergeCell ref="B540:D540"/>
    <mergeCell ref="E540:F540"/>
    <mergeCell ref="G540:I540"/>
    <mergeCell ref="N540:O540"/>
    <mergeCell ref="P540:R540"/>
    <mergeCell ref="T540:U540"/>
    <mergeCell ref="Y540:Z540"/>
    <mergeCell ref="B541:D541"/>
    <mergeCell ref="E541:F541"/>
    <mergeCell ref="G541:I541"/>
    <mergeCell ref="N541:O541"/>
    <mergeCell ref="P541:R541"/>
    <mergeCell ref="T541:U541"/>
    <mergeCell ref="Y541:Z541"/>
    <mergeCell ref="B542:D542"/>
    <mergeCell ref="E542:F542"/>
    <mergeCell ref="G542:I542"/>
    <mergeCell ref="N542:O542"/>
    <mergeCell ref="P542:R542"/>
    <mergeCell ref="T542:U542"/>
    <mergeCell ref="Y542:Z542"/>
    <mergeCell ref="B543:D543"/>
    <mergeCell ref="E543:F543"/>
    <mergeCell ref="G543:I543"/>
    <mergeCell ref="N543:O543"/>
    <mergeCell ref="P543:R543"/>
    <mergeCell ref="T543:U543"/>
    <mergeCell ref="Y543:Z543"/>
    <mergeCell ref="B544:D544"/>
    <mergeCell ref="E544:F544"/>
    <mergeCell ref="G544:I544"/>
    <mergeCell ref="N544:O544"/>
    <mergeCell ref="P544:R544"/>
    <mergeCell ref="T544:U544"/>
    <mergeCell ref="Y544:Z544"/>
    <mergeCell ref="B545:D545"/>
    <mergeCell ref="E545:F545"/>
    <mergeCell ref="G545:I545"/>
    <mergeCell ref="N545:O545"/>
    <mergeCell ref="P545:R545"/>
    <mergeCell ref="T545:U545"/>
    <mergeCell ref="Y545:Z545"/>
    <mergeCell ref="B546:D546"/>
    <mergeCell ref="E546:F546"/>
    <mergeCell ref="G546:I546"/>
    <mergeCell ref="N546:O546"/>
    <mergeCell ref="P546:R546"/>
    <mergeCell ref="T546:U546"/>
    <mergeCell ref="Y546:Z546"/>
    <mergeCell ref="B547:D547"/>
    <mergeCell ref="E547:F547"/>
    <mergeCell ref="G547:I547"/>
    <mergeCell ref="N547:O547"/>
    <mergeCell ref="P547:R547"/>
    <mergeCell ref="T547:U547"/>
    <mergeCell ref="Y547:Z547"/>
    <mergeCell ref="B548:D548"/>
    <mergeCell ref="E548:F548"/>
    <mergeCell ref="G548:I548"/>
    <mergeCell ref="N548:O548"/>
    <mergeCell ref="P548:R548"/>
    <mergeCell ref="T548:U548"/>
    <mergeCell ref="Y548:Z548"/>
    <mergeCell ref="B549:D549"/>
    <mergeCell ref="E549:F549"/>
    <mergeCell ref="G549:I549"/>
    <mergeCell ref="N549:O549"/>
    <mergeCell ref="P549:R549"/>
    <mergeCell ref="T549:U549"/>
    <mergeCell ref="Y549:Z549"/>
    <mergeCell ref="B550:D550"/>
    <mergeCell ref="E550:F550"/>
    <mergeCell ref="G550:I550"/>
    <mergeCell ref="N550:O550"/>
    <mergeCell ref="P550:R550"/>
    <mergeCell ref="T550:U550"/>
    <mergeCell ref="Y550:Z550"/>
    <mergeCell ref="B551:D551"/>
    <mergeCell ref="E551:F551"/>
    <mergeCell ref="G551:I551"/>
    <mergeCell ref="N551:O551"/>
    <mergeCell ref="P551:R551"/>
    <mergeCell ref="T551:U551"/>
    <mergeCell ref="Y551:Z551"/>
    <mergeCell ref="B552:D552"/>
    <mergeCell ref="E552:F552"/>
    <mergeCell ref="G552:I552"/>
    <mergeCell ref="N552:O552"/>
    <mergeCell ref="P552:R552"/>
    <mergeCell ref="T552:U552"/>
    <mergeCell ref="Y552:Z552"/>
    <mergeCell ref="B553:D553"/>
    <mergeCell ref="E553:F553"/>
    <mergeCell ref="G553:I553"/>
    <mergeCell ref="N553:O553"/>
    <mergeCell ref="P553:R553"/>
    <mergeCell ref="T553:U553"/>
    <mergeCell ref="Y553:Z553"/>
    <mergeCell ref="B554:D554"/>
    <mergeCell ref="E554:F554"/>
    <mergeCell ref="G554:I554"/>
    <mergeCell ref="N554:O554"/>
    <mergeCell ref="P554:R554"/>
    <mergeCell ref="T554:U554"/>
    <mergeCell ref="Y554:Z554"/>
    <mergeCell ref="B555:D555"/>
    <mergeCell ref="E555:F555"/>
    <mergeCell ref="G555:I555"/>
    <mergeCell ref="N555:O555"/>
    <mergeCell ref="P555:R555"/>
    <mergeCell ref="T555:U555"/>
    <mergeCell ref="Y555:Z555"/>
    <mergeCell ref="B556:D556"/>
    <mergeCell ref="E556:F556"/>
    <mergeCell ref="G556:I556"/>
    <mergeCell ref="N556:O556"/>
    <mergeCell ref="P556:R556"/>
    <mergeCell ref="T556:U556"/>
    <mergeCell ref="Y556:Z556"/>
    <mergeCell ref="B557:D557"/>
    <mergeCell ref="E557:F557"/>
    <mergeCell ref="G557:I557"/>
    <mergeCell ref="N557:O557"/>
    <mergeCell ref="P557:R557"/>
    <mergeCell ref="T557:U557"/>
    <mergeCell ref="Y557:Z557"/>
    <mergeCell ref="B558:D558"/>
    <mergeCell ref="E558:F558"/>
    <mergeCell ref="G558:I558"/>
    <mergeCell ref="N558:O558"/>
    <mergeCell ref="P558:R558"/>
    <mergeCell ref="T558:U558"/>
    <mergeCell ref="Y558:Z558"/>
    <mergeCell ref="B559:D559"/>
    <mergeCell ref="E559:F559"/>
    <mergeCell ref="G559:I559"/>
    <mergeCell ref="N559:O559"/>
    <mergeCell ref="P559:R559"/>
    <mergeCell ref="T559:U559"/>
    <mergeCell ref="Y559:Z559"/>
    <mergeCell ref="B560:D560"/>
    <mergeCell ref="E560:F560"/>
    <mergeCell ref="G560:I560"/>
    <mergeCell ref="N560:O560"/>
    <mergeCell ref="P560:R560"/>
    <mergeCell ref="T560:U560"/>
    <mergeCell ref="Y560:Z560"/>
    <mergeCell ref="B561:D561"/>
    <mergeCell ref="E561:F561"/>
    <mergeCell ref="G561:I561"/>
    <mergeCell ref="N561:O561"/>
    <mergeCell ref="P561:R561"/>
    <mergeCell ref="T561:U561"/>
    <mergeCell ref="Y561:Z561"/>
    <mergeCell ref="B562:D562"/>
    <mergeCell ref="E562:F562"/>
    <mergeCell ref="G562:I562"/>
    <mergeCell ref="N562:O562"/>
    <mergeCell ref="P562:R562"/>
    <mergeCell ref="T562:U562"/>
    <mergeCell ref="Y562:Z562"/>
    <mergeCell ref="B563:D563"/>
    <mergeCell ref="E563:F563"/>
    <mergeCell ref="G563:I563"/>
    <mergeCell ref="N563:O563"/>
    <mergeCell ref="P563:R563"/>
    <mergeCell ref="T563:U563"/>
    <mergeCell ref="Y563:Z563"/>
    <mergeCell ref="B564:D564"/>
    <mergeCell ref="E564:F564"/>
    <mergeCell ref="G564:I564"/>
    <mergeCell ref="N564:O564"/>
    <mergeCell ref="P564:R564"/>
    <mergeCell ref="T564:U564"/>
    <mergeCell ref="Y564:Z564"/>
    <mergeCell ref="B565:D565"/>
    <mergeCell ref="E565:F565"/>
    <mergeCell ref="G565:I565"/>
    <mergeCell ref="N565:O565"/>
    <mergeCell ref="P565:R565"/>
    <mergeCell ref="T565:U565"/>
    <mergeCell ref="Y565:Z565"/>
    <mergeCell ref="B566:D566"/>
    <mergeCell ref="E566:F566"/>
    <mergeCell ref="G566:I566"/>
    <mergeCell ref="N566:O566"/>
    <mergeCell ref="P566:R566"/>
    <mergeCell ref="T566:U566"/>
    <mergeCell ref="Y566:Z566"/>
    <mergeCell ref="B567:D567"/>
    <mergeCell ref="E567:F567"/>
    <mergeCell ref="G567:I567"/>
    <mergeCell ref="N567:O567"/>
    <mergeCell ref="P567:R567"/>
    <mergeCell ref="T567:U567"/>
    <mergeCell ref="Y567:Z567"/>
    <mergeCell ref="B568:D568"/>
    <mergeCell ref="E568:F568"/>
    <mergeCell ref="G568:I568"/>
    <mergeCell ref="N568:O568"/>
    <mergeCell ref="P568:R568"/>
    <mergeCell ref="T568:U568"/>
    <mergeCell ref="Y568:Z568"/>
    <mergeCell ref="B569:D569"/>
    <mergeCell ref="E569:F569"/>
    <mergeCell ref="G569:I569"/>
    <mergeCell ref="N569:O569"/>
    <mergeCell ref="P569:R569"/>
    <mergeCell ref="T569:U569"/>
    <mergeCell ref="Y569:Z569"/>
    <mergeCell ref="B570:D570"/>
    <mergeCell ref="E570:F570"/>
    <mergeCell ref="G570:I570"/>
    <mergeCell ref="N570:O570"/>
    <mergeCell ref="P570:R570"/>
    <mergeCell ref="T570:U570"/>
    <mergeCell ref="Y570:Z570"/>
    <mergeCell ref="B571:D571"/>
    <mergeCell ref="E571:F571"/>
    <mergeCell ref="G571:I571"/>
    <mergeCell ref="N571:O571"/>
    <mergeCell ref="P571:R571"/>
    <mergeCell ref="T571:U571"/>
    <mergeCell ref="Y571:Z571"/>
    <mergeCell ref="B574:D574"/>
    <mergeCell ref="E574:F574"/>
    <mergeCell ref="G574:I574"/>
    <mergeCell ref="N574:O574"/>
    <mergeCell ref="P574:R574"/>
    <mergeCell ref="T574:U574"/>
    <mergeCell ref="Y574:Z574"/>
    <mergeCell ref="B575:D575"/>
    <mergeCell ref="E575:F575"/>
    <mergeCell ref="G575:I575"/>
    <mergeCell ref="N575:O575"/>
    <mergeCell ref="P575:R575"/>
    <mergeCell ref="T575:U575"/>
    <mergeCell ref="Y575:Z575"/>
    <mergeCell ref="B576:D576"/>
    <mergeCell ref="E576:F576"/>
    <mergeCell ref="G576:I576"/>
    <mergeCell ref="N576:O576"/>
    <mergeCell ref="P576:R576"/>
    <mergeCell ref="T576:U576"/>
    <mergeCell ref="Y576:Z576"/>
    <mergeCell ref="B577:D577"/>
    <mergeCell ref="E577:F577"/>
    <mergeCell ref="G577:I577"/>
    <mergeCell ref="N577:O577"/>
    <mergeCell ref="P577:R577"/>
    <mergeCell ref="T577:U577"/>
    <mergeCell ref="Y577:Z577"/>
    <mergeCell ref="B578:D578"/>
    <mergeCell ref="E578:F578"/>
    <mergeCell ref="G578:I578"/>
    <mergeCell ref="N578:O578"/>
    <mergeCell ref="P578:R578"/>
    <mergeCell ref="T578:U578"/>
    <mergeCell ref="Y578:Z578"/>
    <mergeCell ref="B579:D579"/>
    <mergeCell ref="E579:F579"/>
    <mergeCell ref="G579:I579"/>
    <mergeCell ref="N579:O579"/>
    <mergeCell ref="P579:R579"/>
    <mergeCell ref="T579:U579"/>
    <mergeCell ref="Y579:Z579"/>
    <mergeCell ref="B580:D580"/>
    <mergeCell ref="E580:F580"/>
    <mergeCell ref="G580:I580"/>
    <mergeCell ref="N580:O580"/>
    <mergeCell ref="P580:R580"/>
    <mergeCell ref="T580:U580"/>
    <mergeCell ref="Y580:Z580"/>
    <mergeCell ref="B581:D581"/>
    <mergeCell ref="E581:F581"/>
    <mergeCell ref="G581:I581"/>
    <mergeCell ref="N581:O581"/>
    <mergeCell ref="P581:R581"/>
    <mergeCell ref="T581:U581"/>
    <mergeCell ref="Y581:Z581"/>
    <mergeCell ref="B582:D582"/>
    <mergeCell ref="E582:F582"/>
    <mergeCell ref="G582:I582"/>
    <mergeCell ref="N582:O582"/>
    <mergeCell ref="P582:R582"/>
    <mergeCell ref="T582:U582"/>
    <mergeCell ref="Y582:Z582"/>
    <mergeCell ref="B583:D583"/>
    <mergeCell ref="E583:F583"/>
    <mergeCell ref="G583:I583"/>
    <mergeCell ref="N583:O583"/>
    <mergeCell ref="P583:R583"/>
    <mergeCell ref="T583:U583"/>
    <mergeCell ref="Y583:Z583"/>
    <mergeCell ref="B584:D584"/>
    <mergeCell ref="E584:F584"/>
    <mergeCell ref="G584:I584"/>
    <mergeCell ref="N584:O584"/>
    <mergeCell ref="P584:R584"/>
    <mergeCell ref="T584:U584"/>
    <mergeCell ref="Y584:Z584"/>
    <mergeCell ref="B585:D585"/>
    <mergeCell ref="E585:F585"/>
    <mergeCell ref="G585:I585"/>
    <mergeCell ref="N585:O585"/>
    <mergeCell ref="P585:R585"/>
    <mergeCell ref="T585:U585"/>
    <mergeCell ref="Y585:Z585"/>
    <mergeCell ref="B586:D586"/>
    <mergeCell ref="E586:F586"/>
    <mergeCell ref="G586:I586"/>
    <mergeCell ref="N586:O586"/>
    <mergeCell ref="P586:R586"/>
    <mergeCell ref="T586:U586"/>
    <mergeCell ref="Y586:Z586"/>
    <mergeCell ref="B587:D587"/>
    <mergeCell ref="E587:F587"/>
    <mergeCell ref="G587:I587"/>
    <mergeCell ref="N587:O587"/>
    <mergeCell ref="P587:R587"/>
    <mergeCell ref="T587:U587"/>
    <mergeCell ref="Y587:Z587"/>
    <mergeCell ref="B588:D588"/>
    <mergeCell ref="E588:F588"/>
    <mergeCell ref="G588:I588"/>
    <mergeCell ref="N588:O588"/>
    <mergeCell ref="P588:R588"/>
    <mergeCell ref="T588:U588"/>
    <mergeCell ref="Y588:Z588"/>
    <mergeCell ref="B589:D589"/>
    <mergeCell ref="E589:F589"/>
    <mergeCell ref="G589:I589"/>
    <mergeCell ref="N589:O589"/>
    <mergeCell ref="P589:R589"/>
    <mergeCell ref="T589:U589"/>
    <mergeCell ref="Y589:Z589"/>
    <mergeCell ref="B590:D590"/>
    <mergeCell ref="E590:F590"/>
    <mergeCell ref="G590:I590"/>
    <mergeCell ref="N590:O590"/>
    <mergeCell ref="P590:R590"/>
    <mergeCell ref="T590:U590"/>
    <mergeCell ref="Y590:Z590"/>
    <mergeCell ref="B591:D591"/>
    <mergeCell ref="E591:F591"/>
    <mergeCell ref="G591:I591"/>
    <mergeCell ref="N591:O591"/>
    <mergeCell ref="P591:R591"/>
    <mergeCell ref="T591:U591"/>
    <mergeCell ref="Y591:Z591"/>
    <mergeCell ref="B592:D592"/>
    <mergeCell ref="E592:F592"/>
    <mergeCell ref="G592:I592"/>
    <mergeCell ref="N592:O592"/>
    <mergeCell ref="P592:R592"/>
    <mergeCell ref="T592:U592"/>
    <mergeCell ref="Y592:Z592"/>
    <mergeCell ref="B593:D593"/>
    <mergeCell ref="E593:F593"/>
    <mergeCell ref="G593:I593"/>
    <mergeCell ref="N593:O593"/>
    <mergeCell ref="P593:R593"/>
    <mergeCell ref="T593:U593"/>
    <mergeCell ref="Y593:Z593"/>
    <mergeCell ref="B594:D594"/>
    <mergeCell ref="E594:F594"/>
    <mergeCell ref="G594:I594"/>
    <mergeCell ref="N594:O594"/>
    <mergeCell ref="P594:R594"/>
    <mergeCell ref="T594:U594"/>
    <mergeCell ref="Y594:Z594"/>
    <mergeCell ref="B595:D595"/>
    <mergeCell ref="E595:F595"/>
    <mergeCell ref="G595:I595"/>
    <mergeCell ref="N595:O595"/>
    <mergeCell ref="P595:R595"/>
    <mergeCell ref="T595:U595"/>
    <mergeCell ref="Y595:Z595"/>
    <mergeCell ref="B596:D596"/>
    <mergeCell ref="E596:F596"/>
    <mergeCell ref="G596:I596"/>
    <mergeCell ref="N596:O596"/>
    <mergeCell ref="P596:R596"/>
    <mergeCell ref="T596:U596"/>
    <mergeCell ref="Y596:Z596"/>
    <mergeCell ref="B597:D597"/>
    <mergeCell ref="E597:F597"/>
    <mergeCell ref="G597:I597"/>
    <mergeCell ref="N597:O597"/>
    <mergeCell ref="P597:R597"/>
    <mergeCell ref="T597:U597"/>
    <mergeCell ref="Y597:Z597"/>
    <mergeCell ref="B598:D598"/>
    <mergeCell ref="E598:F598"/>
    <mergeCell ref="G598:I598"/>
    <mergeCell ref="N598:O598"/>
    <mergeCell ref="P598:R598"/>
    <mergeCell ref="T598:U598"/>
    <mergeCell ref="Y598:Z598"/>
    <mergeCell ref="B599:D599"/>
    <mergeCell ref="E599:F599"/>
    <mergeCell ref="G599:I599"/>
    <mergeCell ref="N599:O599"/>
    <mergeCell ref="P599:R599"/>
    <mergeCell ref="T599:U599"/>
    <mergeCell ref="Y599:Z599"/>
    <mergeCell ref="B600:D600"/>
    <mergeCell ref="E600:F600"/>
    <mergeCell ref="G600:I600"/>
    <mergeCell ref="N600:O600"/>
    <mergeCell ref="P600:R600"/>
    <mergeCell ref="T600:U600"/>
    <mergeCell ref="Y600:Z600"/>
    <mergeCell ref="B601:D601"/>
    <mergeCell ref="E601:F601"/>
    <mergeCell ref="G601:I601"/>
    <mergeCell ref="N601:O601"/>
    <mergeCell ref="P601:R601"/>
    <mergeCell ref="T601:U601"/>
    <mergeCell ref="Y601:Z601"/>
    <mergeCell ref="B602:D602"/>
    <mergeCell ref="E602:F602"/>
    <mergeCell ref="G602:I602"/>
    <mergeCell ref="N602:O602"/>
    <mergeCell ref="P602:R602"/>
    <mergeCell ref="T602:U602"/>
    <mergeCell ref="Y602:Z602"/>
    <mergeCell ref="B603:D603"/>
    <mergeCell ref="E603:F603"/>
    <mergeCell ref="G603:I603"/>
    <mergeCell ref="N603:O603"/>
    <mergeCell ref="P603:R603"/>
    <mergeCell ref="T603:U603"/>
    <mergeCell ref="Y603:Z603"/>
    <mergeCell ref="B604:D604"/>
    <mergeCell ref="E604:F604"/>
    <mergeCell ref="G604:I604"/>
    <mergeCell ref="N604:O604"/>
    <mergeCell ref="P604:R604"/>
    <mergeCell ref="T604:U604"/>
    <mergeCell ref="Y604:Z604"/>
    <mergeCell ref="B605:D605"/>
    <mergeCell ref="E605:F605"/>
    <mergeCell ref="G605:I605"/>
    <mergeCell ref="N605:O605"/>
    <mergeCell ref="P605:R605"/>
    <mergeCell ref="T605:U605"/>
    <mergeCell ref="Y605:Z605"/>
    <mergeCell ref="B606:D606"/>
    <mergeCell ref="E606:F606"/>
    <mergeCell ref="G606:I606"/>
    <mergeCell ref="N606:O606"/>
    <mergeCell ref="P606:R606"/>
    <mergeCell ref="T606:U606"/>
    <mergeCell ref="Y606:Z606"/>
    <mergeCell ref="B607:D607"/>
    <mergeCell ref="E607:F607"/>
    <mergeCell ref="G607:I607"/>
    <mergeCell ref="N607:O607"/>
    <mergeCell ref="P607:R607"/>
    <mergeCell ref="T607:U607"/>
    <mergeCell ref="Y607:Z607"/>
    <mergeCell ref="B608:D608"/>
    <mergeCell ref="E608:F608"/>
    <mergeCell ref="G608:I608"/>
    <mergeCell ref="N608:O608"/>
    <mergeCell ref="P608:R608"/>
    <mergeCell ref="T608:U608"/>
    <mergeCell ref="Y608:Z608"/>
    <mergeCell ref="B609:D609"/>
    <mergeCell ref="E609:F609"/>
    <mergeCell ref="G609:I609"/>
    <mergeCell ref="N609:O609"/>
    <mergeCell ref="P609:R609"/>
    <mergeCell ref="T609:U609"/>
    <mergeCell ref="Y609:Z609"/>
    <mergeCell ref="B610:D610"/>
    <mergeCell ref="E610:F610"/>
    <mergeCell ref="G610:I610"/>
    <mergeCell ref="N610:O610"/>
    <mergeCell ref="P610:R610"/>
    <mergeCell ref="T610:U610"/>
    <mergeCell ref="Y610:Z610"/>
    <mergeCell ref="B611:D611"/>
    <mergeCell ref="E611:F611"/>
    <mergeCell ref="G611:I611"/>
    <mergeCell ref="N611:O611"/>
    <mergeCell ref="P611:R611"/>
    <mergeCell ref="T611:U611"/>
    <mergeCell ref="Y611:Z611"/>
    <mergeCell ref="B612:D612"/>
    <mergeCell ref="E612:F612"/>
    <mergeCell ref="G612:I612"/>
    <mergeCell ref="N612:O612"/>
    <mergeCell ref="P612:R612"/>
    <mergeCell ref="T612:U612"/>
    <mergeCell ref="Y612:Z612"/>
    <mergeCell ref="B613:D613"/>
    <mergeCell ref="E613:F613"/>
    <mergeCell ref="G613:I613"/>
    <mergeCell ref="N613:O613"/>
    <mergeCell ref="P613:R613"/>
    <mergeCell ref="T613:U613"/>
    <mergeCell ref="Y613:Z613"/>
    <mergeCell ref="B614:D614"/>
    <mergeCell ref="E614:F614"/>
    <mergeCell ref="G614:I614"/>
    <mergeCell ref="N614:O614"/>
    <mergeCell ref="P614:R614"/>
    <mergeCell ref="T614:U614"/>
    <mergeCell ref="Y614:Z614"/>
    <mergeCell ref="B615:D615"/>
    <mergeCell ref="E615:F615"/>
    <mergeCell ref="G615:I615"/>
    <mergeCell ref="N615:O615"/>
    <mergeCell ref="P615:R615"/>
    <mergeCell ref="T615:U615"/>
    <mergeCell ref="Y615:Z615"/>
    <mergeCell ref="B616:D616"/>
    <mergeCell ref="E616:F616"/>
    <mergeCell ref="G616:I616"/>
    <mergeCell ref="N616:O616"/>
    <mergeCell ref="P616:R616"/>
    <mergeCell ref="T616:U616"/>
    <mergeCell ref="Y616:Z616"/>
    <mergeCell ref="B617:D617"/>
    <mergeCell ref="E617:F617"/>
    <mergeCell ref="G617:I617"/>
    <mergeCell ref="N617:O617"/>
    <mergeCell ref="P617:R617"/>
    <mergeCell ref="T617:U617"/>
    <mergeCell ref="Y617:Z617"/>
    <mergeCell ref="B618:D618"/>
    <mergeCell ref="E618:F618"/>
    <mergeCell ref="G618:I618"/>
    <mergeCell ref="N618:O618"/>
    <mergeCell ref="P618:R618"/>
    <mergeCell ref="T618:U618"/>
    <mergeCell ref="Y618:Z618"/>
    <mergeCell ref="B619:D619"/>
    <mergeCell ref="E619:F619"/>
    <mergeCell ref="G619:I619"/>
    <mergeCell ref="N619:O619"/>
    <mergeCell ref="P619:R619"/>
    <mergeCell ref="T619:U619"/>
    <mergeCell ref="Y619:Z619"/>
    <mergeCell ref="B620:D620"/>
    <mergeCell ref="E620:F620"/>
    <mergeCell ref="G620:I620"/>
    <mergeCell ref="N620:O620"/>
    <mergeCell ref="P620:R620"/>
    <mergeCell ref="T620:U620"/>
    <mergeCell ref="Y620:Z620"/>
    <mergeCell ref="B621:D621"/>
    <mergeCell ref="E621:F621"/>
    <mergeCell ref="G621:I621"/>
    <mergeCell ref="N621:O621"/>
    <mergeCell ref="P621:R621"/>
    <mergeCell ref="T621:U621"/>
    <mergeCell ref="Y621:Z621"/>
    <mergeCell ref="B622:D622"/>
    <mergeCell ref="E622:F622"/>
    <mergeCell ref="G622:I622"/>
    <mergeCell ref="N622:O622"/>
    <mergeCell ref="P622:R622"/>
    <mergeCell ref="T622:U622"/>
    <mergeCell ref="Y622:Z622"/>
    <mergeCell ref="B623:D623"/>
    <mergeCell ref="E623:F623"/>
    <mergeCell ref="G623:I623"/>
    <mergeCell ref="N623:O623"/>
    <mergeCell ref="P623:R623"/>
    <mergeCell ref="T623:U623"/>
    <mergeCell ref="Y623:Z623"/>
    <mergeCell ref="B624:D624"/>
    <mergeCell ref="E624:F624"/>
    <mergeCell ref="G624:I624"/>
    <mergeCell ref="N624:O624"/>
    <mergeCell ref="P624:R624"/>
    <mergeCell ref="T624:U624"/>
    <mergeCell ref="Y624:Z624"/>
    <mergeCell ref="B625:D625"/>
    <mergeCell ref="E625:F625"/>
    <mergeCell ref="G625:I625"/>
    <mergeCell ref="N625:O625"/>
    <mergeCell ref="P625:R625"/>
    <mergeCell ref="T625:U625"/>
    <mergeCell ref="Y625:Z625"/>
    <mergeCell ref="B626:D626"/>
    <mergeCell ref="E626:F626"/>
    <mergeCell ref="G626:I626"/>
    <mergeCell ref="N626:O626"/>
    <mergeCell ref="P626:R626"/>
    <mergeCell ref="T626:U626"/>
    <mergeCell ref="Y626:Z626"/>
    <mergeCell ref="B627:D627"/>
    <mergeCell ref="E627:F627"/>
    <mergeCell ref="G627:I627"/>
    <mergeCell ref="N627:O627"/>
    <mergeCell ref="P627:R627"/>
    <mergeCell ref="T627:U627"/>
    <mergeCell ref="Y627:Z627"/>
    <mergeCell ref="B628:D628"/>
    <mergeCell ref="E628:F628"/>
    <mergeCell ref="G628:I628"/>
    <mergeCell ref="N628:O628"/>
    <mergeCell ref="P628:R628"/>
    <mergeCell ref="T628:U628"/>
    <mergeCell ref="Y628:Z628"/>
    <mergeCell ref="B629:D629"/>
    <mergeCell ref="E629:F629"/>
    <mergeCell ref="G629:I629"/>
    <mergeCell ref="N629:O629"/>
    <mergeCell ref="P629:R629"/>
    <mergeCell ref="T629:U629"/>
    <mergeCell ref="Y629:Z629"/>
    <mergeCell ref="B630:D630"/>
    <mergeCell ref="E630:F630"/>
    <mergeCell ref="G630:I630"/>
    <mergeCell ref="N630:O630"/>
    <mergeCell ref="P630:R630"/>
    <mergeCell ref="T630:U630"/>
    <mergeCell ref="Y630:Z630"/>
    <mergeCell ref="B631:D631"/>
    <mergeCell ref="E631:F631"/>
    <mergeCell ref="G631:I631"/>
    <mergeCell ref="N631:O631"/>
    <mergeCell ref="P631:R631"/>
    <mergeCell ref="T631:U631"/>
    <mergeCell ref="Y631:Z631"/>
    <mergeCell ref="B632:D632"/>
    <mergeCell ref="E632:F632"/>
    <mergeCell ref="G632:I632"/>
    <mergeCell ref="N632:O632"/>
    <mergeCell ref="P632:R632"/>
    <mergeCell ref="T632:U632"/>
    <mergeCell ref="Y632:Z632"/>
    <mergeCell ref="B633:D633"/>
    <mergeCell ref="E633:F633"/>
    <mergeCell ref="G633:I633"/>
    <mergeCell ref="N633:O633"/>
    <mergeCell ref="P633:R633"/>
    <mergeCell ref="T633:U633"/>
    <mergeCell ref="Y633:Z633"/>
    <mergeCell ref="B634:D634"/>
    <mergeCell ref="E634:F634"/>
    <mergeCell ref="G634:I634"/>
    <mergeCell ref="N634:O634"/>
    <mergeCell ref="P634:R634"/>
    <mergeCell ref="T634:U634"/>
    <mergeCell ref="Y634:Z634"/>
    <mergeCell ref="B635:D635"/>
    <mergeCell ref="E635:F635"/>
    <mergeCell ref="G635:I635"/>
    <mergeCell ref="N635:O635"/>
    <mergeCell ref="P635:R635"/>
    <mergeCell ref="T635:U635"/>
    <mergeCell ref="Y635:Z635"/>
    <mergeCell ref="B636:D636"/>
    <mergeCell ref="E636:F636"/>
    <mergeCell ref="G636:I636"/>
    <mergeCell ref="N636:O636"/>
    <mergeCell ref="P636:R636"/>
    <mergeCell ref="T636:U636"/>
    <mergeCell ref="Y636:Z636"/>
    <mergeCell ref="B637:D637"/>
    <mergeCell ref="E637:F637"/>
    <mergeCell ref="G637:I637"/>
    <mergeCell ref="N637:O637"/>
    <mergeCell ref="P637:R637"/>
    <mergeCell ref="T637:U637"/>
    <mergeCell ref="Y637:Z637"/>
    <mergeCell ref="B638:D638"/>
    <mergeCell ref="E638:F638"/>
    <mergeCell ref="G638:I638"/>
    <mergeCell ref="N638:O638"/>
    <mergeCell ref="P638:R638"/>
    <mergeCell ref="T638:U638"/>
    <mergeCell ref="Y638:Z638"/>
    <mergeCell ref="B639:D639"/>
    <mergeCell ref="E639:F639"/>
    <mergeCell ref="G639:I639"/>
    <mergeCell ref="N639:O639"/>
    <mergeCell ref="P639:R639"/>
    <mergeCell ref="T639:U639"/>
    <mergeCell ref="Y639:Z639"/>
    <mergeCell ref="B640:D640"/>
    <mergeCell ref="E640:F640"/>
    <mergeCell ref="G640:I640"/>
    <mergeCell ref="N640:O640"/>
    <mergeCell ref="P640:R640"/>
    <mergeCell ref="T640:U640"/>
    <mergeCell ref="Y640:Z640"/>
    <mergeCell ref="B641:D641"/>
    <mergeCell ref="E641:F641"/>
    <mergeCell ref="G641:I641"/>
    <mergeCell ref="N641:O641"/>
    <mergeCell ref="P641:R641"/>
    <mergeCell ref="T641:U641"/>
    <mergeCell ref="Y641:Z641"/>
    <mergeCell ref="B642:D642"/>
    <mergeCell ref="E642:F642"/>
    <mergeCell ref="G642:I642"/>
    <mergeCell ref="N642:O642"/>
    <mergeCell ref="P642:R642"/>
    <mergeCell ref="T642:U642"/>
    <mergeCell ref="Y642:Z642"/>
    <mergeCell ref="B643:D643"/>
    <mergeCell ref="E643:F643"/>
    <mergeCell ref="G643:I643"/>
    <mergeCell ref="N643:O643"/>
    <mergeCell ref="P643:R643"/>
    <mergeCell ref="T643:U643"/>
    <mergeCell ref="Y643:Z643"/>
    <mergeCell ref="B644:D644"/>
    <mergeCell ref="E644:F644"/>
    <mergeCell ref="G644:I644"/>
    <mergeCell ref="N644:O644"/>
    <mergeCell ref="P644:R644"/>
    <mergeCell ref="T644:U644"/>
    <mergeCell ref="Y644:Z644"/>
    <mergeCell ref="B645:D645"/>
    <mergeCell ref="E645:F645"/>
    <mergeCell ref="G645:I645"/>
    <mergeCell ref="N645:O645"/>
    <mergeCell ref="P645:R645"/>
    <mergeCell ref="T645:U645"/>
    <mergeCell ref="Y645:Z645"/>
    <mergeCell ref="B646:D646"/>
    <mergeCell ref="E646:F646"/>
    <mergeCell ref="G646:I646"/>
    <mergeCell ref="N646:O646"/>
    <mergeCell ref="P646:R646"/>
    <mergeCell ref="T646:U646"/>
    <mergeCell ref="Y646:Z646"/>
    <mergeCell ref="B647:D647"/>
    <mergeCell ref="E647:F647"/>
    <mergeCell ref="G647:I647"/>
    <mergeCell ref="N647:O647"/>
    <mergeCell ref="P647:R647"/>
    <mergeCell ref="T647:U647"/>
    <mergeCell ref="Y647:Z647"/>
    <mergeCell ref="B648:D648"/>
    <mergeCell ref="E648:F648"/>
    <mergeCell ref="G648:I648"/>
    <mergeCell ref="N648:O648"/>
    <mergeCell ref="P648:R648"/>
    <mergeCell ref="T648:U648"/>
    <mergeCell ref="Y648:Z648"/>
    <mergeCell ref="B649:D649"/>
    <mergeCell ref="E649:F649"/>
    <mergeCell ref="G649:I649"/>
    <mergeCell ref="N649:O649"/>
    <mergeCell ref="P649:R649"/>
    <mergeCell ref="T649:U649"/>
    <mergeCell ref="Y649:Z649"/>
    <mergeCell ref="B650:D650"/>
    <mergeCell ref="E650:F650"/>
    <mergeCell ref="G650:I650"/>
    <mergeCell ref="N650:O650"/>
    <mergeCell ref="P650:R650"/>
    <mergeCell ref="T650:U650"/>
    <mergeCell ref="Y650:Z650"/>
    <mergeCell ref="B651:D651"/>
    <mergeCell ref="E651:F651"/>
    <mergeCell ref="G651:I651"/>
    <mergeCell ref="N651:O651"/>
    <mergeCell ref="P651:R651"/>
    <mergeCell ref="T651:U651"/>
    <mergeCell ref="Y651:Z651"/>
    <mergeCell ref="B652:D652"/>
    <mergeCell ref="E652:F652"/>
    <mergeCell ref="G652:I652"/>
    <mergeCell ref="N652:O652"/>
    <mergeCell ref="P652:R652"/>
    <mergeCell ref="T652:U652"/>
    <mergeCell ref="Y652:Z652"/>
    <mergeCell ref="B655:D655"/>
    <mergeCell ref="E655:F655"/>
    <mergeCell ref="G655:I655"/>
    <mergeCell ref="N655:O655"/>
    <mergeCell ref="P655:R655"/>
    <mergeCell ref="T655:U655"/>
    <mergeCell ref="Y655:Z655"/>
    <mergeCell ref="B656:D656"/>
    <mergeCell ref="E656:F656"/>
    <mergeCell ref="G656:I656"/>
    <mergeCell ref="N656:O656"/>
    <mergeCell ref="P656:R656"/>
    <mergeCell ref="T656:U656"/>
    <mergeCell ref="Y656:Z656"/>
    <mergeCell ref="B657:D657"/>
    <mergeCell ref="E657:F657"/>
    <mergeCell ref="G657:I657"/>
    <mergeCell ref="N657:O657"/>
    <mergeCell ref="P657:R657"/>
    <mergeCell ref="T657:U657"/>
    <mergeCell ref="Y657:Z657"/>
    <mergeCell ref="B658:D658"/>
    <mergeCell ref="E658:F658"/>
    <mergeCell ref="G658:I658"/>
    <mergeCell ref="N658:O658"/>
    <mergeCell ref="P658:R658"/>
    <mergeCell ref="T658:U658"/>
    <mergeCell ref="Y658:Z658"/>
    <mergeCell ref="B659:D659"/>
    <mergeCell ref="E659:F659"/>
    <mergeCell ref="G659:I659"/>
    <mergeCell ref="N659:O659"/>
    <mergeCell ref="P659:R659"/>
    <mergeCell ref="T659:U659"/>
    <mergeCell ref="Y659:Z659"/>
    <mergeCell ref="B660:D660"/>
    <mergeCell ref="E660:F660"/>
    <mergeCell ref="G660:I660"/>
    <mergeCell ref="N660:O660"/>
    <mergeCell ref="P660:R660"/>
    <mergeCell ref="T660:U660"/>
    <mergeCell ref="Y660:Z660"/>
    <mergeCell ref="B661:D661"/>
    <mergeCell ref="E661:F661"/>
    <mergeCell ref="G661:I661"/>
    <mergeCell ref="N661:O661"/>
    <mergeCell ref="P661:R661"/>
    <mergeCell ref="T661:U661"/>
    <mergeCell ref="Y661:Z661"/>
    <mergeCell ref="B662:D662"/>
    <mergeCell ref="E662:F662"/>
    <mergeCell ref="G662:I662"/>
    <mergeCell ref="N662:O662"/>
    <mergeCell ref="P662:R662"/>
    <mergeCell ref="T662:U662"/>
    <mergeCell ref="Y662:Z662"/>
    <mergeCell ref="B663:D663"/>
    <mergeCell ref="E663:F663"/>
    <mergeCell ref="G663:I663"/>
    <mergeCell ref="N663:O663"/>
    <mergeCell ref="P663:R663"/>
    <mergeCell ref="T663:U663"/>
    <mergeCell ref="Y663:Z663"/>
    <mergeCell ref="B664:D664"/>
    <mergeCell ref="E664:F664"/>
    <mergeCell ref="G664:I664"/>
    <mergeCell ref="N664:O664"/>
    <mergeCell ref="P664:R664"/>
    <mergeCell ref="T664:U664"/>
    <mergeCell ref="Y664:Z664"/>
    <mergeCell ref="B665:D665"/>
    <mergeCell ref="E665:F665"/>
    <mergeCell ref="G665:I665"/>
    <mergeCell ref="N665:O665"/>
    <mergeCell ref="P665:R665"/>
    <mergeCell ref="T665:U665"/>
    <mergeCell ref="Y665:Z665"/>
    <mergeCell ref="B666:D666"/>
    <mergeCell ref="E666:F666"/>
    <mergeCell ref="G666:I666"/>
    <mergeCell ref="N666:O666"/>
    <mergeCell ref="P666:R666"/>
    <mergeCell ref="T666:U666"/>
    <mergeCell ref="Y666:Z666"/>
    <mergeCell ref="B667:D667"/>
    <mergeCell ref="E667:F667"/>
    <mergeCell ref="G667:I667"/>
    <mergeCell ref="N667:O667"/>
    <mergeCell ref="P667:R667"/>
    <mergeCell ref="T667:U667"/>
    <mergeCell ref="Y667:Z667"/>
    <mergeCell ref="B668:D668"/>
    <mergeCell ref="E668:F668"/>
    <mergeCell ref="G668:I668"/>
    <mergeCell ref="N668:O668"/>
    <mergeCell ref="P668:R668"/>
    <mergeCell ref="T668:U668"/>
    <mergeCell ref="Y668:Z668"/>
    <mergeCell ref="B669:D669"/>
    <mergeCell ref="E669:F669"/>
    <mergeCell ref="G669:I669"/>
    <mergeCell ref="N669:O669"/>
    <mergeCell ref="P669:R669"/>
    <mergeCell ref="T669:U669"/>
    <mergeCell ref="Y669:Z669"/>
    <mergeCell ref="B670:D670"/>
    <mergeCell ref="E670:F670"/>
    <mergeCell ref="G670:I670"/>
    <mergeCell ref="N670:O670"/>
    <mergeCell ref="P670:R670"/>
    <mergeCell ref="T670:U670"/>
    <mergeCell ref="Y670:Z670"/>
    <mergeCell ref="B671:D671"/>
    <mergeCell ref="E671:F671"/>
    <mergeCell ref="G671:I671"/>
    <mergeCell ref="N671:O671"/>
    <mergeCell ref="P671:R671"/>
    <mergeCell ref="T671:U671"/>
    <mergeCell ref="Y671:Z671"/>
    <mergeCell ref="B672:D672"/>
    <mergeCell ref="E672:F672"/>
    <mergeCell ref="G672:I672"/>
    <mergeCell ref="N672:O672"/>
    <mergeCell ref="P672:R672"/>
    <mergeCell ref="T672:U672"/>
    <mergeCell ref="Y672:Z672"/>
    <mergeCell ref="B673:D673"/>
    <mergeCell ref="E673:F673"/>
    <mergeCell ref="G673:I673"/>
    <mergeCell ref="N673:O673"/>
    <mergeCell ref="P673:R673"/>
    <mergeCell ref="T673:U673"/>
    <mergeCell ref="Y673:Z673"/>
    <mergeCell ref="B674:D674"/>
    <mergeCell ref="E674:F674"/>
    <mergeCell ref="G674:I674"/>
    <mergeCell ref="N674:O674"/>
    <mergeCell ref="P674:R674"/>
    <mergeCell ref="T674:U674"/>
    <mergeCell ref="Y674:Z674"/>
    <mergeCell ref="B675:D675"/>
    <mergeCell ref="E675:F675"/>
    <mergeCell ref="G675:I675"/>
    <mergeCell ref="N675:O675"/>
    <mergeCell ref="P675:R675"/>
    <mergeCell ref="T675:U675"/>
    <mergeCell ref="Y675:Z675"/>
    <mergeCell ref="B676:D676"/>
    <mergeCell ref="E676:F676"/>
    <mergeCell ref="G676:I676"/>
    <mergeCell ref="N676:O676"/>
    <mergeCell ref="P676:R676"/>
    <mergeCell ref="T676:U676"/>
    <mergeCell ref="Y676:Z676"/>
    <mergeCell ref="B677:D677"/>
    <mergeCell ref="E677:F677"/>
    <mergeCell ref="G677:I677"/>
    <mergeCell ref="N677:O677"/>
    <mergeCell ref="P677:R677"/>
    <mergeCell ref="T677:U677"/>
    <mergeCell ref="Y677:Z677"/>
    <mergeCell ref="B678:D678"/>
    <mergeCell ref="E678:F678"/>
    <mergeCell ref="G678:I678"/>
    <mergeCell ref="N678:O678"/>
    <mergeCell ref="P678:R678"/>
    <mergeCell ref="T678:U678"/>
    <mergeCell ref="Y678:Z678"/>
    <mergeCell ref="B679:D679"/>
    <mergeCell ref="E679:F679"/>
    <mergeCell ref="G679:I679"/>
    <mergeCell ref="N679:O679"/>
    <mergeCell ref="P679:R679"/>
    <mergeCell ref="T679:U679"/>
    <mergeCell ref="Y679:Z679"/>
    <mergeCell ref="B680:D680"/>
    <mergeCell ref="E680:F680"/>
    <mergeCell ref="G680:I680"/>
    <mergeCell ref="N680:O680"/>
    <mergeCell ref="P680:R680"/>
    <mergeCell ref="T680:U680"/>
    <mergeCell ref="Y680:Z680"/>
    <mergeCell ref="B681:D681"/>
    <mergeCell ref="E681:F681"/>
    <mergeCell ref="G681:I681"/>
    <mergeCell ref="N681:O681"/>
    <mergeCell ref="P681:R681"/>
    <mergeCell ref="T681:U681"/>
    <mergeCell ref="Y681:Z681"/>
    <mergeCell ref="B682:D682"/>
    <mergeCell ref="E682:F682"/>
    <mergeCell ref="G682:I682"/>
    <mergeCell ref="N682:O682"/>
    <mergeCell ref="P682:R682"/>
    <mergeCell ref="T682:U682"/>
    <mergeCell ref="Y682:Z682"/>
    <mergeCell ref="B683:D683"/>
    <mergeCell ref="E683:F683"/>
    <mergeCell ref="G683:I683"/>
    <mergeCell ref="N683:O683"/>
    <mergeCell ref="P683:R683"/>
    <mergeCell ref="T683:U683"/>
    <mergeCell ref="Y683:Z683"/>
    <mergeCell ref="B684:D684"/>
    <mergeCell ref="E684:F684"/>
    <mergeCell ref="G684:I684"/>
    <mergeCell ref="N684:O684"/>
    <mergeCell ref="P684:R684"/>
    <mergeCell ref="T684:U684"/>
    <mergeCell ref="Y684:Z684"/>
    <mergeCell ref="B685:D685"/>
    <mergeCell ref="E685:F685"/>
    <mergeCell ref="G685:I685"/>
    <mergeCell ref="N685:O685"/>
    <mergeCell ref="P685:R685"/>
    <mergeCell ref="T685:U685"/>
    <mergeCell ref="Y685:Z685"/>
    <mergeCell ref="B686:D686"/>
    <mergeCell ref="E686:F686"/>
    <mergeCell ref="G686:I686"/>
    <mergeCell ref="N686:O686"/>
    <mergeCell ref="P686:R686"/>
    <mergeCell ref="T686:U686"/>
    <mergeCell ref="Y686:Z686"/>
    <mergeCell ref="B687:D687"/>
    <mergeCell ref="E687:F687"/>
    <mergeCell ref="G687:I687"/>
    <mergeCell ref="N687:O687"/>
    <mergeCell ref="P687:R687"/>
    <mergeCell ref="T687:U687"/>
    <mergeCell ref="Y687:Z687"/>
    <mergeCell ref="B688:D688"/>
    <mergeCell ref="E688:F688"/>
    <mergeCell ref="G688:I688"/>
    <mergeCell ref="N688:O688"/>
    <mergeCell ref="P688:R688"/>
    <mergeCell ref="T688:U688"/>
    <mergeCell ref="Y688:Z688"/>
    <mergeCell ref="B689:D689"/>
    <mergeCell ref="E689:F689"/>
    <mergeCell ref="G689:I689"/>
    <mergeCell ref="N689:O689"/>
    <mergeCell ref="P689:R689"/>
    <mergeCell ref="T689:U689"/>
    <mergeCell ref="Y689:Z689"/>
    <mergeCell ref="B690:D690"/>
    <mergeCell ref="E690:F690"/>
    <mergeCell ref="G690:I690"/>
    <mergeCell ref="N690:O690"/>
    <mergeCell ref="P690:R690"/>
    <mergeCell ref="T690:U690"/>
    <mergeCell ref="Y690:Z690"/>
    <mergeCell ref="B691:D691"/>
    <mergeCell ref="E691:F691"/>
    <mergeCell ref="G691:I691"/>
    <mergeCell ref="N691:O691"/>
    <mergeCell ref="P691:R691"/>
    <mergeCell ref="T691:U691"/>
    <mergeCell ref="Y691:Z691"/>
    <mergeCell ref="B692:D692"/>
    <mergeCell ref="E692:F692"/>
    <mergeCell ref="G692:I692"/>
    <mergeCell ref="N692:O692"/>
    <mergeCell ref="P692:R692"/>
    <mergeCell ref="T692:U692"/>
    <mergeCell ref="Y692:Z692"/>
    <mergeCell ref="B693:D693"/>
    <mergeCell ref="E693:F693"/>
    <mergeCell ref="G693:I693"/>
    <mergeCell ref="N693:O693"/>
    <mergeCell ref="P693:R693"/>
    <mergeCell ref="T693:U693"/>
    <mergeCell ref="Y693:Z693"/>
    <mergeCell ref="B694:D694"/>
    <mergeCell ref="E694:F694"/>
    <mergeCell ref="G694:I694"/>
    <mergeCell ref="N694:O694"/>
    <mergeCell ref="P694:R694"/>
    <mergeCell ref="T694:U694"/>
    <mergeCell ref="Y694:Z694"/>
    <mergeCell ref="B695:D695"/>
    <mergeCell ref="E695:F695"/>
    <mergeCell ref="G695:I695"/>
    <mergeCell ref="N695:O695"/>
    <mergeCell ref="P695:R695"/>
    <mergeCell ref="T695:U695"/>
    <mergeCell ref="Y695:Z695"/>
    <mergeCell ref="B696:D696"/>
    <mergeCell ref="E696:F696"/>
    <mergeCell ref="G696:I696"/>
    <mergeCell ref="N696:O696"/>
    <mergeCell ref="P696:R696"/>
    <mergeCell ref="T696:U696"/>
    <mergeCell ref="Y696:Z696"/>
    <mergeCell ref="B697:D697"/>
    <mergeCell ref="E697:F697"/>
    <mergeCell ref="G697:I697"/>
    <mergeCell ref="N697:O697"/>
    <mergeCell ref="P697:R697"/>
    <mergeCell ref="T697:U697"/>
    <mergeCell ref="Y697:Z697"/>
    <mergeCell ref="B698:D698"/>
    <mergeCell ref="E698:F698"/>
    <mergeCell ref="G698:I698"/>
    <mergeCell ref="N698:O698"/>
    <mergeCell ref="P698:R698"/>
    <mergeCell ref="T698:U698"/>
    <mergeCell ref="Y698:Z698"/>
    <mergeCell ref="B699:D699"/>
    <mergeCell ref="E699:F699"/>
    <mergeCell ref="G699:I699"/>
    <mergeCell ref="N699:O699"/>
    <mergeCell ref="P699:R699"/>
    <mergeCell ref="T699:U699"/>
    <mergeCell ref="Y699:Z699"/>
    <mergeCell ref="B700:D700"/>
    <mergeCell ref="E700:F700"/>
    <mergeCell ref="G700:I700"/>
    <mergeCell ref="N700:O700"/>
    <mergeCell ref="P700:R700"/>
    <mergeCell ref="T700:U700"/>
    <mergeCell ref="Y700:Z700"/>
    <mergeCell ref="B701:D701"/>
    <mergeCell ref="E701:F701"/>
    <mergeCell ref="G701:I701"/>
    <mergeCell ref="N701:O701"/>
    <mergeCell ref="P701:R701"/>
    <mergeCell ref="T701:U701"/>
    <mergeCell ref="Y701:Z701"/>
    <mergeCell ref="B702:D702"/>
    <mergeCell ref="E702:F702"/>
    <mergeCell ref="G702:I702"/>
    <mergeCell ref="N702:O702"/>
    <mergeCell ref="P702:R702"/>
    <mergeCell ref="T702:U702"/>
    <mergeCell ref="Y702:Z702"/>
    <mergeCell ref="B703:D703"/>
    <mergeCell ref="E703:F703"/>
    <mergeCell ref="G703:I703"/>
    <mergeCell ref="N703:O703"/>
    <mergeCell ref="P703:R703"/>
    <mergeCell ref="T703:U703"/>
    <mergeCell ref="Y703:Z703"/>
    <mergeCell ref="B704:D704"/>
    <mergeCell ref="E704:F704"/>
    <mergeCell ref="G704:I704"/>
    <mergeCell ref="N704:O704"/>
    <mergeCell ref="P704:R704"/>
    <mergeCell ref="T704:U704"/>
    <mergeCell ref="Y704:Z704"/>
    <mergeCell ref="B705:D705"/>
    <mergeCell ref="E705:F705"/>
    <mergeCell ref="G705:I705"/>
    <mergeCell ref="N705:O705"/>
    <mergeCell ref="P705:R705"/>
    <mergeCell ref="T705:U705"/>
    <mergeCell ref="Y705:Z705"/>
    <mergeCell ref="B706:D706"/>
    <mergeCell ref="E706:F706"/>
    <mergeCell ref="G706:I706"/>
    <mergeCell ref="N706:O706"/>
    <mergeCell ref="P706:R706"/>
    <mergeCell ref="T706:U706"/>
    <mergeCell ref="Y706:Z706"/>
    <mergeCell ref="B707:D707"/>
    <mergeCell ref="E707:F707"/>
    <mergeCell ref="G707:I707"/>
    <mergeCell ref="N707:O707"/>
    <mergeCell ref="P707:R707"/>
    <mergeCell ref="T707:U707"/>
    <mergeCell ref="Y707:Z707"/>
    <mergeCell ref="B708:D708"/>
    <mergeCell ref="E708:F708"/>
    <mergeCell ref="G708:I708"/>
    <mergeCell ref="N708:O708"/>
    <mergeCell ref="P708:R708"/>
    <mergeCell ref="T708:U708"/>
    <mergeCell ref="Y708:Z708"/>
    <mergeCell ref="B709:D709"/>
    <mergeCell ref="E709:F709"/>
    <mergeCell ref="G709:I709"/>
    <mergeCell ref="N709:O709"/>
    <mergeCell ref="P709:R709"/>
    <mergeCell ref="T709:U709"/>
    <mergeCell ref="Y709:Z709"/>
    <mergeCell ref="B710:D710"/>
    <mergeCell ref="E710:F710"/>
    <mergeCell ref="G710:I710"/>
    <mergeCell ref="N710:O710"/>
    <mergeCell ref="P710:R710"/>
    <mergeCell ref="T710:U710"/>
    <mergeCell ref="Y710:Z710"/>
    <mergeCell ref="B711:D711"/>
    <mergeCell ref="E711:F711"/>
    <mergeCell ref="G711:I711"/>
    <mergeCell ref="N711:O711"/>
    <mergeCell ref="P711:R711"/>
    <mergeCell ref="T711:U711"/>
    <mergeCell ref="Y711:Z711"/>
    <mergeCell ref="B712:D712"/>
    <mergeCell ref="E712:F712"/>
    <mergeCell ref="G712:I712"/>
    <mergeCell ref="N712:O712"/>
    <mergeCell ref="P712:R712"/>
    <mergeCell ref="T712:U712"/>
    <mergeCell ref="Y712:Z712"/>
    <mergeCell ref="B713:D713"/>
    <mergeCell ref="E713:F713"/>
    <mergeCell ref="G713:I713"/>
    <mergeCell ref="N713:O713"/>
    <mergeCell ref="P713:R713"/>
    <mergeCell ref="T713:U713"/>
    <mergeCell ref="Y713:Z713"/>
    <mergeCell ref="B714:D714"/>
    <mergeCell ref="E714:F714"/>
    <mergeCell ref="G714:I714"/>
    <mergeCell ref="N714:O714"/>
    <mergeCell ref="P714:R714"/>
    <mergeCell ref="T714:U714"/>
    <mergeCell ref="Y714:Z714"/>
    <mergeCell ref="B715:D715"/>
    <mergeCell ref="E715:F715"/>
    <mergeCell ref="G715:I715"/>
    <mergeCell ref="N715:O715"/>
    <mergeCell ref="P715:R715"/>
    <mergeCell ref="T715:U715"/>
    <mergeCell ref="Y715:Z715"/>
    <mergeCell ref="B716:D716"/>
    <mergeCell ref="E716:F716"/>
    <mergeCell ref="G716:I716"/>
    <mergeCell ref="N716:O716"/>
    <mergeCell ref="P716:R716"/>
    <mergeCell ref="T716:U716"/>
    <mergeCell ref="Y716:Z716"/>
    <mergeCell ref="B717:D717"/>
    <mergeCell ref="E717:F717"/>
    <mergeCell ref="G717:I717"/>
    <mergeCell ref="N717:O717"/>
    <mergeCell ref="P717:R717"/>
    <mergeCell ref="T717:U717"/>
    <mergeCell ref="Y717:Z717"/>
    <mergeCell ref="B718:D718"/>
    <mergeCell ref="E718:F718"/>
    <mergeCell ref="G718:I718"/>
    <mergeCell ref="N718:O718"/>
    <mergeCell ref="P718:R718"/>
    <mergeCell ref="T718:U718"/>
    <mergeCell ref="Y718:Z718"/>
    <mergeCell ref="B719:D719"/>
    <mergeCell ref="E719:F719"/>
    <mergeCell ref="G719:I719"/>
    <mergeCell ref="N719:O719"/>
    <mergeCell ref="P719:R719"/>
    <mergeCell ref="T719:U719"/>
    <mergeCell ref="Y719:Z719"/>
    <mergeCell ref="B720:D720"/>
    <mergeCell ref="E720:F720"/>
    <mergeCell ref="G720:I720"/>
    <mergeCell ref="N720:O720"/>
    <mergeCell ref="P720:R720"/>
    <mergeCell ref="T720:U720"/>
    <mergeCell ref="Y720:Z720"/>
    <mergeCell ref="B721:D721"/>
    <mergeCell ref="E721:F721"/>
    <mergeCell ref="G721:I721"/>
    <mergeCell ref="N721:O721"/>
    <mergeCell ref="P721:R721"/>
    <mergeCell ref="T721:U721"/>
    <mergeCell ref="Y721:Z721"/>
    <mergeCell ref="B722:D722"/>
    <mergeCell ref="E722:F722"/>
    <mergeCell ref="G722:I722"/>
    <mergeCell ref="N722:O722"/>
    <mergeCell ref="P722:R722"/>
    <mergeCell ref="T722:U722"/>
    <mergeCell ref="Y722:Z722"/>
    <mergeCell ref="B723:D723"/>
    <mergeCell ref="E723:F723"/>
    <mergeCell ref="G723:I723"/>
    <mergeCell ref="N723:O723"/>
    <mergeCell ref="P723:R723"/>
    <mergeCell ref="T723:U723"/>
    <mergeCell ref="Y723:Z723"/>
    <mergeCell ref="B724:D724"/>
    <mergeCell ref="E724:F724"/>
    <mergeCell ref="G724:I724"/>
    <mergeCell ref="N724:O724"/>
    <mergeCell ref="P724:R724"/>
    <mergeCell ref="T724:U724"/>
    <mergeCell ref="Y724:Z724"/>
    <mergeCell ref="B725:D725"/>
    <mergeCell ref="E725:F725"/>
    <mergeCell ref="G725:I725"/>
    <mergeCell ref="N725:O725"/>
    <mergeCell ref="P725:R725"/>
    <mergeCell ref="T725:U725"/>
    <mergeCell ref="Y725:Z725"/>
    <mergeCell ref="B726:D726"/>
    <mergeCell ref="E726:F726"/>
    <mergeCell ref="G726:I726"/>
    <mergeCell ref="N726:O726"/>
    <mergeCell ref="P726:R726"/>
    <mergeCell ref="T726:U726"/>
    <mergeCell ref="Y726:Z726"/>
    <mergeCell ref="B727:D727"/>
    <mergeCell ref="E727:F727"/>
    <mergeCell ref="G727:I727"/>
    <mergeCell ref="N727:O727"/>
    <mergeCell ref="P727:R727"/>
    <mergeCell ref="T727:U727"/>
    <mergeCell ref="Y727:Z727"/>
    <mergeCell ref="B728:D728"/>
    <mergeCell ref="E728:F728"/>
    <mergeCell ref="G728:I728"/>
    <mergeCell ref="N728:O728"/>
    <mergeCell ref="P728:R728"/>
    <mergeCell ref="T728:U728"/>
    <mergeCell ref="Y728:Z728"/>
    <mergeCell ref="B729:D729"/>
    <mergeCell ref="E729:F729"/>
    <mergeCell ref="G729:I729"/>
    <mergeCell ref="N729:O729"/>
    <mergeCell ref="P729:R729"/>
    <mergeCell ref="T729:U729"/>
    <mergeCell ref="Y729:Z729"/>
    <mergeCell ref="B730:D730"/>
    <mergeCell ref="E730:F730"/>
    <mergeCell ref="G730:I730"/>
    <mergeCell ref="N730:O730"/>
    <mergeCell ref="P730:R730"/>
    <mergeCell ref="T730:U730"/>
    <mergeCell ref="Y730:Z730"/>
    <mergeCell ref="B731:D731"/>
    <mergeCell ref="E731:F731"/>
    <mergeCell ref="G731:I731"/>
    <mergeCell ref="N731:O731"/>
    <mergeCell ref="P731:R731"/>
    <mergeCell ref="T731:U731"/>
    <mergeCell ref="Y731:Z731"/>
    <mergeCell ref="B732:D732"/>
    <mergeCell ref="E732:F732"/>
    <mergeCell ref="G732:I732"/>
    <mergeCell ref="N732:O732"/>
    <mergeCell ref="P732:R732"/>
    <mergeCell ref="T732:U732"/>
    <mergeCell ref="Y732:Z732"/>
    <mergeCell ref="B733:D733"/>
    <mergeCell ref="E733:F733"/>
    <mergeCell ref="G733:I733"/>
    <mergeCell ref="N733:O733"/>
    <mergeCell ref="P733:R733"/>
    <mergeCell ref="T733:U733"/>
    <mergeCell ref="Y733:Z733"/>
    <mergeCell ref="B736:D736"/>
    <mergeCell ref="E736:F736"/>
    <mergeCell ref="G736:I736"/>
    <mergeCell ref="N736:O736"/>
    <mergeCell ref="P736:R736"/>
    <mergeCell ref="T736:U736"/>
    <mergeCell ref="Y736:Z736"/>
    <mergeCell ref="B737:D737"/>
    <mergeCell ref="E737:F737"/>
    <mergeCell ref="G737:I737"/>
    <mergeCell ref="N737:O737"/>
    <mergeCell ref="P737:R737"/>
    <mergeCell ref="T737:U737"/>
    <mergeCell ref="Y737:Z737"/>
    <mergeCell ref="B738:D738"/>
    <mergeCell ref="E738:F738"/>
    <mergeCell ref="G738:I738"/>
    <mergeCell ref="N738:O738"/>
    <mergeCell ref="P738:R738"/>
    <mergeCell ref="T738:U738"/>
    <mergeCell ref="Y738:Z738"/>
    <mergeCell ref="B739:D739"/>
    <mergeCell ref="E739:F739"/>
    <mergeCell ref="G739:I739"/>
    <mergeCell ref="N739:O739"/>
    <mergeCell ref="P739:R739"/>
    <mergeCell ref="T739:U739"/>
    <mergeCell ref="Y739:Z739"/>
    <mergeCell ref="B740:D740"/>
    <mergeCell ref="E740:F740"/>
    <mergeCell ref="G740:I740"/>
    <mergeCell ref="N740:O740"/>
    <mergeCell ref="P740:R740"/>
    <mergeCell ref="T740:U740"/>
    <mergeCell ref="Y740:Z740"/>
    <mergeCell ref="B741:D741"/>
    <mergeCell ref="E741:F741"/>
    <mergeCell ref="G741:I741"/>
    <mergeCell ref="N741:O741"/>
    <mergeCell ref="P741:R741"/>
    <mergeCell ref="T741:U741"/>
    <mergeCell ref="Y741:Z741"/>
    <mergeCell ref="B742:D742"/>
    <mergeCell ref="E742:F742"/>
    <mergeCell ref="G742:I742"/>
    <mergeCell ref="N742:O742"/>
    <mergeCell ref="P742:R742"/>
    <mergeCell ref="T742:U742"/>
    <mergeCell ref="Y742:Z742"/>
    <mergeCell ref="B743:D743"/>
    <mergeCell ref="E743:F743"/>
    <mergeCell ref="G743:I743"/>
    <mergeCell ref="N743:O743"/>
    <mergeCell ref="P743:R743"/>
    <mergeCell ref="T743:U743"/>
    <mergeCell ref="Y743:Z743"/>
    <mergeCell ref="B744:D744"/>
    <mergeCell ref="E744:F744"/>
    <mergeCell ref="G744:I744"/>
    <mergeCell ref="N744:O744"/>
    <mergeCell ref="P744:R744"/>
    <mergeCell ref="T744:U744"/>
    <mergeCell ref="Y744:Z744"/>
    <mergeCell ref="B745:D745"/>
    <mergeCell ref="E745:F745"/>
    <mergeCell ref="G745:I745"/>
    <mergeCell ref="N745:O745"/>
    <mergeCell ref="P745:R745"/>
    <mergeCell ref="T745:U745"/>
    <mergeCell ref="Y745:Z745"/>
    <mergeCell ref="B746:D746"/>
    <mergeCell ref="E746:F746"/>
    <mergeCell ref="G746:I746"/>
    <mergeCell ref="N746:O746"/>
    <mergeCell ref="P746:R746"/>
    <mergeCell ref="T746:U746"/>
    <mergeCell ref="Y746:Z746"/>
    <mergeCell ref="B747:D747"/>
    <mergeCell ref="E747:F747"/>
    <mergeCell ref="G747:I747"/>
    <mergeCell ref="N747:O747"/>
    <mergeCell ref="P747:R747"/>
    <mergeCell ref="T747:U747"/>
    <mergeCell ref="Y747:Z747"/>
    <mergeCell ref="B748:D748"/>
    <mergeCell ref="E748:F748"/>
    <mergeCell ref="G748:I748"/>
    <mergeCell ref="N748:O748"/>
    <mergeCell ref="P748:R748"/>
    <mergeCell ref="T748:U748"/>
    <mergeCell ref="Y748:Z748"/>
    <mergeCell ref="B749:D749"/>
    <mergeCell ref="E749:F749"/>
    <mergeCell ref="G749:I749"/>
    <mergeCell ref="N749:O749"/>
    <mergeCell ref="P749:R749"/>
    <mergeCell ref="T749:U749"/>
    <mergeCell ref="Y749:Z749"/>
    <mergeCell ref="B750:D750"/>
    <mergeCell ref="E750:F750"/>
    <mergeCell ref="G750:I750"/>
    <mergeCell ref="N750:O750"/>
    <mergeCell ref="P750:R750"/>
    <mergeCell ref="T750:U750"/>
    <mergeCell ref="Y750:Z750"/>
    <mergeCell ref="B751:D751"/>
    <mergeCell ref="E751:F751"/>
    <mergeCell ref="G751:I751"/>
    <mergeCell ref="N751:O751"/>
    <mergeCell ref="P751:R751"/>
    <mergeCell ref="T751:U751"/>
    <mergeCell ref="Y751:Z751"/>
    <mergeCell ref="B752:D752"/>
    <mergeCell ref="E752:F752"/>
    <mergeCell ref="G752:I752"/>
    <mergeCell ref="N752:O752"/>
    <mergeCell ref="P752:R752"/>
    <mergeCell ref="T752:U752"/>
    <mergeCell ref="Y752:Z752"/>
    <mergeCell ref="B753:D753"/>
    <mergeCell ref="E753:F753"/>
    <mergeCell ref="G753:I753"/>
    <mergeCell ref="N753:O753"/>
    <mergeCell ref="P753:R753"/>
    <mergeCell ref="T753:U753"/>
    <mergeCell ref="Y753:Z753"/>
    <mergeCell ref="B754:D754"/>
    <mergeCell ref="E754:F754"/>
    <mergeCell ref="G754:I754"/>
    <mergeCell ref="N754:O754"/>
    <mergeCell ref="P754:R754"/>
    <mergeCell ref="T754:U754"/>
    <mergeCell ref="Y754:Z754"/>
    <mergeCell ref="B755:D755"/>
    <mergeCell ref="E755:F755"/>
    <mergeCell ref="G755:I755"/>
    <mergeCell ref="N755:O755"/>
    <mergeCell ref="P755:R755"/>
    <mergeCell ref="T755:U755"/>
    <mergeCell ref="Y755:Z755"/>
    <mergeCell ref="B756:D756"/>
    <mergeCell ref="E756:F756"/>
    <mergeCell ref="G756:I756"/>
    <mergeCell ref="N756:O756"/>
    <mergeCell ref="P756:R756"/>
    <mergeCell ref="T756:U756"/>
    <mergeCell ref="Y756:Z756"/>
    <mergeCell ref="B757:D757"/>
    <mergeCell ref="E757:F757"/>
    <mergeCell ref="G757:I757"/>
    <mergeCell ref="N757:O757"/>
    <mergeCell ref="P757:R757"/>
    <mergeCell ref="T757:U757"/>
    <mergeCell ref="Y757:Z757"/>
    <mergeCell ref="B758:D758"/>
    <mergeCell ref="E758:F758"/>
    <mergeCell ref="G758:I758"/>
    <mergeCell ref="N758:O758"/>
    <mergeCell ref="P758:R758"/>
    <mergeCell ref="T758:U758"/>
    <mergeCell ref="Y758:Z758"/>
    <mergeCell ref="B759:D759"/>
    <mergeCell ref="E759:F759"/>
    <mergeCell ref="G759:I759"/>
    <mergeCell ref="N759:O759"/>
    <mergeCell ref="P759:R759"/>
    <mergeCell ref="T759:U759"/>
    <mergeCell ref="Y759:Z759"/>
    <mergeCell ref="B760:D760"/>
    <mergeCell ref="E760:F760"/>
    <mergeCell ref="G760:I760"/>
    <mergeCell ref="N760:O760"/>
    <mergeCell ref="P760:R760"/>
    <mergeCell ref="T760:U760"/>
    <mergeCell ref="Y760:Z760"/>
    <mergeCell ref="B761:D761"/>
    <mergeCell ref="E761:F761"/>
    <mergeCell ref="G761:I761"/>
    <mergeCell ref="N761:O761"/>
    <mergeCell ref="P761:R761"/>
    <mergeCell ref="T761:U761"/>
    <mergeCell ref="Y761:Z761"/>
    <mergeCell ref="B762:D762"/>
    <mergeCell ref="E762:F762"/>
    <mergeCell ref="G762:I762"/>
    <mergeCell ref="N762:O762"/>
    <mergeCell ref="P762:R762"/>
    <mergeCell ref="T762:U762"/>
    <mergeCell ref="Y762:Z762"/>
    <mergeCell ref="B763:D763"/>
    <mergeCell ref="E763:F763"/>
    <mergeCell ref="G763:I763"/>
    <mergeCell ref="N763:O763"/>
    <mergeCell ref="P763:R763"/>
    <mergeCell ref="T763:U763"/>
    <mergeCell ref="Y763:Z763"/>
    <mergeCell ref="B764:D764"/>
    <mergeCell ref="E764:F764"/>
    <mergeCell ref="G764:I764"/>
    <mergeCell ref="N764:O764"/>
    <mergeCell ref="P764:R764"/>
    <mergeCell ref="T764:U764"/>
    <mergeCell ref="Y764:Z764"/>
    <mergeCell ref="B765:D765"/>
    <mergeCell ref="E765:F765"/>
    <mergeCell ref="G765:I765"/>
    <mergeCell ref="N765:O765"/>
    <mergeCell ref="P765:R765"/>
    <mergeCell ref="T765:U765"/>
    <mergeCell ref="Y765:Z765"/>
    <mergeCell ref="B766:D766"/>
    <mergeCell ref="E766:F766"/>
    <mergeCell ref="G766:I766"/>
    <mergeCell ref="N766:O766"/>
    <mergeCell ref="P766:R766"/>
    <mergeCell ref="T766:U766"/>
    <mergeCell ref="Y766:Z766"/>
    <mergeCell ref="B767:D767"/>
    <mergeCell ref="E767:F767"/>
    <mergeCell ref="G767:I767"/>
    <mergeCell ref="N767:O767"/>
    <mergeCell ref="P767:R767"/>
    <mergeCell ref="T767:U767"/>
    <mergeCell ref="Y767:Z767"/>
    <mergeCell ref="B768:D768"/>
    <mergeCell ref="E768:F768"/>
    <mergeCell ref="G768:I768"/>
    <mergeCell ref="N768:O768"/>
    <mergeCell ref="P768:R768"/>
    <mergeCell ref="T768:U768"/>
    <mergeCell ref="Y768:Z768"/>
    <mergeCell ref="B769:D769"/>
    <mergeCell ref="E769:F769"/>
    <mergeCell ref="G769:I769"/>
    <mergeCell ref="N769:O769"/>
    <mergeCell ref="P769:R769"/>
    <mergeCell ref="T769:U769"/>
    <mergeCell ref="Y769:Z769"/>
    <mergeCell ref="B770:D770"/>
    <mergeCell ref="E770:F770"/>
    <mergeCell ref="G770:I770"/>
    <mergeCell ref="N770:O770"/>
    <mergeCell ref="P770:R770"/>
    <mergeCell ref="T770:U770"/>
    <mergeCell ref="Y770:Z770"/>
    <mergeCell ref="B771:D771"/>
    <mergeCell ref="E771:F771"/>
    <mergeCell ref="G771:I771"/>
    <mergeCell ref="N771:O771"/>
    <mergeCell ref="P771:R771"/>
    <mergeCell ref="T771:U771"/>
    <mergeCell ref="Y771:Z771"/>
    <mergeCell ref="B772:D772"/>
    <mergeCell ref="E772:F772"/>
    <mergeCell ref="G772:I772"/>
    <mergeCell ref="N772:O772"/>
    <mergeCell ref="P772:R772"/>
    <mergeCell ref="T772:U772"/>
    <mergeCell ref="Y772:Z772"/>
    <mergeCell ref="B773:D773"/>
    <mergeCell ref="E773:F773"/>
    <mergeCell ref="G773:I773"/>
    <mergeCell ref="N773:O773"/>
    <mergeCell ref="P773:R773"/>
    <mergeCell ref="T773:U773"/>
    <mergeCell ref="Y773:Z773"/>
    <mergeCell ref="B774:D774"/>
    <mergeCell ref="E774:F774"/>
    <mergeCell ref="G774:I774"/>
    <mergeCell ref="N774:O774"/>
    <mergeCell ref="P774:R774"/>
    <mergeCell ref="T774:U774"/>
    <mergeCell ref="Y774:Z774"/>
    <mergeCell ref="B775:D775"/>
    <mergeCell ref="E775:F775"/>
    <mergeCell ref="G775:I775"/>
    <mergeCell ref="N775:O775"/>
    <mergeCell ref="P775:R775"/>
    <mergeCell ref="T775:U775"/>
    <mergeCell ref="Y775:Z775"/>
    <mergeCell ref="B776:D776"/>
    <mergeCell ref="E776:F776"/>
    <mergeCell ref="G776:I776"/>
    <mergeCell ref="N776:O776"/>
    <mergeCell ref="P776:R776"/>
    <mergeCell ref="T776:U776"/>
    <mergeCell ref="Y776:Z776"/>
    <mergeCell ref="B777:D777"/>
    <mergeCell ref="E777:F777"/>
    <mergeCell ref="G777:I777"/>
    <mergeCell ref="N777:O777"/>
    <mergeCell ref="P777:R777"/>
    <mergeCell ref="T777:U777"/>
    <mergeCell ref="Y777:Z777"/>
    <mergeCell ref="B778:D778"/>
    <mergeCell ref="E778:F778"/>
    <mergeCell ref="G778:I778"/>
    <mergeCell ref="N778:O778"/>
    <mergeCell ref="P778:R778"/>
    <mergeCell ref="T778:U778"/>
    <mergeCell ref="Y778:Z778"/>
    <mergeCell ref="B779:D779"/>
    <mergeCell ref="E779:F779"/>
    <mergeCell ref="G779:I779"/>
    <mergeCell ref="N779:O779"/>
    <mergeCell ref="P779:R779"/>
    <mergeCell ref="T779:U779"/>
    <mergeCell ref="Y779:Z779"/>
    <mergeCell ref="B780:D780"/>
    <mergeCell ref="E780:F780"/>
    <mergeCell ref="G780:I780"/>
    <mergeCell ref="N780:O780"/>
    <mergeCell ref="P780:R780"/>
    <mergeCell ref="T780:U780"/>
    <mergeCell ref="Y780:Z780"/>
    <mergeCell ref="B781:D781"/>
    <mergeCell ref="E781:F781"/>
    <mergeCell ref="G781:I781"/>
    <mergeCell ref="N781:O781"/>
    <mergeCell ref="P781:R781"/>
    <mergeCell ref="T781:U781"/>
    <mergeCell ref="Y781:Z781"/>
    <mergeCell ref="B782:D782"/>
    <mergeCell ref="E782:F782"/>
    <mergeCell ref="G782:I782"/>
    <mergeCell ref="N782:O782"/>
    <mergeCell ref="P782:R782"/>
    <mergeCell ref="T782:U782"/>
    <mergeCell ref="Y782:Z782"/>
    <mergeCell ref="B783:D783"/>
    <mergeCell ref="E783:F783"/>
    <mergeCell ref="G783:I783"/>
    <mergeCell ref="N783:O783"/>
    <mergeCell ref="P783:R783"/>
    <mergeCell ref="T783:U783"/>
    <mergeCell ref="Y783:Z783"/>
    <mergeCell ref="B784:D784"/>
    <mergeCell ref="E784:F784"/>
    <mergeCell ref="G784:I784"/>
    <mergeCell ref="N784:O784"/>
    <mergeCell ref="P784:R784"/>
    <mergeCell ref="T784:U784"/>
    <mergeCell ref="Y784:Z784"/>
    <mergeCell ref="B785:D785"/>
    <mergeCell ref="E785:F785"/>
    <mergeCell ref="G785:I785"/>
    <mergeCell ref="N785:O785"/>
    <mergeCell ref="P785:R785"/>
    <mergeCell ref="T785:U785"/>
    <mergeCell ref="Y785:Z785"/>
    <mergeCell ref="B786:D786"/>
    <mergeCell ref="E786:F786"/>
    <mergeCell ref="G786:I786"/>
    <mergeCell ref="N786:O786"/>
    <mergeCell ref="P786:R786"/>
    <mergeCell ref="T786:U786"/>
    <mergeCell ref="Y786:Z786"/>
    <mergeCell ref="B787:D787"/>
    <mergeCell ref="E787:F787"/>
    <mergeCell ref="G787:I787"/>
    <mergeCell ref="N787:O787"/>
    <mergeCell ref="P787:R787"/>
    <mergeCell ref="T787:U787"/>
    <mergeCell ref="Y787:Z787"/>
    <mergeCell ref="B788:D788"/>
    <mergeCell ref="E788:F788"/>
    <mergeCell ref="G788:I788"/>
    <mergeCell ref="N788:O788"/>
    <mergeCell ref="P788:R788"/>
    <mergeCell ref="T788:U788"/>
    <mergeCell ref="Y788:Z788"/>
    <mergeCell ref="B789:D789"/>
    <mergeCell ref="E789:F789"/>
    <mergeCell ref="G789:I789"/>
    <mergeCell ref="N789:O789"/>
    <mergeCell ref="P789:R789"/>
    <mergeCell ref="T789:U789"/>
    <mergeCell ref="Y789:Z789"/>
    <mergeCell ref="B790:D790"/>
    <mergeCell ref="E790:F790"/>
    <mergeCell ref="G790:I790"/>
    <mergeCell ref="N790:O790"/>
    <mergeCell ref="P790:R790"/>
    <mergeCell ref="T790:U790"/>
    <mergeCell ref="Y790:Z790"/>
    <mergeCell ref="B791:D791"/>
    <mergeCell ref="E791:F791"/>
    <mergeCell ref="G791:I791"/>
    <mergeCell ref="N791:O791"/>
    <mergeCell ref="P791:R791"/>
    <mergeCell ref="T791:U791"/>
    <mergeCell ref="Y791:Z791"/>
    <mergeCell ref="B792:D792"/>
    <mergeCell ref="E792:F792"/>
    <mergeCell ref="G792:I792"/>
    <mergeCell ref="N792:O792"/>
    <mergeCell ref="P792:R792"/>
    <mergeCell ref="T792:U792"/>
    <mergeCell ref="Y792:Z792"/>
    <mergeCell ref="B793:D793"/>
    <mergeCell ref="E793:F793"/>
    <mergeCell ref="G793:I793"/>
    <mergeCell ref="N793:O793"/>
    <mergeCell ref="P793:R793"/>
    <mergeCell ref="T793:U793"/>
    <mergeCell ref="Y793:Z793"/>
    <mergeCell ref="B794:D794"/>
    <mergeCell ref="E794:F794"/>
    <mergeCell ref="G794:I794"/>
    <mergeCell ref="N794:O794"/>
    <mergeCell ref="P794:R794"/>
    <mergeCell ref="T794:U794"/>
    <mergeCell ref="Y794:Z794"/>
    <mergeCell ref="B795:D795"/>
    <mergeCell ref="E795:F795"/>
    <mergeCell ref="G795:I795"/>
    <mergeCell ref="N795:O795"/>
    <mergeCell ref="P795:R795"/>
    <mergeCell ref="T795:U795"/>
    <mergeCell ref="Y795:Z795"/>
    <mergeCell ref="B796:D796"/>
    <mergeCell ref="E796:F796"/>
    <mergeCell ref="G796:I796"/>
    <mergeCell ref="N796:O796"/>
    <mergeCell ref="P796:R796"/>
    <mergeCell ref="T796:U796"/>
    <mergeCell ref="Y796:Z796"/>
    <mergeCell ref="B797:D797"/>
    <mergeCell ref="E797:F797"/>
    <mergeCell ref="G797:I797"/>
    <mergeCell ref="N797:O797"/>
    <mergeCell ref="P797:R797"/>
    <mergeCell ref="T797:U797"/>
    <mergeCell ref="Y797:Z797"/>
    <mergeCell ref="B798:D798"/>
    <mergeCell ref="E798:F798"/>
    <mergeCell ref="G798:I798"/>
    <mergeCell ref="N798:O798"/>
    <mergeCell ref="P798:R798"/>
    <mergeCell ref="T798:U798"/>
    <mergeCell ref="Y798:Z798"/>
    <mergeCell ref="B799:D799"/>
    <mergeCell ref="E799:F799"/>
    <mergeCell ref="G799:I799"/>
    <mergeCell ref="N799:O799"/>
    <mergeCell ref="P799:R799"/>
    <mergeCell ref="T799:U799"/>
    <mergeCell ref="Y799:Z799"/>
    <mergeCell ref="B800:D800"/>
    <mergeCell ref="E800:F800"/>
    <mergeCell ref="G800:I800"/>
    <mergeCell ref="N800:O800"/>
    <mergeCell ref="P800:R800"/>
    <mergeCell ref="T800:U800"/>
    <mergeCell ref="Y800:Z800"/>
    <mergeCell ref="B801:D801"/>
    <mergeCell ref="E801:F801"/>
    <mergeCell ref="G801:I801"/>
    <mergeCell ref="N801:O801"/>
    <mergeCell ref="P801:R801"/>
    <mergeCell ref="T801:U801"/>
    <mergeCell ref="Y801:Z801"/>
    <mergeCell ref="B802:D802"/>
    <mergeCell ref="E802:F802"/>
    <mergeCell ref="G802:I802"/>
    <mergeCell ref="N802:O802"/>
    <mergeCell ref="P802:R802"/>
    <mergeCell ref="T802:U802"/>
    <mergeCell ref="Y802:Z802"/>
    <mergeCell ref="B803:D803"/>
    <mergeCell ref="E803:F803"/>
    <mergeCell ref="G803:I803"/>
    <mergeCell ref="N803:O803"/>
    <mergeCell ref="P803:R803"/>
    <mergeCell ref="T803:U803"/>
    <mergeCell ref="Y803:Z803"/>
    <mergeCell ref="B804:D804"/>
    <mergeCell ref="E804:F804"/>
    <mergeCell ref="G804:I804"/>
    <mergeCell ref="N804:O804"/>
    <mergeCell ref="P804:R804"/>
    <mergeCell ref="T804:U804"/>
    <mergeCell ref="Y804:Z804"/>
    <mergeCell ref="B805:D805"/>
    <mergeCell ref="E805:F805"/>
    <mergeCell ref="G805:I805"/>
    <mergeCell ref="N805:O805"/>
    <mergeCell ref="P805:R805"/>
    <mergeCell ref="T805:U805"/>
    <mergeCell ref="Y805:Z805"/>
    <mergeCell ref="B806:D806"/>
    <mergeCell ref="E806:F806"/>
    <mergeCell ref="G806:I806"/>
    <mergeCell ref="N806:O806"/>
    <mergeCell ref="P806:R806"/>
    <mergeCell ref="T806:U806"/>
    <mergeCell ref="Y806:Z806"/>
    <mergeCell ref="B807:D807"/>
    <mergeCell ref="E807:F807"/>
    <mergeCell ref="G807:I807"/>
    <mergeCell ref="N807:O807"/>
    <mergeCell ref="P807:R807"/>
    <mergeCell ref="T807:U807"/>
    <mergeCell ref="Y807:Z807"/>
    <mergeCell ref="B808:D808"/>
    <mergeCell ref="E808:F808"/>
    <mergeCell ref="G808:I808"/>
    <mergeCell ref="N808:O808"/>
    <mergeCell ref="P808:R808"/>
    <mergeCell ref="T808:U808"/>
    <mergeCell ref="Y808:Z808"/>
    <mergeCell ref="B809:D809"/>
    <mergeCell ref="E809:F809"/>
    <mergeCell ref="G809:I809"/>
    <mergeCell ref="N809:O809"/>
    <mergeCell ref="P809:R809"/>
    <mergeCell ref="T809:U809"/>
    <mergeCell ref="Y809:Z809"/>
    <mergeCell ref="B810:D810"/>
    <mergeCell ref="E810:F810"/>
    <mergeCell ref="G810:I810"/>
    <mergeCell ref="N810:O810"/>
    <mergeCell ref="P810:R810"/>
    <mergeCell ref="T810:U810"/>
    <mergeCell ref="Y810:Z810"/>
    <mergeCell ref="B811:D811"/>
    <mergeCell ref="E811:F811"/>
    <mergeCell ref="G811:I811"/>
    <mergeCell ref="N811:O811"/>
    <mergeCell ref="P811:R811"/>
    <mergeCell ref="T811:U811"/>
    <mergeCell ref="Y811:Z811"/>
    <mergeCell ref="B812:D812"/>
    <mergeCell ref="E812:F812"/>
    <mergeCell ref="G812:I812"/>
    <mergeCell ref="N812:O812"/>
    <mergeCell ref="P812:R812"/>
    <mergeCell ref="T812:U812"/>
    <mergeCell ref="Y812:Z812"/>
    <mergeCell ref="B813:D813"/>
    <mergeCell ref="E813:F813"/>
    <mergeCell ref="G813:I813"/>
    <mergeCell ref="N813:O813"/>
    <mergeCell ref="P813:R813"/>
    <mergeCell ref="T813:U813"/>
    <mergeCell ref="Y813:Z813"/>
    <mergeCell ref="B814:D814"/>
    <mergeCell ref="E814:F814"/>
    <mergeCell ref="G814:I814"/>
    <mergeCell ref="N814:O814"/>
    <mergeCell ref="P814:R814"/>
    <mergeCell ref="T814:U814"/>
    <mergeCell ref="Y814:Z814"/>
    <mergeCell ref="B817:D817"/>
    <mergeCell ref="E817:F817"/>
    <mergeCell ref="G817:I817"/>
    <mergeCell ref="N817:O817"/>
    <mergeCell ref="P817:R817"/>
    <mergeCell ref="T817:U817"/>
    <mergeCell ref="Y817:Z817"/>
    <mergeCell ref="B818:D818"/>
    <mergeCell ref="E818:F818"/>
    <mergeCell ref="G818:I818"/>
    <mergeCell ref="N818:O818"/>
    <mergeCell ref="P818:R818"/>
    <mergeCell ref="T818:U818"/>
    <mergeCell ref="Y818:Z818"/>
    <mergeCell ref="B819:D819"/>
    <mergeCell ref="E819:F819"/>
    <mergeCell ref="G819:I819"/>
    <mergeCell ref="N819:O819"/>
    <mergeCell ref="P819:R819"/>
    <mergeCell ref="T819:U819"/>
    <mergeCell ref="Y819:Z819"/>
    <mergeCell ref="B820:D820"/>
    <mergeCell ref="E820:F820"/>
    <mergeCell ref="G820:I820"/>
    <mergeCell ref="N820:O820"/>
    <mergeCell ref="P820:R820"/>
    <mergeCell ref="T820:U820"/>
    <mergeCell ref="Y820:Z820"/>
    <mergeCell ref="B821:D821"/>
    <mergeCell ref="E821:F821"/>
    <mergeCell ref="G821:I821"/>
    <mergeCell ref="N821:O821"/>
    <mergeCell ref="P821:R821"/>
    <mergeCell ref="T821:U821"/>
    <mergeCell ref="Y821:Z821"/>
    <mergeCell ref="B822:D822"/>
    <mergeCell ref="E822:F822"/>
    <mergeCell ref="G822:I822"/>
    <mergeCell ref="N822:O822"/>
    <mergeCell ref="P822:R822"/>
    <mergeCell ref="T822:U822"/>
    <mergeCell ref="Y822:Z822"/>
    <mergeCell ref="B823:D823"/>
    <mergeCell ref="E823:F823"/>
    <mergeCell ref="G823:I823"/>
    <mergeCell ref="N823:O823"/>
    <mergeCell ref="P823:R823"/>
    <mergeCell ref="T823:U823"/>
    <mergeCell ref="Y823:Z823"/>
    <mergeCell ref="B824:D824"/>
    <mergeCell ref="E824:F824"/>
    <mergeCell ref="G824:I824"/>
    <mergeCell ref="N824:O824"/>
    <mergeCell ref="P824:R824"/>
    <mergeCell ref="T824:U824"/>
    <mergeCell ref="Y824:Z824"/>
    <mergeCell ref="B825:D825"/>
    <mergeCell ref="E825:F825"/>
    <mergeCell ref="G825:I825"/>
    <mergeCell ref="N825:O825"/>
    <mergeCell ref="P825:R825"/>
    <mergeCell ref="T825:U825"/>
    <mergeCell ref="Y825:Z825"/>
    <mergeCell ref="B826:D826"/>
    <mergeCell ref="E826:F826"/>
    <mergeCell ref="G826:I826"/>
    <mergeCell ref="N826:O826"/>
    <mergeCell ref="P826:R826"/>
    <mergeCell ref="T826:U826"/>
    <mergeCell ref="Y826:Z826"/>
    <mergeCell ref="B827:D827"/>
    <mergeCell ref="E827:F827"/>
    <mergeCell ref="G827:I827"/>
    <mergeCell ref="N827:O827"/>
    <mergeCell ref="P827:R827"/>
    <mergeCell ref="T827:U827"/>
    <mergeCell ref="Y827:Z827"/>
    <mergeCell ref="B828:D828"/>
    <mergeCell ref="E828:F828"/>
    <mergeCell ref="G828:I828"/>
    <mergeCell ref="N828:O828"/>
    <mergeCell ref="P828:R828"/>
    <mergeCell ref="T828:U828"/>
    <mergeCell ref="Y828:Z828"/>
    <mergeCell ref="B829:D829"/>
    <mergeCell ref="E829:F829"/>
    <mergeCell ref="G829:I829"/>
    <mergeCell ref="N829:O829"/>
    <mergeCell ref="P829:R829"/>
    <mergeCell ref="T829:U829"/>
    <mergeCell ref="Y829:Z829"/>
    <mergeCell ref="B830:D830"/>
    <mergeCell ref="E830:F830"/>
    <mergeCell ref="G830:I830"/>
    <mergeCell ref="N830:O830"/>
    <mergeCell ref="P830:R830"/>
    <mergeCell ref="T830:U830"/>
    <mergeCell ref="Y830:Z830"/>
    <mergeCell ref="B831:D831"/>
    <mergeCell ref="E831:F831"/>
    <mergeCell ref="G831:I831"/>
    <mergeCell ref="N831:O831"/>
    <mergeCell ref="P831:R831"/>
    <mergeCell ref="T831:U831"/>
    <mergeCell ref="Y831:Z831"/>
    <mergeCell ref="B832:D832"/>
    <mergeCell ref="E832:F832"/>
    <mergeCell ref="G832:I832"/>
    <mergeCell ref="N832:O832"/>
    <mergeCell ref="P832:R832"/>
    <mergeCell ref="T832:U832"/>
    <mergeCell ref="Y832:Z832"/>
    <mergeCell ref="B833:D833"/>
    <mergeCell ref="E833:F833"/>
    <mergeCell ref="G833:I833"/>
    <mergeCell ref="N833:O833"/>
    <mergeCell ref="P833:R833"/>
    <mergeCell ref="T833:U833"/>
    <mergeCell ref="Y833:Z833"/>
    <mergeCell ref="B834:D834"/>
    <mergeCell ref="E834:F834"/>
    <mergeCell ref="G834:I834"/>
    <mergeCell ref="N834:O834"/>
    <mergeCell ref="P834:R834"/>
    <mergeCell ref="T834:U834"/>
    <mergeCell ref="Y834:Z834"/>
    <mergeCell ref="B835:D835"/>
    <mergeCell ref="E835:F835"/>
    <mergeCell ref="G835:I835"/>
    <mergeCell ref="N835:O835"/>
    <mergeCell ref="P835:R835"/>
    <mergeCell ref="T835:U835"/>
    <mergeCell ref="Y835:Z835"/>
    <mergeCell ref="B836:D836"/>
    <mergeCell ref="E836:F836"/>
    <mergeCell ref="G836:I836"/>
    <mergeCell ref="N836:O836"/>
    <mergeCell ref="P836:R836"/>
    <mergeCell ref="T836:U836"/>
    <mergeCell ref="Y836:Z836"/>
    <mergeCell ref="B837:D837"/>
    <mergeCell ref="E837:F837"/>
    <mergeCell ref="G837:I837"/>
    <mergeCell ref="N837:O837"/>
    <mergeCell ref="P837:R837"/>
    <mergeCell ref="T837:U837"/>
    <mergeCell ref="Y837:Z837"/>
    <mergeCell ref="B838:D838"/>
    <mergeCell ref="E838:F838"/>
    <mergeCell ref="G838:I838"/>
    <mergeCell ref="N838:O838"/>
    <mergeCell ref="P838:R838"/>
    <mergeCell ref="T838:U838"/>
    <mergeCell ref="Y838:Z838"/>
    <mergeCell ref="B839:D839"/>
    <mergeCell ref="E839:F839"/>
    <mergeCell ref="G839:I839"/>
    <mergeCell ref="N839:O839"/>
    <mergeCell ref="P839:R839"/>
    <mergeCell ref="T839:U839"/>
    <mergeCell ref="Y839:Z839"/>
    <mergeCell ref="B840:D840"/>
    <mergeCell ref="E840:F840"/>
    <mergeCell ref="G840:I840"/>
    <mergeCell ref="N840:O840"/>
    <mergeCell ref="P840:R840"/>
    <mergeCell ref="T840:U840"/>
    <mergeCell ref="Y840:Z840"/>
    <mergeCell ref="B841:D841"/>
    <mergeCell ref="E841:F841"/>
    <mergeCell ref="G841:I841"/>
    <mergeCell ref="N841:O841"/>
    <mergeCell ref="P841:R841"/>
    <mergeCell ref="T841:U841"/>
    <mergeCell ref="Y841:Z841"/>
    <mergeCell ref="B842:D842"/>
    <mergeCell ref="E842:F842"/>
    <mergeCell ref="G842:I842"/>
    <mergeCell ref="N842:O842"/>
    <mergeCell ref="P842:R842"/>
    <mergeCell ref="T842:U842"/>
    <mergeCell ref="Y842:Z842"/>
    <mergeCell ref="B843:D843"/>
    <mergeCell ref="E843:F843"/>
    <mergeCell ref="G843:I843"/>
    <mergeCell ref="N843:O843"/>
    <mergeCell ref="P843:R843"/>
    <mergeCell ref="T843:U843"/>
    <mergeCell ref="Y843:Z843"/>
    <mergeCell ref="B844:D844"/>
    <mergeCell ref="E844:F844"/>
    <mergeCell ref="G844:I844"/>
    <mergeCell ref="N844:O844"/>
    <mergeCell ref="P844:R844"/>
    <mergeCell ref="T844:U844"/>
    <mergeCell ref="Y844:Z844"/>
    <mergeCell ref="B845:D845"/>
    <mergeCell ref="E845:F845"/>
    <mergeCell ref="G845:I845"/>
    <mergeCell ref="N845:O845"/>
    <mergeCell ref="P845:R845"/>
    <mergeCell ref="T845:U845"/>
    <mergeCell ref="Y845:Z845"/>
    <mergeCell ref="B846:D846"/>
    <mergeCell ref="E846:F846"/>
    <mergeCell ref="G846:I846"/>
    <mergeCell ref="N846:O846"/>
    <mergeCell ref="P846:R846"/>
    <mergeCell ref="T846:U846"/>
    <mergeCell ref="Y846:Z846"/>
    <mergeCell ref="B847:D847"/>
    <mergeCell ref="E847:F847"/>
    <mergeCell ref="G847:I847"/>
    <mergeCell ref="N847:O847"/>
    <mergeCell ref="P847:R847"/>
    <mergeCell ref="T847:U847"/>
    <mergeCell ref="Y847:Z847"/>
    <mergeCell ref="B848:D848"/>
    <mergeCell ref="E848:F848"/>
    <mergeCell ref="G848:I848"/>
    <mergeCell ref="N848:O848"/>
    <mergeCell ref="P848:R848"/>
    <mergeCell ref="T848:U848"/>
    <mergeCell ref="Y848:Z848"/>
    <mergeCell ref="B849:D849"/>
    <mergeCell ref="E849:F849"/>
    <mergeCell ref="G849:I849"/>
    <mergeCell ref="N849:O849"/>
    <mergeCell ref="P849:R849"/>
    <mergeCell ref="T849:U849"/>
    <mergeCell ref="Y849:Z849"/>
    <mergeCell ref="B850:D850"/>
    <mergeCell ref="E850:F850"/>
    <mergeCell ref="G850:I850"/>
    <mergeCell ref="N850:O850"/>
    <mergeCell ref="P850:R850"/>
    <mergeCell ref="T850:U850"/>
    <mergeCell ref="Y850:Z850"/>
    <mergeCell ref="B851:D851"/>
    <mergeCell ref="E851:F851"/>
    <mergeCell ref="G851:I851"/>
    <mergeCell ref="N851:O851"/>
    <mergeCell ref="P851:R851"/>
    <mergeCell ref="T851:U851"/>
    <mergeCell ref="Y851:Z851"/>
    <mergeCell ref="B852:D852"/>
    <mergeCell ref="E852:F852"/>
    <mergeCell ref="G852:I852"/>
    <mergeCell ref="N852:O852"/>
    <mergeCell ref="P852:R852"/>
    <mergeCell ref="T852:U852"/>
    <mergeCell ref="Y852:Z852"/>
    <mergeCell ref="B853:D853"/>
    <mergeCell ref="E853:F853"/>
    <mergeCell ref="G853:I853"/>
    <mergeCell ref="N853:O853"/>
    <mergeCell ref="P853:R853"/>
    <mergeCell ref="T853:U853"/>
    <mergeCell ref="Y853:Z853"/>
    <mergeCell ref="B854:D854"/>
    <mergeCell ref="E854:F854"/>
    <mergeCell ref="G854:I854"/>
    <mergeCell ref="N854:O854"/>
    <mergeCell ref="P854:R854"/>
    <mergeCell ref="T854:U854"/>
    <mergeCell ref="Y854:Z854"/>
    <mergeCell ref="B855:D855"/>
    <mergeCell ref="E855:F855"/>
    <mergeCell ref="G855:I855"/>
    <mergeCell ref="N855:O855"/>
    <mergeCell ref="P855:R855"/>
    <mergeCell ref="T855:U855"/>
    <mergeCell ref="Y855:Z855"/>
    <mergeCell ref="B856:D856"/>
    <mergeCell ref="E856:F856"/>
    <mergeCell ref="G856:I856"/>
    <mergeCell ref="N856:O856"/>
    <mergeCell ref="P856:R856"/>
    <mergeCell ref="T856:U856"/>
    <mergeCell ref="Y856:Z856"/>
    <mergeCell ref="B857:D857"/>
    <mergeCell ref="E857:F857"/>
    <mergeCell ref="G857:I857"/>
    <mergeCell ref="N857:O857"/>
    <mergeCell ref="P857:R857"/>
    <mergeCell ref="T857:U857"/>
    <mergeCell ref="Y857:Z857"/>
    <mergeCell ref="B858:D858"/>
    <mergeCell ref="E858:F858"/>
    <mergeCell ref="G858:I858"/>
    <mergeCell ref="N858:O858"/>
    <mergeCell ref="P858:R858"/>
    <mergeCell ref="T858:U858"/>
    <mergeCell ref="Y858:Z858"/>
    <mergeCell ref="B859:D859"/>
    <mergeCell ref="E859:F859"/>
    <mergeCell ref="G859:I859"/>
    <mergeCell ref="N859:O859"/>
    <mergeCell ref="P859:R859"/>
    <mergeCell ref="T859:U859"/>
    <mergeCell ref="Y859:Z859"/>
    <mergeCell ref="B860:D860"/>
    <mergeCell ref="E860:F860"/>
    <mergeCell ref="G860:I860"/>
    <mergeCell ref="N860:O860"/>
    <mergeCell ref="P860:R860"/>
    <mergeCell ref="T860:U860"/>
    <mergeCell ref="Y860:Z860"/>
    <mergeCell ref="B861:D861"/>
    <mergeCell ref="E861:F861"/>
    <mergeCell ref="G861:I861"/>
    <mergeCell ref="N861:O861"/>
    <mergeCell ref="P861:R861"/>
    <mergeCell ref="T861:U861"/>
    <mergeCell ref="Y861:Z861"/>
    <mergeCell ref="B862:D862"/>
    <mergeCell ref="E862:F862"/>
    <mergeCell ref="G862:I862"/>
    <mergeCell ref="N862:O862"/>
    <mergeCell ref="P862:R862"/>
    <mergeCell ref="T862:U862"/>
    <mergeCell ref="Y862:Z862"/>
    <mergeCell ref="B863:D863"/>
    <mergeCell ref="E863:F863"/>
    <mergeCell ref="G863:I863"/>
    <mergeCell ref="N863:O863"/>
    <mergeCell ref="P863:R863"/>
    <mergeCell ref="T863:U863"/>
    <mergeCell ref="Y863:Z863"/>
    <mergeCell ref="B864:D864"/>
    <mergeCell ref="E864:F864"/>
    <mergeCell ref="G864:I864"/>
    <mergeCell ref="N864:O864"/>
    <mergeCell ref="P864:R864"/>
    <mergeCell ref="T864:U864"/>
    <mergeCell ref="Y864:Z864"/>
    <mergeCell ref="B865:D865"/>
    <mergeCell ref="E865:F865"/>
    <mergeCell ref="G865:I865"/>
    <mergeCell ref="N865:O865"/>
    <mergeCell ref="P865:R865"/>
    <mergeCell ref="T865:U865"/>
    <mergeCell ref="Y865:Z865"/>
    <mergeCell ref="B866:D866"/>
    <mergeCell ref="E866:F866"/>
    <mergeCell ref="G866:I866"/>
    <mergeCell ref="N866:O866"/>
    <mergeCell ref="P866:R866"/>
    <mergeCell ref="T866:U866"/>
    <mergeCell ref="Y866:Z866"/>
    <mergeCell ref="B867:D867"/>
    <mergeCell ref="E867:F867"/>
    <mergeCell ref="G867:I867"/>
    <mergeCell ref="N867:O867"/>
    <mergeCell ref="P867:R867"/>
    <mergeCell ref="T867:U867"/>
    <mergeCell ref="Y867:Z867"/>
    <mergeCell ref="B868:D868"/>
    <mergeCell ref="E868:F868"/>
    <mergeCell ref="G868:I868"/>
    <mergeCell ref="N868:O868"/>
    <mergeCell ref="P868:R868"/>
    <mergeCell ref="T868:U868"/>
    <mergeCell ref="Y868:Z868"/>
    <mergeCell ref="B869:D869"/>
    <mergeCell ref="E869:F869"/>
    <mergeCell ref="G869:I869"/>
    <mergeCell ref="N869:O869"/>
    <mergeCell ref="P869:R869"/>
    <mergeCell ref="T869:U869"/>
    <mergeCell ref="Y869:Z869"/>
    <mergeCell ref="B870:D870"/>
    <mergeCell ref="E870:F870"/>
    <mergeCell ref="G870:I870"/>
    <mergeCell ref="N870:O870"/>
    <mergeCell ref="P870:R870"/>
    <mergeCell ref="T870:U870"/>
    <mergeCell ref="Y870:Z870"/>
    <mergeCell ref="B871:D871"/>
    <mergeCell ref="E871:F871"/>
    <mergeCell ref="G871:I871"/>
    <mergeCell ref="N871:O871"/>
    <mergeCell ref="P871:R871"/>
    <mergeCell ref="T871:U871"/>
    <mergeCell ref="Y871:Z871"/>
    <mergeCell ref="B872:D872"/>
    <mergeCell ref="E872:F872"/>
    <mergeCell ref="G872:I872"/>
    <mergeCell ref="N872:O872"/>
    <mergeCell ref="P872:R872"/>
    <mergeCell ref="T872:U872"/>
    <mergeCell ref="Y872:Z872"/>
    <mergeCell ref="B873:D873"/>
    <mergeCell ref="E873:F873"/>
    <mergeCell ref="G873:I873"/>
    <mergeCell ref="N873:O873"/>
    <mergeCell ref="P873:R873"/>
    <mergeCell ref="T873:U873"/>
    <mergeCell ref="Y873:Z873"/>
    <mergeCell ref="B874:D874"/>
    <mergeCell ref="E874:F874"/>
    <mergeCell ref="G874:I874"/>
    <mergeCell ref="N874:O874"/>
    <mergeCell ref="P874:R874"/>
    <mergeCell ref="T874:U874"/>
    <mergeCell ref="Y874:Z874"/>
    <mergeCell ref="B875:D875"/>
    <mergeCell ref="E875:F875"/>
    <mergeCell ref="G875:I875"/>
    <mergeCell ref="N875:O875"/>
    <mergeCell ref="P875:R875"/>
    <mergeCell ref="T875:U875"/>
    <mergeCell ref="Y875:Z875"/>
    <mergeCell ref="B876:D876"/>
    <mergeCell ref="E876:F876"/>
    <mergeCell ref="G876:I876"/>
    <mergeCell ref="N876:O876"/>
    <mergeCell ref="P876:R876"/>
    <mergeCell ref="T876:U876"/>
    <mergeCell ref="Y876:Z876"/>
    <mergeCell ref="B877:D877"/>
    <mergeCell ref="E877:F877"/>
    <mergeCell ref="G877:I877"/>
    <mergeCell ref="N877:O877"/>
    <mergeCell ref="P877:R877"/>
    <mergeCell ref="T877:U877"/>
    <mergeCell ref="Y877:Z877"/>
    <mergeCell ref="B878:D878"/>
    <mergeCell ref="E878:F878"/>
    <mergeCell ref="G878:I878"/>
    <mergeCell ref="N878:O878"/>
    <mergeCell ref="P878:R878"/>
    <mergeCell ref="T878:U878"/>
    <mergeCell ref="Y878:Z878"/>
    <mergeCell ref="B879:D879"/>
    <mergeCell ref="E879:F879"/>
    <mergeCell ref="G879:I879"/>
    <mergeCell ref="N879:O879"/>
    <mergeCell ref="P879:R879"/>
    <mergeCell ref="T879:U879"/>
    <mergeCell ref="Y879:Z879"/>
    <mergeCell ref="B880:D880"/>
    <mergeCell ref="E880:F880"/>
    <mergeCell ref="G880:I880"/>
    <mergeCell ref="N880:O880"/>
    <mergeCell ref="P880:R880"/>
    <mergeCell ref="T880:U880"/>
    <mergeCell ref="Y880:Z880"/>
    <mergeCell ref="B881:D881"/>
    <mergeCell ref="E881:F881"/>
    <mergeCell ref="G881:I881"/>
    <mergeCell ref="N881:O881"/>
    <mergeCell ref="P881:R881"/>
    <mergeCell ref="T881:U881"/>
    <mergeCell ref="Y881:Z881"/>
    <mergeCell ref="B882:D882"/>
    <mergeCell ref="E882:F882"/>
    <mergeCell ref="G882:I882"/>
    <mergeCell ref="N882:O882"/>
    <mergeCell ref="P882:R882"/>
    <mergeCell ref="T882:U882"/>
    <mergeCell ref="Y882:Z882"/>
    <mergeCell ref="B883:D883"/>
    <mergeCell ref="E883:F883"/>
    <mergeCell ref="G883:I883"/>
    <mergeCell ref="N883:O883"/>
    <mergeCell ref="P883:R883"/>
    <mergeCell ref="T883:U883"/>
    <mergeCell ref="Y883:Z883"/>
    <mergeCell ref="B884:D884"/>
    <mergeCell ref="E884:F884"/>
    <mergeCell ref="G884:I884"/>
    <mergeCell ref="N884:O884"/>
    <mergeCell ref="P884:R884"/>
    <mergeCell ref="T884:U884"/>
    <mergeCell ref="Y884:Z884"/>
    <mergeCell ref="B885:D885"/>
    <mergeCell ref="E885:F885"/>
    <mergeCell ref="G885:I885"/>
    <mergeCell ref="N885:O885"/>
    <mergeCell ref="P885:R885"/>
    <mergeCell ref="T885:U885"/>
    <mergeCell ref="Y885:Z885"/>
    <mergeCell ref="B886:D886"/>
    <mergeCell ref="E886:F886"/>
    <mergeCell ref="G886:I886"/>
    <mergeCell ref="N886:O886"/>
    <mergeCell ref="P886:R886"/>
    <mergeCell ref="T886:U886"/>
    <mergeCell ref="Y886:Z886"/>
    <mergeCell ref="B887:D887"/>
    <mergeCell ref="E887:F887"/>
    <mergeCell ref="G887:I887"/>
    <mergeCell ref="N887:O887"/>
    <mergeCell ref="P887:R887"/>
    <mergeCell ref="T887:U887"/>
    <mergeCell ref="Y887:Z887"/>
    <mergeCell ref="B888:D888"/>
    <mergeCell ref="E888:F888"/>
    <mergeCell ref="G888:I888"/>
    <mergeCell ref="N888:O888"/>
    <mergeCell ref="P888:R888"/>
    <mergeCell ref="T888:U888"/>
    <mergeCell ref="Y888:Z888"/>
    <mergeCell ref="B889:D889"/>
    <mergeCell ref="E889:F889"/>
    <mergeCell ref="G889:I889"/>
    <mergeCell ref="N889:O889"/>
    <mergeCell ref="P889:R889"/>
    <mergeCell ref="T889:U889"/>
    <mergeCell ref="Y889:Z889"/>
    <mergeCell ref="B890:D890"/>
    <mergeCell ref="E890:F890"/>
    <mergeCell ref="G890:I890"/>
    <mergeCell ref="N890:O890"/>
    <mergeCell ref="P890:R890"/>
    <mergeCell ref="T890:U890"/>
    <mergeCell ref="Y890:Z890"/>
    <mergeCell ref="B891:D891"/>
    <mergeCell ref="E891:F891"/>
    <mergeCell ref="G891:I891"/>
    <mergeCell ref="N891:O891"/>
    <mergeCell ref="P891:R891"/>
    <mergeCell ref="T891:U891"/>
    <mergeCell ref="Y891:Z891"/>
    <mergeCell ref="B892:D892"/>
    <mergeCell ref="E892:F892"/>
    <mergeCell ref="G892:I892"/>
    <mergeCell ref="N892:O892"/>
    <mergeCell ref="P892:R892"/>
    <mergeCell ref="T892:U892"/>
    <mergeCell ref="Y892:Z892"/>
    <mergeCell ref="B893:D893"/>
    <mergeCell ref="E893:F893"/>
    <mergeCell ref="G893:I893"/>
    <mergeCell ref="N893:O893"/>
    <mergeCell ref="P893:R893"/>
    <mergeCell ref="T893:U893"/>
    <mergeCell ref="Y893:Z893"/>
    <mergeCell ref="B894:D894"/>
    <mergeCell ref="E894:F894"/>
    <mergeCell ref="G894:I894"/>
    <mergeCell ref="N894:O894"/>
    <mergeCell ref="P894:R894"/>
    <mergeCell ref="T894:U894"/>
    <mergeCell ref="Y894:Z894"/>
    <mergeCell ref="B895:D895"/>
    <mergeCell ref="E895:F895"/>
    <mergeCell ref="G895:I895"/>
    <mergeCell ref="N895:O895"/>
    <mergeCell ref="P895:R895"/>
    <mergeCell ref="T895:U895"/>
    <mergeCell ref="Y895:Z895"/>
    <mergeCell ref="B898:D898"/>
    <mergeCell ref="E898:F898"/>
    <mergeCell ref="G898:I898"/>
    <mergeCell ref="N898:O898"/>
    <mergeCell ref="P898:R898"/>
    <mergeCell ref="T898:U898"/>
    <mergeCell ref="Y898:Z898"/>
    <mergeCell ref="B899:D899"/>
    <mergeCell ref="E899:F899"/>
    <mergeCell ref="G899:I899"/>
    <mergeCell ref="N899:O899"/>
    <mergeCell ref="P899:R899"/>
    <mergeCell ref="T899:U899"/>
    <mergeCell ref="Y899:Z899"/>
    <mergeCell ref="B900:D900"/>
    <mergeCell ref="E900:F900"/>
    <mergeCell ref="G900:I900"/>
    <mergeCell ref="N900:O900"/>
    <mergeCell ref="P900:R900"/>
    <mergeCell ref="T900:U900"/>
    <mergeCell ref="Y900:Z900"/>
    <mergeCell ref="B901:D901"/>
    <mergeCell ref="E901:F901"/>
    <mergeCell ref="G901:I901"/>
    <mergeCell ref="N901:O901"/>
    <mergeCell ref="P901:R901"/>
    <mergeCell ref="T901:U901"/>
    <mergeCell ref="Y901:Z901"/>
    <mergeCell ref="B902:D902"/>
    <mergeCell ref="E902:F902"/>
    <mergeCell ref="G902:I902"/>
    <mergeCell ref="N902:O902"/>
    <mergeCell ref="P902:R902"/>
    <mergeCell ref="T902:U902"/>
    <mergeCell ref="Y902:Z902"/>
    <mergeCell ref="B903:D903"/>
    <mergeCell ref="E903:F903"/>
    <mergeCell ref="G903:I903"/>
    <mergeCell ref="N903:O903"/>
    <mergeCell ref="P903:R903"/>
    <mergeCell ref="T903:U903"/>
    <mergeCell ref="Y903:Z903"/>
    <mergeCell ref="B904:D904"/>
    <mergeCell ref="E904:F904"/>
    <mergeCell ref="G904:I904"/>
    <mergeCell ref="N904:O904"/>
    <mergeCell ref="P904:R904"/>
    <mergeCell ref="T904:U904"/>
    <mergeCell ref="Y904:Z904"/>
    <mergeCell ref="B905:D905"/>
    <mergeCell ref="E905:F905"/>
    <mergeCell ref="G905:I905"/>
    <mergeCell ref="N905:O905"/>
    <mergeCell ref="P905:R905"/>
    <mergeCell ref="T905:U905"/>
    <mergeCell ref="Y905:Z905"/>
    <mergeCell ref="B906:D906"/>
    <mergeCell ref="E906:F906"/>
    <mergeCell ref="G906:I906"/>
    <mergeCell ref="N906:O906"/>
    <mergeCell ref="P906:R906"/>
    <mergeCell ref="T906:U906"/>
    <mergeCell ref="Y906:Z906"/>
    <mergeCell ref="B907:D907"/>
    <mergeCell ref="E907:F907"/>
    <mergeCell ref="G907:I907"/>
    <mergeCell ref="N907:O907"/>
    <mergeCell ref="P907:R907"/>
    <mergeCell ref="T907:U907"/>
    <mergeCell ref="Y907:Z907"/>
    <mergeCell ref="B908:D908"/>
    <mergeCell ref="E908:F908"/>
    <mergeCell ref="G908:I908"/>
    <mergeCell ref="N908:O908"/>
    <mergeCell ref="P908:R908"/>
    <mergeCell ref="T908:U908"/>
    <mergeCell ref="Y908:Z908"/>
    <mergeCell ref="B909:D909"/>
    <mergeCell ref="E909:F909"/>
    <mergeCell ref="G909:I909"/>
    <mergeCell ref="N909:O909"/>
    <mergeCell ref="P909:R909"/>
    <mergeCell ref="T909:U909"/>
    <mergeCell ref="Y909:Z909"/>
    <mergeCell ref="B910:D910"/>
    <mergeCell ref="E910:F910"/>
    <mergeCell ref="G910:I910"/>
    <mergeCell ref="N910:O910"/>
    <mergeCell ref="P910:R910"/>
    <mergeCell ref="T910:U910"/>
    <mergeCell ref="Y910:Z910"/>
    <mergeCell ref="B911:D911"/>
    <mergeCell ref="E911:F911"/>
    <mergeCell ref="G911:I911"/>
    <mergeCell ref="N911:O911"/>
    <mergeCell ref="P911:R911"/>
    <mergeCell ref="T911:U911"/>
    <mergeCell ref="Y911:Z911"/>
    <mergeCell ref="B912:D912"/>
    <mergeCell ref="E912:F912"/>
    <mergeCell ref="G912:I912"/>
    <mergeCell ref="N912:O912"/>
    <mergeCell ref="P912:R912"/>
    <mergeCell ref="T912:U912"/>
    <mergeCell ref="Y912:Z912"/>
    <mergeCell ref="B913:D913"/>
    <mergeCell ref="E913:F913"/>
    <mergeCell ref="G913:I913"/>
    <mergeCell ref="N913:O913"/>
    <mergeCell ref="P913:R913"/>
    <mergeCell ref="T913:U913"/>
    <mergeCell ref="Y913:Z913"/>
    <mergeCell ref="B914:D914"/>
    <mergeCell ref="E914:F914"/>
    <mergeCell ref="G914:I914"/>
    <mergeCell ref="N914:O914"/>
    <mergeCell ref="P914:R914"/>
    <mergeCell ref="T914:U914"/>
    <mergeCell ref="Y914:Z914"/>
    <mergeCell ref="B915:D915"/>
    <mergeCell ref="E915:F915"/>
    <mergeCell ref="G915:I915"/>
    <mergeCell ref="N915:O915"/>
    <mergeCell ref="P915:R915"/>
    <mergeCell ref="T915:U915"/>
    <mergeCell ref="Y915:Z915"/>
    <mergeCell ref="B916:D916"/>
    <mergeCell ref="E916:F916"/>
    <mergeCell ref="G916:I916"/>
    <mergeCell ref="N916:O916"/>
    <mergeCell ref="P916:R916"/>
    <mergeCell ref="T916:U916"/>
    <mergeCell ref="Y916:Z916"/>
    <mergeCell ref="B917:D917"/>
    <mergeCell ref="E917:F917"/>
    <mergeCell ref="G917:I917"/>
    <mergeCell ref="N917:O917"/>
    <mergeCell ref="P917:R917"/>
    <mergeCell ref="T917:U917"/>
    <mergeCell ref="Y917:Z917"/>
    <mergeCell ref="B918:D918"/>
    <mergeCell ref="E918:F918"/>
    <mergeCell ref="G918:I918"/>
    <mergeCell ref="N918:O918"/>
    <mergeCell ref="P918:R918"/>
    <mergeCell ref="T918:U918"/>
    <mergeCell ref="Y918:Z918"/>
    <mergeCell ref="B919:D919"/>
    <mergeCell ref="E919:F919"/>
    <mergeCell ref="G919:I919"/>
    <mergeCell ref="N919:O919"/>
    <mergeCell ref="P919:R919"/>
    <mergeCell ref="T919:U919"/>
    <mergeCell ref="Y919:Z919"/>
    <mergeCell ref="B920:D920"/>
    <mergeCell ref="E920:F920"/>
    <mergeCell ref="G920:I920"/>
    <mergeCell ref="N920:O920"/>
    <mergeCell ref="P920:R920"/>
    <mergeCell ref="T920:U920"/>
    <mergeCell ref="Y920:Z920"/>
    <mergeCell ref="B921:D921"/>
    <mergeCell ref="E921:F921"/>
    <mergeCell ref="G921:I921"/>
    <mergeCell ref="N921:O921"/>
    <mergeCell ref="P921:R921"/>
    <mergeCell ref="T921:U921"/>
    <mergeCell ref="Y921:Z921"/>
    <mergeCell ref="B922:D922"/>
    <mergeCell ref="E922:F922"/>
    <mergeCell ref="G922:I922"/>
    <mergeCell ref="N922:O922"/>
    <mergeCell ref="P922:R922"/>
    <mergeCell ref="T922:U922"/>
    <mergeCell ref="Y922:Z922"/>
    <mergeCell ref="B923:D923"/>
    <mergeCell ref="E923:F923"/>
    <mergeCell ref="G923:I923"/>
    <mergeCell ref="N923:O923"/>
    <mergeCell ref="P923:R923"/>
    <mergeCell ref="T923:U923"/>
    <mergeCell ref="Y923:Z923"/>
    <mergeCell ref="B924:D924"/>
    <mergeCell ref="E924:F924"/>
    <mergeCell ref="G924:I924"/>
    <mergeCell ref="N924:O924"/>
    <mergeCell ref="P924:R924"/>
    <mergeCell ref="T924:U924"/>
    <mergeCell ref="Y924:Z924"/>
    <mergeCell ref="B925:D925"/>
    <mergeCell ref="E925:F925"/>
    <mergeCell ref="G925:I925"/>
    <mergeCell ref="N925:O925"/>
    <mergeCell ref="P925:R925"/>
    <mergeCell ref="T925:U925"/>
    <mergeCell ref="Y925:Z925"/>
    <mergeCell ref="B926:D926"/>
    <mergeCell ref="E926:F926"/>
    <mergeCell ref="G926:I926"/>
    <mergeCell ref="N926:O926"/>
    <mergeCell ref="P926:R926"/>
    <mergeCell ref="T926:U926"/>
    <mergeCell ref="Y926:Z926"/>
    <mergeCell ref="B927:D927"/>
    <mergeCell ref="E927:F927"/>
    <mergeCell ref="G927:I927"/>
    <mergeCell ref="N927:O927"/>
    <mergeCell ref="P927:R927"/>
    <mergeCell ref="T927:U927"/>
    <mergeCell ref="Y927:Z927"/>
    <mergeCell ref="B928:D928"/>
    <mergeCell ref="E928:F928"/>
    <mergeCell ref="G928:I928"/>
    <mergeCell ref="N928:O928"/>
    <mergeCell ref="P928:R928"/>
    <mergeCell ref="T928:U928"/>
    <mergeCell ref="Y928:Z928"/>
    <mergeCell ref="B929:D929"/>
    <mergeCell ref="E929:F929"/>
    <mergeCell ref="G929:I929"/>
    <mergeCell ref="N929:O929"/>
    <mergeCell ref="P929:R929"/>
    <mergeCell ref="T929:U929"/>
    <mergeCell ref="Y929:Z929"/>
    <mergeCell ref="B930:D930"/>
    <mergeCell ref="E930:F930"/>
    <mergeCell ref="G930:I930"/>
    <mergeCell ref="N930:O930"/>
    <mergeCell ref="P930:R930"/>
    <mergeCell ref="T930:U930"/>
    <mergeCell ref="Y930:Z930"/>
    <mergeCell ref="B931:D931"/>
    <mergeCell ref="E931:F931"/>
    <mergeCell ref="G931:I931"/>
    <mergeCell ref="N931:O931"/>
    <mergeCell ref="P931:R931"/>
    <mergeCell ref="T931:U931"/>
    <mergeCell ref="Y931:Z931"/>
    <mergeCell ref="B932:D932"/>
    <mergeCell ref="E932:F932"/>
    <mergeCell ref="G932:I932"/>
    <mergeCell ref="N932:O932"/>
    <mergeCell ref="P932:R932"/>
    <mergeCell ref="T932:U932"/>
    <mergeCell ref="Y932:Z932"/>
    <mergeCell ref="B933:D933"/>
    <mergeCell ref="E933:F933"/>
    <mergeCell ref="G933:I933"/>
    <mergeCell ref="N933:O933"/>
    <mergeCell ref="P933:R933"/>
    <mergeCell ref="T933:U933"/>
    <mergeCell ref="Y933:Z933"/>
    <mergeCell ref="B934:D934"/>
    <mergeCell ref="E934:F934"/>
    <mergeCell ref="G934:I934"/>
    <mergeCell ref="N934:O934"/>
    <mergeCell ref="P934:R934"/>
    <mergeCell ref="T934:U934"/>
    <mergeCell ref="Y934:Z934"/>
    <mergeCell ref="B935:D935"/>
    <mergeCell ref="E935:F935"/>
    <mergeCell ref="G935:I935"/>
    <mergeCell ref="N935:O935"/>
    <mergeCell ref="P935:R935"/>
    <mergeCell ref="T935:U935"/>
    <mergeCell ref="Y935:Z935"/>
    <mergeCell ref="B936:D936"/>
    <mergeCell ref="E936:F936"/>
    <mergeCell ref="G936:I936"/>
    <mergeCell ref="N936:O936"/>
    <mergeCell ref="P936:R936"/>
    <mergeCell ref="T936:U936"/>
    <mergeCell ref="Y936:Z936"/>
    <mergeCell ref="B937:D937"/>
    <mergeCell ref="E937:F937"/>
    <mergeCell ref="G937:I937"/>
    <mergeCell ref="N937:O937"/>
    <mergeCell ref="P937:R937"/>
    <mergeCell ref="T937:U937"/>
    <mergeCell ref="Y937:Z937"/>
    <mergeCell ref="B938:D938"/>
    <mergeCell ref="E938:F938"/>
    <mergeCell ref="G938:I938"/>
    <mergeCell ref="N938:O938"/>
    <mergeCell ref="P938:R938"/>
    <mergeCell ref="T938:U938"/>
    <mergeCell ref="Y938:Z938"/>
    <mergeCell ref="B939:D939"/>
    <mergeCell ref="E939:F939"/>
    <mergeCell ref="G939:I939"/>
    <mergeCell ref="N939:O939"/>
    <mergeCell ref="P939:R939"/>
    <mergeCell ref="T939:U939"/>
    <mergeCell ref="Y939:Z939"/>
    <mergeCell ref="B940:D940"/>
    <mergeCell ref="E940:F940"/>
    <mergeCell ref="G940:I940"/>
    <mergeCell ref="N940:O940"/>
    <mergeCell ref="P940:R940"/>
    <mergeCell ref="T940:U940"/>
    <mergeCell ref="Y940:Z940"/>
    <mergeCell ref="B941:D941"/>
    <mergeCell ref="E941:F941"/>
    <mergeCell ref="G941:I941"/>
    <mergeCell ref="N941:O941"/>
    <mergeCell ref="P941:R941"/>
    <mergeCell ref="T941:U941"/>
    <mergeCell ref="Y941:Z941"/>
    <mergeCell ref="B942:D942"/>
    <mergeCell ref="E942:F942"/>
    <mergeCell ref="G942:I942"/>
    <mergeCell ref="N942:O942"/>
    <mergeCell ref="P942:R942"/>
    <mergeCell ref="T942:U942"/>
    <mergeCell ref="Y942:Z942"/>
    <mergeCell ref="B943:D943"/>
    <mergeCell ref="E943:F943"/>
    <mergeCell ref="G943:I943"/>
    <mergeCell ref="N943:O943"/>
    <mergeCell ref="P943:R943"/>
    <mergeCell ref="T943:U943"/>
    <mergeCell ref="Y943:Z943"/>
    <mergeCell ref="B944:D944"/>
    <mergeCell ref="E944:F944"/>
    <mergeCell ref="G944:I944"/>
    <mergeCell ref="N944:O944"/>
    <mergeCell ref="P944:R944"/>
    <mergeCell ref="T944:U944"/>
    <mergeCell ref="Y944:Z944"/>
    <mergeCell ref="B945:D945"/>
    <mergeCell ref="E945:F945"/>
    <mergeCell ref="G945:I945"/>
    <mergeCell ref="N945:O945"/>
    <mergeCell ref="P945:R945"/>
    <mergeCell ref="T945:U945"/>
    <mergeCell ref="Y945:Z945"/>
    <mergeCell ref="B946:D946"/>
    <mergeCell ref="E946:F946"/>
    <mergeCell ref="G946:I946"/>
    <mergeCell ref="N946:O946"/>
    <mergeCell ref="P946:R946"/>
    <mergeCell ref="T946:U946"/>
    <mergeCell ref="Y946:Z946"/>
    <mergeCell ref="B947:D947"/>
    <mergeCell ref="E947:F947"/>
    <mergeCell ref="G947:I947"/>
    <mergeCell ref="N947:O947"/>
    <mergeCell ref="P947:R947"/>
    <mergeCell ref="T947:U947"/>
    <mergeCell ref="Y947:Z947"/>
    <mergeCell ref="B948:D948"/>
    <mergeCell ref="E948:F948"/>
    <mergeCell ref="G948:I948"/>
    <mergeCell ref="N948:O948"/>
    <mergeCell ref="P948:R948"/>
    <mergeCell ref="T948:U948"/>
    <mergeCell ref="Y948:Z948"/>
    <mergeCell ref="B949:D949"/>
    <mergeCell ref="E949:F949"/>
    <mergeCell ref="G949:I949"/>
    <mergeCell ref="N949:O949"/>
    <mergeCell ref="P949:R949"/>
    <mergeCell ref="T949:U949"/>
    <mergeCell ref="Y949:Z949"/>
    <mergeCell ref="B950:D950"/>
    <mergeCell ref="E950:F950"/>
    <mergeCell ref="G950:I950"/>
    <mergeCell ref="N950:O950"/>
    <mergeCell ref="P950:R950"/>
    <mergeCell ref="T950:U950"/>
    <mergeCell ref="Y950:Z950"/>
    <mergeCell ref="B951:D951"/>
    <mergeCell ref="E951:F951"/>
    <mergeCell ref="G951:I951"/>
    <mergeCell ref="N951:O951"/>
    <mergeCell ref="P951:R951"/>
    <mergeCell ref="T951:U951"/>
    <mergeCell ref="Y951:Z951"/>
    <mergeCell ref="B952:D952"/>
    <mergeCell ref="E952:F952"/>
    <mergeCell ref="G952:I952"/>
    <mergeCell ref="N952:O952"/>
    <mergeCell ref="P952:R952"/>
    <mergeCell ref="T952:U952"/>
    <mergeCell ref="Y952:Z952"/>
    <mergeCell ref="B953:D953"/>
    <mergeCell ref="E953:F953"/>
    <mergeCell ref="G953:I953"/>
    <mergeCell ref="N953:O953"/>
    <mergeCell ref="P953:R953"/>
    <mergeCell ref="T953:U953"/>
    <mergeCell ref="Y953:Z953"/>
    <mergeCell ref="B954:D954"/>
    <mergeCell ref="E954:F954"/>
    <mergeCell ref="G954:I954"/>
    <mergeCell ref="N954:O954"/>
    <mergeCell ref="P954:R954"/>
    <mergeCell ref="T954:U954"/>
    <mergeCell ref="Y954:Z954"/>
    <mergeCell ref="B955:D955"/>
    <mergeCell ref="E955:F955"/>
    <mergeCell ref="G955:I955"/>
    <mergeCell ref="N955:O955"/>
    <mergeCell ref="P955:R955"/>
    <mergeCell ref="T955:U955"/>
    <mergeCell ref="Y955:Z955"/>
    <mergeCell ref="B956:D956"/>
    <mergeCell ref="E956:F956"/>
    <mergeCell ref="G956:I956"/>
    <mergeCell ref="N956:O956"/>
    <mergeCell ref="P956:R956"/>
    <mergeCell ref="T956:U956"/>
    <mergeCell ref="Y956:Z956"/>
    <mergeCell ref="B957:D957"/>
    <mergeCell ref="E957:F957"/>
    <mergeCell ref="G957:I957"/>
    <mergeCell ref="N957:O957"/>
    <mergeCell ref="P957:R957"/>
    <mergeCell ref="T957:U957"/>
    <mergeCell ref="Y957:Z957"/>
    <mergeCell ref="B958:D958"/>
    <mergeCell ref="E958:F958"/>
    <mergeCell ref="G958:I958"/>
    <mergeCell ref="N958:O958"/>
    <mergeCell ref="P958:R958"/>
    <mergeCell ref="T958:U958"/>
    <mergeCell ref="Y958:Z958"/>
    <mergeCell ref="B959:D959"/>
    <mergeCell ref="E959:F959"/>
    <mergeCell ref="G959:I959"/>
    <mergeCell ref="N959:O959"/>
    <mergeCell ref="P959:R959"/>
    <mergeCell ref="T959:U959"/>
    <mergeCell ref="Y959:Z959"/>
    <mergeCell ref="B960:D960"/>
    <mergeCell ref="E960:F960"/>
    <mergeCell ref="G960:I960"/>
    <mergeCell ref="N960:O960"/>
    <mergeCell ref="P960:R960"/>
    <mergeCell ref="T960:U960"/>
    <mergeCell ref="Y960:Z960"/>
    <mergeCell ref="B961:D961"/>
    <mergeCell ref="E961:F961"/>
    <mergeCell ref="G961:I961"/>
    <mergeCell ref="N961:O961"/>
    <mergeCell ref="P961:R961"/>
    <mergeCell ref="T961:U961"/>
    <mergeCell ref="Y961:Z961"/>
    <mergeCell ref="B962:D962"/>
    <mergeCell ref="E962:F962"/>
    <mergeCell ref="G962:I962"/>
    <mergeCell ref="N962:O962"/>
    <mergeCell ref="P962:R962"/>
    <mergeCell ref="T962:U962"/>
    <mergeCell ref="Y962:Z962"/>
    <mergeCell ref="B963:D963"/>
    <mergeCell ref="E963:F963"/>
    <mergeCell ref="G963:I963"/>
    <mergeCell ref="N963:O963"/>
    <mergeCell ref="P963:R963"/>
    <mergeCell ref="T963:U963"/>
    <mergeCell ref="Y963:Z963"/>
    <mergeCell ref="B964:D964"/>
    <mergeCell ref="E964:F964"/>
    <mergeCell ref="G964:I964"/>
    <mergeCell ref="N964:O964"/>
    <mergeCell ref="P964:R964"/>
    <mergeCell ref="T964:U964"/>
    <mergeCell ref="Y964:Z964"/>
    <mergeCell ref="B965:D965"/>
    <mergeCell ref="E965:F965"/>
    <mergeCell ref="G965:I965"/>
    <mergeCell ref="N965:O965"/>
    <mergeCell ref="P965:R965"/>
    <mergeCell ref="T965:U965"/>
    <mergeCell ref="Y965:Z965"/>
    <mergeCell ref="B966:D966"/>
    <mergeCell ref="E966:F966"/>
    <mergeCell ref="G966:I966"/>
    <mergeCell ref="N966:O966"/>
    <mergeCell ref="P966:R966"/>
    <mergeCell ref="T966:U966"/>
    <mergeCell ref="Y966:Z966"/>
    <mergeCell ref="B967:D967"/>
    <mergeCell ref="E967:F967"/>
    <mergeCell ref="G967:I967"/>
    <mergeCell ref="N967:O967"/>
    <mergeCell ref="P967:R967"/>
    <mergeCell ref="T967:U967"/>
    <mergeCell ref="Y967:Z967"/>
    <mergeCell ref="B968:D968"/>
    <mergeCell ref="E968:F968"/>
    <mergeCell ref="G968:I968"/>
    <mergeCell ref="N968:O968"/>
    <mergeCell ref="P968:R968"/>
    <mergeCell ref="T968:U968"/>
    <mergeCell ref="Y968:Z968"/>
    <mergeCell ref="B969:D969"/>
    <mergeCell ref="E969:F969"/>
    <mergeCell ref="G969:I969"/>
    <mergeCell ref="N969:O969"/>
    <mergeCell ref="P969:R969"/>
    <mergeCell ref="T969:U969"/>
    <mergeCell ref="Y969:Z969"/>
    <mergeCell ref="B970:D970"/>
    <mergeCell ref="E970:F970"/>
    <mergeCell ref="G970:I970"/>
    <mergeCell ref="N970:O970"/>
    <mergeCell ref="P970:R970"/>
    <mergeCell ref="T970:U970"/>
    <mergeCell ref="Y970:Z970"/>
    <mergeCell ref="B971:D971"/>
    <mergeCell ref="E971:F971"/>
    <mergeCell ref="G971:I971"/>
    <mergeCell ref="N971:O971"/>
    <mergeCell ref="P971:R971"/>
    <mergeCell ref="T971:U971"/>
    <mergeCell ref="Y971:Z971"/>
    <mergeCell ref="B972:D972"/>
    <mergeCell ref="E972:F972"/>
    <mergeCell ref="G972:I972"/>
    <mergeCell ref="N972:O972"/>
    <mergeCell ref="P972:R972"/>
    <mergeCell ref="T972:U972"/>
    <mergeCell ref="Y972:Z972"/>
    <mergeCell ref="B973:D973"/>
    <mergeCell ref="E973:F973"/>
    <mergeCell ref="G973:I973"/>
    <mergeCell ref="N973:O973"/>
    <mergeCell ref="P973:R973"/>
    <mergeCell ref="T973:U973"/>
    <mergeCell ref="Y973:Z973"/>
    <mergeCell ref="B974:D974"/>
    <mergeCell ref="E974:F974"/>
    <mergeCell ref="G974:I974"/>
    <mergeCell ref="N974:O974"/>
    <mergeCell ref="P974:R974"/>
    <mergeCell ref="T974:U974"/>
    <mergeCell ref="Y974:Z974"/>
    <mergeCell ref="B975:D975"/>
    <mergeCell ref="E975:F975"/>
    <mergeCell ref="G975:I975"/>
    <mergeCell ref="N975:O975"/>
    <mergeCell ref="P975:R975"/>
    <mergeCell ref="T975:U975"/>
    <mergeCell ref="Y975:Z975"/>
    <mergeCell ref="B976:D976"/>
    <mergeCell ref="E976:F976"/>
    <mergeCell ref="G976:I976"/>
    <mergeCell ref="N976:O976"/>
    <mergeCell ref="P976:R976"/>
    <mergeCell ref="T976:U976"/>
    <mergeCell ref="Y976:Z976"/>
    <mergeCell ref="B979:D979"/>
    <mergeCell ref="E979:F979"/>
    <mergeCell ref="G979:I979"/>
    <mergeCell ref="N979:O979"/>
    <mergeCell ref="P979:R979"/>
    <mergeCell ref="T979:U979"/>
    <mergeCell ref="Y979:Z979"/>
    <mergeCell ref="B980:D980"/>
    <mergeCell ref="E980:F980"/>
    <mergeCell ref="G980:I980"/>
    <mergeCell ref="N980:O980"/>
    <mergeCell ref="P980:R980"/>
    <mergeCell ref="T980:U980"/>
    <mergeCell ref="Y980:Z980"/>
    <mergeCell ref="B981:D981"/>
    <mergeCell ref="E981:F981"/>
    <mergeCell ref="G981:I981"/>
    <mergeCell ref="N981:O981"/>
    <mergeCell ref="P981:R981"/>
    <mergeCell ref="T981:U981"/>
    <mergeCell ref="Y981:Z981"/>
    <mergeCell ref="B982:D982"/>
    <mergeCell ref="E982:F982"/>
    <mergeCell ref="G982:I982"/>
    <mergeCell ref="N982:O982"/>
    <mergeCell ref="P982:R982"/>
    <mergeCell ref="T982:U982"/>
    <mergeCell ref="Y982:Z982"/>
    <mergeCell ref="B983:D983"/>
    <mergeCell ref="E983:F983"/>
    <mergeCell ref="G983:I983"/>
    <mergeCell ref="N983:O983"/>
    <mergeCell ref="P983:R983"/>
    <mergeCell ref="T983:U983"/>
    <mergeCell ref="Y983:Z983"/>
    <mergeCell ref="B984:D984"/>
    <mergeCell ref="E984:F984"/>
    <mergeCell ref="G984:I984"/>
    <mergeCell ref="N984:O984"/>
    <mergeCell ref="P984:R984"/>
    <mergeCell ref="T984:U984"/>
    <mergeCell ref="Y984:Z984"/>
    <mergeCell ref="B985:D985"/>
    <mergeCell ref="E985:F985"/>
    <mergeCell ref="G985:I985"/>
    <mergeCell ref="N985:O985"/>
    <mergeCell ref="P985:R985"/>
    <mergeCell ref="T985:U985"/>
    <mergeCell ref="Y985:Z985"/>
    <mergeCell ref="B986:D986"/>
    <mergeCell ref="E986:F986"/>
    <mergeCell ref="G986:I986"/>
    <mergeCell ref="N986:O986"/>
    <mergeCell ref="P986:R986"/>
    <mergeCell ref="T986:U986"/>
    <mergeCell ref="Y986:Z986"/>
    <mergeCell ref="B987:D987"/>
    <mergeCell ref="E987:F987"/>
    <mergeCell ref="G987:I987"/>
    <mergeCell ref="N987:O987"/>
    <mergeCell ref="P987:R987"/>
    <mergeCell ref="T987:U987"/>
    <mergeCell ref="Y987:Z987"/>
    <mergeCell ref="B988:D988"/>
    <mergeCell ref="E988:F988"/>
    <mergeCell ref="G988:I988"/>
    <mergeCell ref="N988:O988"/>
    <mergeCell ref="P988:R988"/>
    <mergeCell ref="T988:U988"/>
    <mergeCell ref="Y988:Z988"/>
    <mergeCell ref="B989:D989"/>
    <mergeCell ref="E989:F989"/>
    <mergeCell ref="G989:I989"/>
    <mergeCell ref="N989:O989"/>
    <mergeCell ref="P989:R989"/>
    <mergeCell ref="T989:U989"/>
    <mergeCell ref="Y989:Z989"/>
    <mergeCell ref="B990:D990"/>
    <mergeCell ref="E990:F990"/>
    <mergeCell ref="G990:I990"/>
    <mergeCell ref="N990:O990"/>
    <mergeCell ref="P990:R990"/>
    <mergeCell ref="T990:U990"/>
    <mergeCell ref="Y990:Z990"/>
    <mergeCell ref="B991:D991"/>
    <mergeCell ref="E991:F991"/>
    <mergeCell ref="G991:I991"/>
    <mergeCell ref="N991:O991"/>
    <mergeCell ref="P991:R991"/>
    <mergeCell ref="T991:U991"/>
    <mergeCell ref="Y991:Z991"/>
    <mergeCell ref="B992:D992"/>
    <mergeCell ref="E992:F992"/>
    <mergeCell ref="G992:I992"/>
    <mergeCell ref="N992:O992"/>
    <mergeCell ref="P992:R992"/>
    <mergeCell ref="T992:U992"/>
    <mergeCell ref="Y992:Z992"/>
    <mergeCell ref="B993:D993"/>
    <mergeCell ref="E993:F993"/>
    <mergeCell ref="G993:I993"/>
    <mergeCell ref="N993:O993"/>
    <mergeCell ref="P993:R993"/>
    <mergeCell ref="T993:U993"/>
    <mergeCell ref="Y993:Z993"/>
    <mergeCell ref="B994:D994"/>
    <mergeCell ref="E994:F994"/>
    <mergeCell ref="G994:I994"/>
    <mergeCell ref="N994:O994"/>
    <mergeCell ref="P994:R994"/>
    <mergeCell ref="T994:U994"/>
    <mergeCell ref="Y994:Z994"/>
    <mergeCell ref="B995:D995"/>
    <mergeCell ref="E995:F995"/>
    <mergeCell ref="G995:I995"/>
    <mergeCell ref="N995:O995"/>
    <mergeCell ref="P995:R995"/>
    <mergeCell ref="T995:U995"/>
    <mergeCell ref="Y995:Z995"/>
    <mergeCell ref="B996:D996"/>
    <mergeCell ref="E996:F996"/>
    <mergeCell ref="G996:I996"/>
    <mergeCell ref="N996:O996"/>
    <mergeCell ref="P996:R996"/>
    <mergeCell ref="T996:U996"/>
    <mergeCell ref="Y996:Z996"/>
    <mergeCell ref="B997:D997"/>
    <mergeCell ref="E997:F997"/>
    <mergeCell ref="G997:I997"/>
    <mergeCell ref="N997:O997"/>
    <mergeCell ref="P997:R997"/>
    <mergeCell ref="T997:U997"/>
    <mergeCell ref="Y997:Z997"/>
    <mergeCell ref="B998:D998"/>
    <mergeCell ref="E998:F998"/>
    <mergeCell ref="G998:I998"/>
    <mergeCell ref="N998:O998"/>
    <mergeCell ref="P998:R998"/>
    <mergeCell ref="T998:U998"/>
    <mergeCell ref="Y998:Z998"/>
    <mergeCell ref="B999:D999"/>
    <mergeCell ref="E999:F999"/>
    <mergeCell ref="G999:I999"/>
    <mergeCell ref="N999:O999"/>
    <mergeCell ref="P999:R999"/>
    <mergeCell ref="T999:U999"/>
    <mergeCell ref="Y999:Z999"/>
    <mergeCell ref="B1000:D1000"/>
    <mergeCell ref="E1000:F1000"/>
    <mergeCell ref="G1000:I1000"/>
    <mergeCell ref="N1000:O1000"/>
    <mergeCell ref="P1000:R1000"/>
    <mergeCell ref="T1000:U1000"/>
    <mergeCell ref="Y1000:Z1000"/>
    <mergeCell ref="B1001:D1001"/>
    <mergeCell ref="E1001:F1001"/>
    <mergeCell ref="G1001:I1001"/>
    <mergeCell ref="N1001:O1001"/>
    <mergeCell ref="P1001:R1001"/>
    <mergeCell ref="T1001:U1001"/>
    <mergeCell ref="Y1001:Z1001"/>
    <mergeCell ref="B1002:D1002"/>
    <mergeCell ref="E1002:F1002"/>
    <mergeCell ref="G1002:I1002"/>
    <mergeCell ref="N1002:O1002"/>
    <mergeCell ref="P1002:R1002"/>
    <mergeCell ref="T1002:U1002"/>
    <mergeCell ref="Y1002:Z1002"/>
    <mergeCell ref="B1003:D1003"/>
    <mergeCell ref="E1003:F1003"/>
    <mergeCell ref="G1003:I1003"/>
    <mergeCell ref="N1003:O1003"/>
    <mergeCell ref="P1003:R1003"/>
    <mergeCell ref="T1003:U1003"/>
    <mergeCell ref="Y1003:Z1003"/>
    <mergeCell ref="B1004:D1004"/>
    <mergeCell ref="E1004:F1004"/>
    <mergeCell ref="G1004:I1004"/>
    <mergeCell ref="N1004:O1004"/>
    <mergeCell ref="P1004:R1004"/>
    <mergeCell ref="T1004:U1004"/>
    <mergeCell ref="Y1004:Z1004"/>
    <mergeCell ref="B1005:D1005"/>
    <mergeCell ref="E1005:F1005"/>
    <mergeCell ref="G1005:I1005"/>
    <mergeCell ref="N1005:O1005"/>
    <mergeCell ref="P1005:R1005"/>
    <mergeCell ref="T1005:U1005"/>
    <mergeCell ref="Y1005:Z1005"/>
    <mergeCell ref="B1006:D1006"/>
    <mergeCell ref="E1006:F1006"/>
    <mergeCell ref="G1006:I1006"/>
    <mergeCell ref="N1006:O1006"/>
    <mergeCell ref="P1006:R1006"/>
    <mergeCell ref="T1006:U1006"/>
    <mergeCell ref="Y1006:Z1006"/>
    <mergeCell ref="B1007:D1007"/>
    <mergeCell ref="E1007:F1007"/>
    <mergeCell ref="G1007:I1007"/>
    <mergeCell ref="N1007:O1007"/>
    <mergeCell ref="P1007:R1007"/>
    <mergeCell ref="T1007:U1007"/>
    <mergeCell ref="Y1007:Z1007"/>
    <mergeCell ref="B1008:D1008"/>
    <mergeCell ref="E1008:F1008"/>
    <mergeCell ref="G1008:I1008"/>
    <mergeCell ref="N1008:O1008"/>
    <mergeCell ref="P1008:R1008"/>
    <mergeCell ref="T1008:U1008"/>
    <mergeCell ref="Y1008:Z1008"/>
    <mergeCell ref="B1009:D1009"/>
    <mergeCell ref="E1009:F1009"/>
    <mergeCell ref="G1009:I1009"/>
    <mergeCell ref="N1009:O1009"/>
    <mergeCell ref="P1009:R1009"/>
    <mergeCell ref="T1009:U1009"/>
    <mergeCell ref="Y1009:Z1009"/>
    <mergeCell ref="B1010:D1010"/>
    <mergeCell ref="E1010:F1010"/>
    <mergeCell ref="G1010:I1010"/>
    <mergeCell ref="N1010:O1010"/>
    <mergeCell ref="P1010:R1010"/>
    <mergeCell ref="T1010:U1010"/>
    <mergeCell ref="Y1010:Z1010"/>
    <mergeCell ref="B1011:D1011"/>
    <mergeCell ref="E1011:F1011"/>
    <mergeCell ref="G1011:I1011"/>
    <mergeCell ref="N1011:O1011"/>
    <mergeCell ref="P1011:R1011"/>
    <mergeCell ref="T1011:U1011"/>
    <mergeCell ref="Y1011:Z1011"/>
    <mergeCell ref="B1012:D1012"/>
    <mergeCell ref="E1012:F1012"/>
    <mergeCell ref="G1012:I1012"/>
    <mergeCell ref="N1012:O1012"/>
    <mergeCell ref="P1012:R1012"/>
    <mergeCell ref="T1012:U1012"/>
    <mergeCell ref="Y1012:Z1012"/>
    <mergeCell ref="B1013:D1013"/>
    <mergeCell ref="E1013:F1013"/>
    <mergeCell ref="G1013:I1013"/>
    <mergeCell ref="N1013:O1013"/>
    <mergeCell ref="P1013:R1013"/>
    <mergeCell ref="T1013:U1013"/>
    <mergeCell ref="Y1013:Z1013"/>
    <mergeCell ref="B1014:D1014"/>
    <mergeCell ref="E1014:F1014"/>
    <mergeCell ref="G1014:I1014"/>
    <mergeCell ref="N1014:O1014"/>
    <mergeCell ref="P1014:R1014"/>
    <mergeCell ref="T1014:U1014"/>
    <mergeCell ref="Y1014:Z1014"/>
    <mergeCell ref="B1015:D1015"/>
    <mergeCell ref="E1015:F1015"/>
    <mergeCell ref="G1015:I1015"/>
    <mergeCell ref="N1015:O1015"/>
    <mergeCell ref="P1015:R1015"/>
    <mergeCell ref="T1015:U1015"/>
    <mergeCell ref="Y1015:Z1015"/>
    <mergeCell ref="B1016:D1016"/>
    <mergeCell ref="E1016:F1016"/>
    <mergeCell ref="G1016:I1016"/>
    <mergeCell ref="N1016:O1016"/>
    <mergeCell ref="P1016:R1016"/>
    <mergeCell ref="T1016:U1016"/>
    <mergeCell ref="Y1016:Z1016"/>
    <mergeCell ref="B1017:D1017"/>
    <mergeCell ref="E1017:F1017"/>
    <mergeCell ref="G1017:I1017"/>
    <mergeCell ref="N1017:O1017"/>
    <mergeCell ref="P1017:R1017"/>
    <mergeCell ref="T1017:U1017"/>
    <mergeCell ref="Y1017:Z1017"/>
    <mergeCell ref="B1018:D1018"/>
    <mergeCell ref="E1018:F1018"/>
    <mergeCell ref="G1018:I1018"/>
    <mergeCell ref="N1018:O1018"/>
    <mergeCell ref="P1018:R1018"/>
    <mergeCell ref="T1018:U1018"/>
    <mergeCell ref="Y1018:Z1018"/>
    <mergeCell ref="B1019:D1019"/>
    <mergeCell ref="E1019:F1019"/>
    <mergeCell ref="G1019:I1019"/>
    <mergeCell ref="N1019:O1019"/>
    <mergeCell ref="P1019:R1019"/>
    <mergeCell ref="T1019:U1019"/>
    <mergeCell ref="Y1019:Z1019"/>
    <mergeCell ref="B1020:D1020"/>
    <mergeCell ref="E1020:F1020"/>
    <mergeCell ref="G1020:I1020"/>
    <mergeCell ref="N1020:O1020"/>
    <mergeCell ref="P1020:R1020"/>
    <mergeCell ref="T1020:U1020"/>
    <mergeCell ref="Y1020:Z1020"/>
    <mergeCell ref="B1021:D1021"/>
    <mergeCell ref="E1021:F1021"/>
    <mergeCell ref="G1021:I1021"/>
    <mergeCell ref="N1021:O1021"/>
    <mergeCell ref="P1021:R1021"/>
    <mergeCell ref="T1021:U1021"/>
    <mergeCell ref="Y1021:Z1021"/>
    <mergeCell ref="B1022:D1022"/>
    <mergeCell ref="E1022:F1022"/>
    <mergeCell ref="G1022:I1022"/>
    <mergeCell ref="N1022:O1022"/>
    <mergeCell ref="P1022:R1022"/>
    <mergeCell ref="T1022:U1022"/>
    <mergeCell ref="Y1022:Z1022"/>
    <mergeCell ref="B1023:D1023"/>
    <mergeCell ref="E1023:F1023"/>
    <mergeCell ref="G1023:I1023"/>
    <mergeCell ref="N1023:O1023"/>
    <mergeCell ref="P1023:R1023"/>
    <mergeCell ref="T1023:U1023"/>
    <mergeCell ref="Y1023:Z1023"/>
    <mergeCell ref="B1024:D1024"/>
    <mergeCell ref="E1024:F1024"/>
    <mergeCell ref="G1024:I1024"/>
    <mergeCell ref="N1024:O1024"/>
    <mergeCell ref="P1024:R1024"/>
    <mergeCell ref="T1024:U1024"/>
    <mergeCell ref="Y1024:Z1024"/>
    <mergeCell ref="B1025:D1025"/>
    <mergeCell ref="E1025:F1025"/>
    <mergeCell ref="G1025:I1025"/>
    <mergeCell ref="N1025:O1025"/>
    <mergeCell ref="P1025:R1025"/>
    <mergeCell ref="T1025:U1025"/>
    <mergeCell ref="Y1025:Z1025"/>
    <mergeCell ref="B1026:D1026"/>
    <mergeCell ref="E1026:F1026"/>
    <mergeCell ref="G1026:I1026"/>
    <mergeCell ref="N1026:O1026"/>
    <mergeCell ref="P1026:R1026"/>
    <mergeCell ref="T1026:U1026"/>
    <mergeCell ref="Y1026:Z1026"/>
    <mergeCell ref="B1027:D1027"/>
    <mergeCell ref="E1027:F1027"/>
    <mergeCell ref="G1027:I1027"/>
    <mergeCell ref="N1027:O1027"/>
    <mergeCell ref="P1027:R1027"/>
    <mergeCell ref="T1027:U1027"/>
    <mergeCell ref="Y1027:Z1027"/>
    <mergeCell ref="B1028:D1028"/>
    <mergeCell ref="E1028:F1028"/>
    <mergeCell ref="G1028:I1028"/>
    <mergeCell ref="N1028:O1028"/>
    <mergeCell ref="P1028:R1028"/>
    <mergeCell ref="T1028:U1028"/>
    <mergeCell ref="Y1028:Z1028"/>
    <mergeCell ref="B1029:D1029"/>
    <mergeCell ref="E1029:F1029"/>
    <mergeCell ref="G1029:I1029"/>
    <mergeCell ref="N1029:O1029"/>
    <mergeCell ref="P1029:R1029"/>
    <mergeCell ref="T1029:U1029"/>
    <mergeCell ref="Y1029:Z1029"/>
    <mergeCell ref="B1030:D1030"/>
    <mergeCell ref="E1030:F1030"/>
    <mergeCell ref="G1030:I1030"/>
    <mergeCell ref="N1030:O1030"/>
    <mergeCell ref="P1030:R1030"/>
    <mergeCell ref="T1030:U1030"/>
    <mergeCell ref="Y1030:Z1030"/>
    <mergeCell ref="B1031:D1031"/>
    <mergeCell ref="E1031:F1031"/>
    <mergeCell ref="G1031:I1031"/>
    <mergeCell ref="N1031:O1031"/>
    <mergeCell ref="P1031:R1031"/>
    <mergeCell ref="T1031:U1031"/>
    <mergeCell ref="Y1031:Z1031"/>
    <mergeCell ref="B1032:D1032"/>
    <mergeCell ref="E1032:F1032"/>
    <mergeCell ref="G1032:I1032"/>
    <mergeCell ref="N1032:O1032"/>
    <mergeCell ref="P1032:R1032"/>
    <mergeCell ref="T1032:U1032"/>
    <mergeCell ref="Y1032:Z1032"/>
    <mergeCell ref="B1033:D1033"/>
    <mergeCell ref="E1033:F1033"/>
    <mergeCell ref="G1033:I1033"/>
    <mergeCell ref="N1033:O1033"/>
    <mergeCell ref="P1033:R1033"/>
    <mergeCell ref="T1033:U1033"/>
    <mergeCell ref="Y1033:Z1033"/>
    <mergeCell ref="B1034:D1034"/>
    <mergeCell ref="E1034:F1034"/>
    <mergeCell ref="G1034:I1034"/>
    <mergeCell ref="N1034:O1034"/>
    <mergeCell ref="P1034:R1034"/>
    <mergeCell ref="T1034:U1034"/>
    <mergeCell ref="Y1034:Z1034"/>
    <mergeCell ref="B1035:D1035"/>
    <mergeCell ref="E1035:F1035"/>
    <mergeCell ref="G1035:I1035"/>
    <mergeCell ref="N1035:O1035"/>
    <mergeCell ref="P1035:R1035"/>
    <mergeCell ref="T1035:U1035"/>
    <mergeCell ref="Y1035:Z1035"/>
    <mergeCell ref="B1036:D1036"/>
    <mergeCell ref="E1036:F1036"/>
    <mergeCell ref="G1036:I1036"/>
    <mergeCell ref="N1036:O1036"/>
    <mergeCell ref="P1036:R1036"/>
    <mergeCell ref="T1036:U1036"/>
    <mergeCell ref="Y1036:Z1036"/>
    <mergeCell ref="B1037:D1037"/>
    <mergeCell ref="E1037:F1037"/>
    <mergeCell ref="G1037:I1037"/>
    <mergeCell ref="N1037:O1037"/>
    <mergeCell ref="P1037:R1037"/>
    <mergeCell ref="T1037:U1037"/>
    <mergeCell ref="Y1037:Z1037"/>
    <mergeCell ref="B1038:D1038"/>
    <mergeCell ref="E1038:F1038"/>
    <mergeCell ref="G1038:I1038"/>
    <mergeCell ref="N1038:O1038"/>
    <mergeCell ref="P1038:R1038"/>
    <mergeCell ref="T1038:U1038"/>
    <mergeCell ref="Y1038:Z1038"/>
    <mergeCell ref="B1039:D1039"/>
    <mergeCell ref="E1039:F1039"/>
    <mergeCell ref="G1039:I1039"/>
    <mergeCell ref="N1039:O1039"/>
    <mergeCell ref="P1039:R1039"/>
    <mergeCell ref="T1039:U1039"/>
    <mergeCell ref="Y1039:Z1039"/>
    <mergeCell ref="B1040:D1040"/>
    <mergeCell ref="E1040:F1040"/>
    <mergeCell ref="G1040:I1040"/>
    <mergeCell ref="N1040:O1040"/>
    <mergeCell ref="P1040:R1040"/>
    <mergeCell ref="T1040:U1040"/>
    <mergeCell ref="Y1040:Z1040"/>
    <mergeCell ref="B1041:D1041"/>
    <mergeCell ref="E1041:F1041"/>
    <mergeCell ref="G1041:I1041"/>
    <mergeCell ref="N1041:O1041"/>
    <mergeCell ref="P1041:R1041"/>
    <mergeCell ref="T1041:U1041"/>
    <mergeCell ref="Y1041:Z1041"/>
    <mergeCell ref="B1042:D1042"/>
    <mergeCell ref="E1042:F1042"/>
    <mergeCell ref="G1042:I1042"/>
    <mergeCell ref="N1042:O1042"/>
    <mergeCell ref="P1042:R1042"/>
    <mergeCell ref="T1042:U1042"/>
    <mergeCell ref="Y1042:Z1042"/>
    <mergeCell ref="B1043:D1043"/>
    <mergeCell ref="E1043:F1043"/>
    <mergeCell ref="G1043:I1043"/>
    <mergeCell ref="N1043:O1043"/>
    <mergeCell ref="P1043:R1043"/>
    <mergeCell ref="T1043:U1043"/>
    <mergeCell ref="Y1043:Z1043"/>
    <mergeCell ref="B1044:D1044"/>
    <mergeCell ref="E1044:F1044"/>
    <mergeCell ref="G1044:I1044"/>
    <mergeCell ref="N1044:O1044"/>
    <mergeCell ref="P1044:R1044"/>
    <mergeCell ref="T1044:U1044"/>
    <mergeCell ref="Y1044:Z1044"/>
    <mergeCell ref="B1045:D1045"/>
    <mergeCell ref="E1045:F1045"/>
    <mergeCell ref="G1045:I1045"/>
    <mergeCell ref="N1045:O1045"/>
    <mergeCell ref="P1045:R1045"/>
    <mergeCell ref="T1045:U1045"/>
    <mergeCell ref="Y1045:Z1045"/>
    <mergeCell ref="B1046:D1046"/>
    <mergeCell ref="E1046:F1046"/>
    <mergeCell ref="G1046:I1046"/>
    <mergeCell ref="N1046:O1046"/>
    <mergeCell ref="P1046:R1046"/>
    <mergeCell ref="T1046:U1046"/>
    <mergeCell ref="Y1046:Z1046"/>
    <mergeCell ref="B1047:D1047"/>
    <mergeCell ref="E1047:F1047"/>
    <mergeCell ref="G1047:I1047"/>
    <mergeCell ref="N1047:O1047"/>
    <mergeCell ref="P1047:R1047"/>
    <mergeCell ref="T1047:U1047"/>
    <mergeCell ref="Y1047:Z1047"/>
    <mergeCell ref="B1048:D1048"/>
    <mergeCell ref="E1048:F1048"/>
    <mergeCell ref="G1048:I1048"/>
    <mergeCell ref="N1048:O1048"/>
    <mergeCell ref="P1048:R1048"/>
    <mergeCell ref="T1048:U1048"/>
    <mergeCell ref="Y1048:Z1048"/>
    <mergeCell ref="B1049:D1049"/>
    <mergeCell ref="E1049:F1049"/>
    <mergeCell ref="G1049:I1049"/>
    <mergeCell ref="N1049:O1049"/>
    <mergeCell ref="P1049:R1049"/>
    <mergeCell ref="T1049:U1049"/>
    <mergeCell ref="Y1049:Z1049"/>
    <mergeCell ref="B1050:D1050"/>
    <mergeCell ref="E1050:F1050"/>
    <mergeCell ref="G1050:I1050"/>
    <mergeCell ref="N1050:O1050"/>
    <mergeCell ref="P1050:R1050"/>
    <mergeCell ref="T1050:U1050"/>
    <mergeCell ref="Y1050:Z1050"/>
    <mergeCell ref="B1051:D1051"/>
    <mergeCell ref="E1051:F1051"/>
    <mergeCell ref="G1051:I1051"/>
    <mergeCell ref="N1051:O1051"/>
    <mergeCell ref="P1051:R1051"/>
    <mergeCell ref="T1051:U1051"/>
    <mergeCell ref="Y1051:Z1051"/>
    <mergeCell ref="B1052:D1052"/>
    <mergeCell ref="E1052:F1052"/>
    <mergeCell ref="G1052:I1052"/>
    <mergeCell ref="N1052:O1052"/>
    <mergeCell ref="P1052:R1052"/>
    <mergeCell ref="T1052:U1052"/>
    <mergeCell ref="Y1052:Z1052"/>
    <mergeCell ref="B1053:D1053"/>
    <mergeCell ref="E1053:F1053"/>
    <mergeCell ref="G1053:I1053"/>
    <mergeCell ref="N1053:O1053"/>
    <mergeCell ref="P1053:R1053"/>
    <mergeCell ref="T1053:U1053"/>
    <mergeCell ref="Y1053:Z1053"/>
    <mergeCell ref="B1054:D1054"/>
    <mergeCell ref="E1054:F1054"/>
    <mergeCell ref="G1054:I1054"/>
    <mergeCell ref="N1054:O1054"/>
    <mergeCell ref="P1054:R1054"/>
    <mergeCell ref="T1054:U1054"/>
    <mergeCell ref="Y1054:Z1054"/>
    <mergeCell ref="B1055:D1055"/>
    <mergeCell ref="E1055:F1055"/>
    <mergeCell ref="G1055:I1055"/>
    <mergeCell ref="N1055:O1055"/>
    <mergeCell ref="P1055:R1055"/>
    <mergeCell ref="T1055:U1055"/>
    <mergeCell ref="Y1055:Z1055"/>
    <mergeCell ref="B1056:D1056"/>
    <mergeCell ref="E1056:F1056"/>
    <mergeCell ref="G1056:I1056"/>
    <mergeCell ref="N1056:O1056"/>
    <mergeCell ref="P1056:R1056"/>
    <mergeCell ref="T1056:U1056"/>
    <mergeCell ref="Y1056:Z1056"/>
    <mergeCell ref="B1057:D1057"/>
    <mergeCell ref="E1057:F1057"/>
    <mergeCell ref="G1057:I1057"/>
    <mergeCell ref="N1057:O1057"/>
    <mergeCell ref="P1057:R1057"/>
    <mergeCell ref="T1057:U1057"/>
    <mergeCell ref="Y1057:Z1057"/>
    <mergeCell ref="B1060:D1060"/>
    <mergeCell ref="E1060:F1060"/>
    <mergeCell ref="G1060:I1060"/>
    <mergeCell ref="N1060:O1060"/>
    <mergeCell ref="P1060:R1060"/>
    <mergeCell ref="T1060:U1060"/>
    <mergeCell ref="Y1060:Z1060"/>
    <mergeCell ref="B1061:D1061"/>
    <mergeCell ref="E1061:F1061"/>
    <mergeCell ref="G1061:I1061"/>
    <mergeCell ref="N1061:O1061"/>
    <mergeCell ref="P1061:R1061"/>
    <mergeCell ref="T1061:U1061"/>
    <mergeCell ref="Y1061:Z1061"/>
    <mergeCell ref="B1062:D1062"/>
    <mergeCell ref="E1062:F1062"/>
    <mergeCell ref="G1062:I1062"/>
    <mergeCell ref="N1062:O1062"/>
    <mergeCell ref="P1062:R1062"/>
    <mergeCell ref="T1062:U1062"/>
    <mergeCell ref="Y1062:Z1062"/>
    <mergeCell ref="B1063:D1063"/>
    <mergeCell ref="E1063:F1063"/>
    <mergeCell ref="G1063:I1063"/>
    <mergeCell ref="N1063:O1063"/>
    <mergeCell ref="P1063:R1063"/>
    <mergeCell ref="T1063:U1063"/>
    <mergeCell ref="Y1063:Z1063"/>
    <mergeCell ref="B1064:D1064"/>
    <mergeCell ref="E1064:F1064"/>
    <mergeCell ref="G1064:I1064"/>
    <mergeCell ref="N1064:O1064"/>
    <mergeCell ref="P1064:R1064"/>
    <mergeCell ref="T1064:U1064"/>
    <mergeCell ref="Y1064:Z1064"/>
    <mergeCell ref="B1065:D1065"/>
    <mergeCell ref="E1065:F1065"/>
    <mergeCell ref="G1065:I1065"/>
    <mergeCell ref="N1065:O1065"/>
    <mergeCell ref="P1065:R1065"/>
    <mergeCell ref="T1065:U1065"/>
    <mergeCell ref="Y1065:Z1065"/>
    <mergeCell ref="B1066:D1066"/>
    <mergeCell ref="E1066:F1066"/>
    <mergeCell ref="G1066:I1066"/>
    <mergeCell ref="N1066:O1066"/>
    <mergeCell ref="P1066:R1066"/>
    <mergeCell ref="T1066:U1066"/>
    <mergeCell ref="Y1066:Z1066"/>
    <mergeCell ref="B1067:D1067"/>
    <mergeCell ref="E1067:F1067"/>
    <mergeCell ref="G1067:I1067"/>
    <mergeCell ref="N1067:O1067"/>
    <mergeCell ref="P1067:R1067"/>
    <mergeCell ref="T1067:U1067"/>
    <mergeCell ref="Y1067:Z1067"/>
    <mergeCell ref="B1068:D1068"/>
    <mergeCell ref="E1068:F1068"/>
    <mergeCell ref="G1068:I1068"/>
    <mergeCell ref="N1068:O1068"/>
    <mergeCell ref="P1068:R1068"/>
    <mergeCell ref="T1068:U1068"/>
    <mergeCell ref="Y1068:Z1068"/>
    <mergeCell ref="B1069:D1069"/>
    <mergeCell ref="E1069:F1069"/>
    <mergeCell ref="G1069:I1069"/>
    <mergeCell ref="N1069:O1069"/>
    <mergeCell ref="P1069:R1069"/>
    <mergeCell ref="T1069:U1069"/>
    <mergeCell ref="Y1069:Z1069"/>
    <mergeCell ref="B1070:D1070"/>
    <mergeCell ref="E1070:F1070"/>
    <mergeCell ref="G1070:I1070"/>
    <mergeCell ref="N1070:O1070"/>
    <mergeCell ref="P1070:R1070"/>
    <mergeCell ref="T1070:U1070"/>
    <mergeCell ref="Y1070:Z1070"/>
    <mergeCell ref="B1071:D1071"/>
    <mergeCell ref="E1071:F1071"/>
    <mergeCell ref="G1071:I1071"/>
    <mergeCell ref="N1071:O1071"/>
    <mergeCell ref="P1071:R1071"/>
    <mergeCell ref="T1071:U1071"/>
    <mergeCell ref="Y1071:Z1071"/>
    <mergeCell ref="B1072:D1072"/>
    <mergeCell ref="E1072:F1072"/>
    <mergeCell ref="G1072:I1072"/>
    <mergeCell ref="N1072:O1072"/>
    <mergeCell ref="P1072:R1072"/>
    <mergeCell ref="T1072:U1072"/>
    <mergeCell ref="Y1072:Z1072"/>
    <mergeCell ref="B1073:D1073"/>
    <mergeCell ref="E1073:F1073"/>
    <mergeCell ref="G1073:I1073"/>
    <mergeCell ref="N1073:O1073"/>
    <mergeCell ref="P1073:R1073"/>
    <mergeCell ref="T1073:U1073"/>
    <mergeCell ref="Y1073:Z1073"/>
    <mergeCell ref="B1074:D1074"/>
    <mergeCell ref="E1074:F1074"/>
    <mergeCell ref="G1074:I1074"/>
    <mergeCell ref="N1074:O1074"/>
    <mergeCell ref="P1074:R1074"/>
    <mergeCell ref="T1074:U1074"/>
    <mergeCell ref="Y1074:Z1074"/>
    <mergeCell ref="B1075:D1075"/>
    <mergeCell ref="E1075:F1075"/>
    <mergeCell ref="G1075:I1075"/>
    <mergeCell ref="N1075:O1075"/>
    <mergeCell ref="P1075:R1075"/>
    <mergeCell ref="T1075:U1075"/>
    <mergeCell ref="Y1075:Z1075"/>
    <mergeCell ref="B1076:D1076"/>
    <mergeCell ref="E1076:F1076"/>
    <mergeCell ref="G1076:I1076"/>
    <mergeCell ref="N1076:O1076"/>
    <mergeCell ref="P1076:R1076"/>
    <mergeCell ref="T1076:U1076"/>
    <mergeCell ref="Y1076:Z1076"/>
    <mergeCell ref="B1077:D1077"/>
    <mergeCell ref="E1077:F1077"/>
    <mergeCell ref="G1077:I1077"/>
    <mergeCell ref="N1077:O1077"/>
    <mergeCell ref="P1077:R1077"/>
    <mergeCell ref="T1077:U1077"/>
    <mergeCell ref="Y1077:Z1077"/>
    <mergeCell ref="B1078:D1078"/>
    <mergeCell ref="E1078:F1078"/>
    <mergeCell ref="G1078:I1078"/>
    <mergeCell ref="N1078:O1078"/>
    <mergeCell ref="P1078:R1078"/>
    <mergeCell ref="T1078:U1078"/>
    <mergeCell ref="Y1078:Z1078"/>
    <mergeCell ref="B1079:D1079"/>
    <mergeCell ref="E1079:F1079"/>
    <mergeCell ref="G1079:I1079"/>
    <mergeCell ref="N1079:O1079"/>
    <mergeCell ref="P1079:R1079"/>
    <mergeCell ref="T1079:U1079"/>
    <mergeCell ref="Y1079:Z1079"/>
    <mergeCell ref="B1080:D1080"/>
    <mergeCell ref="E1080:F1080"/>
    <mergeCell ref="G1080:I1080"/>
    <mergeCell ref="N1080:O1080"/>
    <mergeCell ref="P1080:R1080"/>
    <mergeCell ref="T1080:U1080"/>
    <mergeCell ref="Y1080:Z1080"/>
    <mergeCell ref="B1081:D1081"/>
    <mergeCell ref="E1081:F1081"/>
    <mergeCell ref="G1081:I1081"/>
    <mergeCell ref="N1081:O1081"/>
    <mergeCell ref="P1081:R1081"/>
    <mergeCell ref="T1081:U1081"/>
    <mergeCell ref="Y1081:Z1081"/>
    <mergeCell ref="B1082:D1082"/>
    <mergeCell ref="E1082:F1082"/>
    <mergeCell ref="G1082:I1082"/>
    <mergeCell ref="N1082:O1082"/>
    <mergeCell ref="P1082:R1082"/>
    <mergeCell ref="T1082:U1082"/>
    <mergeCell ref="Y1082:Z1082"/>
    <mergeCell ref="B1083:D1083"/>
    <mergeCell ref="E1083:F1083"/>
    <mergeCell ref="G1083:I1083"/>
    <mergeCell ref="N1083:O1083"/>
    <mergeCell ref="P1083:R1083"/>
    <mergeCell ref="T1083:U1083"/>
    <mergeCell ref="Y1083:Z1083"/>
    <mergeCell ref="B1084:D1084"/>
    <mergeCell ref="E1084:F1084"/>
    <mergeCell ref="G1084:I1084"/>
    <mergeCell ref="N1084:O1084"/>
    <mergeCell ref="P1084:R1084"/>
    <mergeCell ref="T1084:U1084"/>
    <mergeCell ref="Y1084:Z1084"/>
    <mergeCell ref="B1085:D1085"/>
    <mergeCell ref="E1085:F1085"/>
    <mergeCell ref="G1085:I1085"/>
    <mergeCell ref="N1085:O1085"/>
    <mergeCell ref="P1085:R1085"/>
    <mergeCell ref="T1085:U1085"/>
    <mergeCell ref="Y1085:Z1085"/>
    <mergeCell ref="B1086:D1086"/>
    <mergeCell ref="E1086:F1086"/>
    <mergeCell ref="G1086:I1086"/>
    <mergeCell ref="N1086:O1086"/>
    <mergeCell ref="P1086:R1086"/>
    <mergeCell ref="T1086:U1086"/>
    <mergeCell ref="Y1086:Z1086"/>
    <mergeCell ref="B1087:D1087"/>
    <mergeCell ref="E1087:F1087"/>
    <mergeCell ref="G1087:I1087"/>
    <mergeCell ref="N1087:O1087"/>
    <mergeCell ref="P1087:R1087"/>
    <mergeCell ref="T1087:U1087"/>
    <mergeCell ref="Y1087:Z1087"/>
    <mergeCell ref="B1088:D1088"/>
    <mergeCell ref="E1088:F1088"/>
    <mergeCell ref="G1088:I1088"/>
    <mergeCell ref="N1088:O1088"/>
    <mergeCell ref="P1088:R1088"/>
    <mergeCell ref="T1088:U1088"/>
    <mergeCell ref="Y1088:Z1088"/>
    <mergeCell ref="B1089:D1089"/>
    <mergeCell ref="E1089:F1089"/>
    <mergeCell ref="G1089:I1089"/>
    <mergeCell ref="N1089:O1089"/>
    <mergeCell ref="P1089:R1089"/>
    <mergeCell ref="T1089:U1089"/>
    <mergeCell ref="Y1089:Z1089"/>
    <mergeCell ref="B1090:D1090"/>
    <mergeCell ref="E1090:F1090"/>
    <mergeCell ref="G1090:I1090"/>
    <mergeCell ref="N1090:O1090"/>
    <mergeCell ref="P1090:R1090"/>
    <mergeCell ref="T1090:U1090"/>
    <mergeCell ref="Y1090:Z1090"/>
    <mergeCell ref="B1091:D1091"/>
    <mergeCell ref="E1091:F1091"/>
    <mergeCell ref="G1091:I1091"/>
    <mergeCell ref="N1091:O1091"/>
    <mergeCell ref="P1091:R1091"/>
    <mergeCell ref="T1091:U1091"/>
    <mergeCell ref="Y1091:Z1091"/>
    <mergeCell ref="B1092:D1092"/>
    <mergeCell ref="E1092:F1092"/>
    <mergeCell ref="G1092:I1092"/>
    <mergeCell ref="N1092:O1092"/>
    <mergeCell ref="P1092:R1092"/>
    <mergeCell ref="T1092:U1092"/>
    <mergeCell ref="Y1092:Z1092"/>
    <mergeCell ref="B1093:D1093"/>
    <mergeCell ref="E1093:F1093"/>
    <mergeCell ref="G1093:I1093"/>
    <mergeCell ref="N1093:O1093"/>
    <mergeCell ref="P1093:R1093"/>
    <mergeCell ref="T1093:U1093"/>
    <mergeCell ref="Y1093:Z1093"/>
    <mergeCell ref="B1094:D1094"/>
    <mergeCell ref="E1094:F1094"/>
    <mergeCell ref="G1094:I1094"/>
    <mergeCell ref="N1094:O1094"/>
    <mergeCell ref="P1094:R1094"/>
    <mergeCell ref="T1094:U1094"/>
    <mergeCell ref="Y1094:Z1094"/>
    <mergeCell ref="B1095:D1095"/>
    <mergeCell ref="E1095:F1095"/>
    <mergeCell ref="G1095:I1095"/>
    <mergeCell ref="N1095:O1095"/>
    <mergeCell ref="P1095:R1095"/>
    <mergeCell ref="T1095:U1095"/>
    <mergeCell ref="Y1095:Z1095"/>
    <mergeCell ref="B1096:D1096"/>
    <mergeCell ref="E1096:F1096"/>
    <mergeCell ref="G1096:I1096"/>
    <mergeCell ref="N1096:O1096"/>
    <mergeCell ref="P1096:R1096"/>
    <mergeCell ref="T1096:U1096"/>
    <mergeCell ref="Y1096:Z1096"/>
    <mergeCell ref="B1097:D1097"/>
    <mergeCell ref="E1097:F1097"/>
    <mergeCell ref="G1097:I1097"/>
    <mergeCell ref="N1097:O1097"/>
    <mergeCell ref="P1097:R1097"/>
    <mergeCell ref="T1097:U1097"/>
    <mergeCell ref="Y1097:Z1097"/>
    <mergeCell ref="B1098:D1098"/>
    <mergeCell ref="E1098:F1098"/>
    <mergeCell ref="G1098:I1098"/>
    <mergeCell ref="N1098:O1098"/>
    <mergeCell ref="P1098:R1098"/>
    <mergeCell ref="T1098:U1098"/>
    <mergeCell ref="Y1098:Z1098"/>
    <mergeCell ref="B1099:D1099"/>
    <mergeCell ref="E1099:F1099"/>
    <mergeCell ref="G1099:I1099"/>
    <mergeCell ref="N1099:O1099"/>
    <mergeCell ref="P1099:R1099"/>
    <mergeCell ref="T1099:U1099"/>
    <mergeCell ref="Y1099:Z1099"/>
    <mergeCell ref="B1100:D1100"/>
    <mergeCell ref="E1100:F1100"/>
    <mergeCell ref="G1100:I1100"/>
    <mergeCell ref="N1100:O1100"/>
    <mergeCell ref="P1100:R1100"/>
    <mergeCell ref="T1100:U1100"/>
    <mergeCell ref="Y1100:Z1100"/>
    <mergeCell ref="B1101:D1101"/>
    <mergeCell ref="E1101:F1101"/>
    <mergeCell ref="G1101:I1101"/>
    <mergeCell ref="N1101:O1101"/>
    <mergeCell ref="P1101:R1101"/>
    <mergeCell ref="T1101:U1101"/>
    <mergeCell ref="Y1101:Z1101"/>
    <mergeCell ref="B1102:D1102"/>
    <mergeCell ref="E1102:F1102"/>
    <mergeCell ref="G1102:I1102"/>
    <mergeCell ref="N1102:O1102"/>
    <mergeCell ref="P1102:R1102"/>
    <mergeCell ref="T1102:U1102"/>
    <mergeCell ref="Y1102:Z1102"/>
    <mergeCell ref="B1103:D1103"/>
    <mergeCell ref="E1103:F1103"/>
    <mergeCell ref="G1103:I1103"/>
    <mergeCell ref="N1103:O1103"/>
    <mergeCell ref="P1103:R1103"/>
    <mergeCell ref="T1103:U1103"/>
    <mergeCell ref="Y1103:Z1103"/>
    <mergeCell ref="B1104:D1104"/>
    <mergeCell ref="E1104:F1104"/>
    <mergeCell ref="G1104:I1104"/>
    <mergeCell ref="N1104:O1104"/>
    <mergeCell ref="P1104:R1104"/>
    <mergeCell ref="T1104:U1104"/>
    <mergeCell ref="Y1104:Z1104"/>
    <mergeCell ref="B1105:D1105"/>
    <mergeCell ref="E1105:F1105"/>
    <mergeCell ref="G1105:I1105"/>
    <mergeCell ref="N1105:O1105"/>
    <mergeCell ref="P1105:R1105"/>
    <mergeCell ref="T1105:U1105"/>
    <mergeCell ref="Y1105:Z1105"/>
    <mergeCell ref="B1106:D1106"/>
    <mergeCell ref="E1106:F1106"/>
    <mergeCell ref="G1106:I1106"/>
    <mergeCell ref="N1106:O1106"/>
    <mergeCell ref="P1106:R1106"/>
    <mergeCell ref="T1106:U1106"/>
    <mergeCell ref="Y1106:Z1106"/>
    <mergeCell ref="B1107:D1107"/>
    <mergeCell ref="E1107:F1107"/>
    <mergeCell ref="G1107:I1107"/>
    <mergeCell ref="N1107:O1107"/>
    <mergeCell ref="P1107:R1107"/>
    <mergeCell ref="T1107:U1107"/>
    <mergeCell ref="Y1107:Z1107"/>
    <mergeCell ref="B1108:D1108"/>
    <mergeCell ref="E1108:F1108"/>
    <mergeCell ref="G1108:I1108"/>
    <mergeCell ref="N1108:O1108"/>
    <mergeCell ref="P1108:R1108"/>
    <mergeCell ref="T1108:U1108"/>
    <mergeCell ref="Y1108:Z1108"/>
    <mergeCell ref="B1109:D1109"/>
    <mergeCell ref="E1109:F1109"/>
    <mergeCell ref="G1109:I1109"/>
    <mergeCell ref="N1109:O1109"/>
    <mergeCell ref="P1109:R1109"/>
    <mergeCell ref="T1109:U1109"/>
    <mergeCell ref="Y1109:Z1109"/>
    <mergeCell ref="B1110:D1110"/>
    <mergeCell ref="E1110:F1110"/>
    <mergeCell ref="G1110:I1110"/>
    <mergeCell ref="N1110:O1110"/>
    <mergeCell ref="P1110:R1110"/>
    <mergeCell ref="T1110:U1110"/>
    <mergeCell ref="Y1110:Z1110"/>
    <mergeCell ref="B1111:D1111"/>
    <mergeCell ref="E1111:F1111"/>
    <mergeCell ref="G1111:I1111"/>
    <mergeCell ref="N1111:O1111"/>
    <mergeCell ref="P1111:R1111"/>
    <mergeCell ref="T1111:U1111"/>
    <mergeCell ref="Y1111:Z1111"/>
    <mergeCell ref="B1112:D1112"/>
    <mergeCell ref="E1112:F1112"/>
    <mergeCell ref="G1112:I1112"/>
    <mergeCell ref="N1112:O1112"/>
    <mergeCell ref="P1112:R1112"/>
    <mergeCell ref="T1112:U1112"/>
    <mergeCell ref="Y1112:Z1112"/>
    <mergeCell ref="B1113:D1113"/>
    <mergeCell ref="E1113:F1113"/>
    <mergeCell ref="G1113:I1113"/>
    <mergeCell ref="N1113:O1113"/>
    <mergeCell ref="P1113:R1113"/>
    <mergeCell ref="T1113:U1113"/>
    <mergeCell ref="Y1113:Z1113"/>
    <mergeCell ref="B1114:D1114"/>
    <mergeCell ref="E1114:F1114"/>
    <mergeCell ref="G1114:I1114"/>
    <mergeCell ref="N1114:O1114"/>
    <mergeCell ref="P1114:R1114"/>
    <mergeCell ref="T1114:U1114"/>
    <mergeCell ref="Y1114:Z1114"/>
    <mergeCell ref="B1115:D1115"/>
    <mergeCell ref="E1115:F1115"/>
    <mergeCell ref="G1115:I1115"/>
    <mergeCell ref="N1115:O1115"/>
    <mergeCell ref="P1115:R1115"/>
    <mergeCell ref="T1115:U1115"/>
    <mergeCell ref="Y1115:Z1115"/>
    <mergeCell ref="B1116:D1116"/>
    <mergeCell ref="E1116:F1116"/>
    <mergeCell ref="G1116:I1116"/>
    <mergeCell ref="N1116:O1116"/>
    <mergeCell ref="P1116:R1116"/>
    <mergeCell ref="T1116:U1116"/>
    <mergeCell ref="Y1116:Z1116"/>
    <mergeCell ref="B1117:D1117"/>
    <mergeCell ref="E1117:F1117"/>
    <mergeCell ref="G1117:I1117"/>
    <mergeCell ref="N1117:O1117"/>
    <mergeCell ref="P1117:R1117"/>
    <mergeCell ref="T1117:U1117"/>
    <mergeCell ref="Y1117:Z1117"/>
    <mergeCell ref="B1118:D1118"/>
    <mergeCell ref="E1118:F1118"/>
    <mergeCell ref="G1118:I1118"/>
    <mergeCell ref="N1118:O1118"/>
    <mergeCell ref="P1118:R1118"/>
    <mergeCell ref="T1118:U1118"/>
    <mergeCell ref="Y1118:Z1118"/>
    <mergeCell ref="B1119:D1119"/>
    <mergeCell ref="E1119:F1119"/>
    <mergeCell ref="G1119:I1119"/>
    <mergeCell ref="N1119:O1119"/>
    <mergeCell ref="P1119:R1119"/>
    <mergeCell ref="T1119:U1119"/>
    <mergeCell ref="Y1119:Z1119"/>
    <mergeCell ref="B1120:D1120"/>
    <mergeCell ref="E1120:F1120"/>
    <mergeCell ref="G1120:I1120"/>
    <mergeCell ref="N1120:O1120"/>
    <mergeCell ref="P1120:R1120"/>
    <mergeCell ref="T1120:U1120"/>
    <mergeCell ref="Y1120:Z1120"/>
    <mergeCell ref="B1121:D1121"/>
    <mergeCell ref="E1121:F1121"/>
    <mergeCell ref="G1121:I1121"/>
    <mergeCell ref="N1121:O1121"/>
    <mergeCell ref="P1121:R1121"/>
    <mergeCell ref="T1121:U1121"/>
    <mergeCell ref="Y1121:Z1121"/>
    <mergeCell ref="B1122:D1122"/>
    <mergeCell ref="E1122:F1122"/>
    <mergeCell ref="G1122:I1122"/>
    <mergeCell ref="N1122:O1122"/>
    <mergeCell ref="P1122:R1122"/>
    <mergeCell ref="T1122:U1122"/>
    <mergeCell ref="Y1122:Z1122"/>
    <mergeCell ref="B1123:D1123"/>
    <mergeCell ref="E1123:F1123"/>
    <mergeCell ref="G1123:I1123"/>
    <mergeCell ref="N1123:O1123"/>
    <mergeCell ref="P1123:R1123"/>
    <mergeCell ref="T1123:U1123"/>
    <mergeCell ref="Y1123:Z1123"/>
    <mergeCell ref="B1124:D1124"/>
    <mergeCell ref="E1124:F1124"/>
    <mergeCell ref="G1124:I1124"/>
    <mergeCell ref="N1124:O1124"/>
    <mergeCell ref="P1124:R1124"/>
    <mergeCell ref="T1124:U1124"/>
    <mergeCell ref="Y1124:Z1124"/>
    <mergeCell ref="B1125:D1125"/>
    <mergeCell ref="E1125:F1125"/>
    <mergeCell ref="G1125:I1125"/>
    <mergeCell ref="N1125:O1125"/>
    <mergeCell ref="P1125:R1125"/>
    <mergeCell ref="T1125:U1125"/>
    <mergeCell ref="Y1125:Z1125"/>
    <mergeCell ref="B1126:D1126"/>
    <mergeCell ref="E1126:F1126"/>
    <mergeCell ref="G1126:I1126"/>
    <mergeCell ref="N1126:O1126"/>
    <mergeCell ref="P1126:R1126"/>
    <mergeCell ref="T1126:U1126"/>
    <mergeCell ref="Y1126:Z1126"/>
    <mergeCell ref="B1127:D1127"/>
    <mergeCell ref="E1127:F1127"/>
    <mergeCell ref="G1127:I1127"/>
    <mergeCell ref="N1127:O1127"/>
    <mergeCell ref="P1127:R1127"/>
    <mergeCell ref="T1127:U1127"/>
    <mergeCell ref="Y1127:Z1127"/>
    <mergeCell ref="B1128:D1128"/>
    <mergeCell ref="E1128:F1128"/>
    <mergeCell ref="G1128:I1128"/>
    <mergeCell ref="N1128:O1128"/>
    <mergeCell ref="P1128:R1128"/>
    <mergeCell ref="T1128:U1128"/>
    <mergeCell ref="Y1128:Z1128"/>
    <mergeCell ref="B1129:D1129"/>
    <mergeCell ref="E1129:F1129"/>
    <mergeCell ref="G1129:I1129"/>
    <mergeCell ref="N1129:O1129"/>
    <mergeCell ref="P1129:R1129"/>
    <mergeCell ref="T1129:U1129"/>
    <mergeCell ref="Y1129:Z1129"/>
    <mergeCell ref="B1130:D1130"/>
    <mergeCell ref="E1130:F1130"/>
    <mergeCell ref="G1130:I1130"/>
    <mergeCell ref="N1130:O1130"/>
    <mergeCell ref="P1130:R1130"/>
    <mergeCell ref="T1130:U1130"/>
    <mergeCell ref="Y1130:Z1130"/>
    <mergeCell ref="B1131:D1131"/>
    <mergeCell ref="E1131:F1131"/>
    <mergeCell ref="G1131:I1131"/>
    <mergeCell ref="N1131:O1131"/>
    <mergeCell ref="P1131:R1131"/>
    <mergeCell ref="T1131:U1131"/>
    <mergeCell ref="Y1131:Z1131"/>
    <mergeCell ref="B1132:D1132"/>
    <mergeCell ref="E1132:F1132"/>
    <mergeCell ref="G1132:I1132"/>
    <mergeCell ref="N1132:O1132"/>
    <mergeCell ref="P1132:R1132"/>
    <mergeCell ref="T1132:U1132"/>
    <mergeCell ref="Y1132:Z1132"/>
    <mergeCell ref="B1133:D1133"/>
    <mergeCell ref="E1133:F1133"/>
    <mergeCell ref="G1133:I1133"/>
    <mergeCell ref="N1133:O1133"/>
    <mergeCell ref="P1133:R1133"/>
    <mergeCell ref="T1133:U1133"/>
    <mergeCell ref="Y1133:Z1133"/>
    <mergeCell ref="B1134:D1134"/>
    <mergeCell ref="E1134:F1134"/>
    <mergeCell ref="G1134:I1134"/>
    <mergeCell ref="N1134:O1134"/>
    <mergeCell ref="P1134:R1134"/>
    <mergeCell ref="T1134:U1134"/>
    <mergeCell ref="Y1134:Z1134"/>
    <mergeCell ref="B1135:D1135"/>
    <mergeCell ref="E1135:F1135"/>
    <mergeCell ref="G1135:I1135"/>
    <mergeCell ref="N1135:O1135"/>
    <mergeCell ref="P1135:R1135"/>
    <mergeCell ref="T1135:U1135"/>
    <mergeCell ref="Y1135:Z1135"/>
    <mergeCell ref="B1136:D1136"/>
    <mergeCell ref="E1136:F1136"/>
    <mergeCell ref="G1136:I1136"/>
    <mergeCell ref="N1136:O1136"/>
    <mergeCell ref="P1136:R1136"/>
    <mergeCell ref="T1136:U1136"/>
    <mergeCell ref="Y1136:Z1136"/>
    <mergeCell ref="B1137:D1137"/>
    <mergeCell ref="E1137:F1137"/>
    <mergeCell ref="G1137:I1137"/>
    <mergeCell ref="N1137:O1137"/>
    <mergeCell ref="P1137:R1137"/>
    <mergeCell ref="T1137:U1137"/>
    <mergeCell ref="Y1137:Z1137"/>
    <mergeCell ref="B1138:D1138"/>
    <mergeCell ref="E1138:F1138"/>
    <mergeCell ref="G1138:I1138"/>
    <mergeCell ref="N1138:O1138"/>
    <mergeCell ref="P1138:R1138"/>
    <mergeCell ref="T1138:U1138"/>
    <mergeCell ref="Y1138:Z1138"/>
    <mergeCell ref="B1141:D1141"/>
    <mergeCell ref="E1141:F1141"/>
    <mergeCell ref="G1141:I1141"/>
    <mergeCell ref="N1141:O1141"/>
    <mergeCell ref="P1141:R1141"/>
    <mergeCell ref="T1141:U1141"/>
    <mergeCell ref="Y1141:Z1141"/>
    <mergeCell ref="B1142:D1142"/>
    <mergeCell ref="E1142:F1142"/>
    <mergeCell ref="G1142:I1142"/>
    <mergeCell ref="N1142:O1142"/>
    <mergeCell ref="P1142:R1142"/>
    <mergeCell ref="T1142:U1142"/>
    <mergeCell ref="Y1142:Z1142"/>
    <mergeCell ref="B1143:D1143"/>
    <mergeCell ref="E1143:F1143"/>
    <mergeCell ref="G1143:I1143"/>
    <mergeCell ref="N1143:O1143"/>
    <mergeCell ref="P1143:R1143"/>
    <mergeCell ref="T1143:U1143"/>
    <mergeCell ref="Y1143:Z1143"/>
    <mergeCell ref="B1144:D1144"/>
    <mergeCell ref="E1144:F1144"/>
    <mergeCell ref="G1144:I1144"/>
    <mergeCell ref="N1144:O1144"/>
    <mergeCell ref="P1144:R1144"/>
    <mergeCell ref="T1144:U1144"/>
    <mergeCell ref="Y1144:Z1144"/>
    <mergeCell ref="B1145:D1145"/>
    <mergeCell ref="E1145:F1145"/>
    <mergeCell ref="G1145:I1145"/>
    <mergeCell ref="N1145:O1145"/>
    <mergeCell ref="P1145:R1145"/>
    <mergeCell ref="T1145:U1145"/>
    <mergeCell ref="Y1145:Z1145"/>
    <mergeCell ref="B1146:D1146"/>
    <mergeCell ref="E1146:F1146"/>
    <mergeCell ref="G1146:I1146"/>
    <mergeCell ref="N1146:O1146"/>
    <mergeCell ref="P1146:R1146"/>
    <mergeCell ref="T1146:U1146"/>
    <mergeCell ref="Y1146:Z1146"/>
    <mergeCell ref="B1147:D1147"/>
    <mergeCell ref="E1147:F1147"/>
    <mergeCell ref="G1147:I1147"/>
    <mergeCell ref="N1147:O1147"/>
    <mergeCell ref="P1147:R1147"/>
    <mergeCell ref="T1147:U1147"/>
    <mergeCell ref="Y1147:Z1147"/>
    <mergeCell ref="B1148:D1148"/>
    <mergeCell ref="E1148:F1148"/>
    <mergeCell ref="G1148:I1148"/>
    <mergeCell ref="N1148:O1148"/>
    <mergeCell ref="P1148:R1148"/>
    <mergeCell ref="T1148:U1148"/>
    <mergeCell ref="Y1148:Z1148"/>
    <mergeCell ref="B1149:D1149"/>
    <mergeCell ref="E1149:F1149"/>
    <mergeCell ref="G1149:I1149"/>
    <mergeCell ref="N1149:O1149"/>
    <mergeCell ref="P1149:R1149"/>
    <mergeCell ref="T1149:U1149"/>
    <mergeCell ref="Y1149:Z1149"/>
    <mergeCell ref="B1150:D1150"/>
    <mergeCell ref="E1150:F1150"/>
    <mergeCell ref="G1150:I1150"/>
    <mergeCell ref="N1150:O1150"/>
    <mergeCell ref="P1150:R1150"/>
    <mergeCell ref="T1150:U1150"/>
    <mergeCell ref="Y1150:Z1150"/>
    <mergeCell ref="B1151:D1151"/>
    <mergeCell ref="E1151:F1151"/>
    <mergeCell ref="G1151:I1151"/>
    <mergeCell ref="N1151:O1151"/>
    <mergeCell ref="P1151:R1151"/>
    <mergeCell ref="T1151:U1151"/>
    <mergeCell ref="Y1151:Z1151"/>
    <mergeCell ref="B1152:D1152"/>
    <mergeCell ref="E1152:F1152"/>
    <mergeCell ref="G1152:I1152"/>
    <mergeCell ref="N1152:O1152"/>
    <mergeCell ref="P1152:R1152"/>
    <mergeCell ref="T1152:U1152"/>
    <mergeCell ref="Y1152:Z1152"/>
    <mergeCell ref="B1153:D1153"/>
    <mergeCell ref="E1153:F1153"/>
    <mergeCell ref="G1153:I1153"/>
    <mergeCell ref="N1153:O1153"/>
    <mergeCell ref="P1153:R1153"/>
    <mergeCell ref="T1153:U1153"/>
    <mergeCell ref="Y1153:Z1153"/>
    <mergeCell ref="B1154:D1154"/>
    <mergeCell ref="E1154:F1154"/>
    <mergeCell ref="G1154:I1154"/>
    <mergeCell ref="N1154:O1154"/>
    <mergeCell ref="P1154:R1154"/>
    <mergeCell ref="T1154:U1154"/>
    <mergeCell ref="Y1154:Z1154"/>
    <mergeCell ref="B1155:D1155"/>
    <mergeCell ref="E1155:F1155"/>
    <mergeCell ref="G1155:I1155"/>
    <mergeCell ref="N1155:O1155"/>
    <mergeCell ref="P1155:R1155"/>
    <mergeCell ref="T1155:U1155"/>
    <mergeCell ref="Y1155:Z1155"/>
    <mergeCell ref="B1156:D1156"/>
    <mergeCell ref="E1156:F1156"/>
    <mergeCell ref="G1156:I1156"/>
    <mergeCell ref="N1156:O1156"/>
    <mergeCell ref="P1156:R1156"/>
    <mergeCell ref="T1156:U1156"/>
    <mergeCell ref="Y1156:Z1156"/>
    <mergeCell ref="B1157:D1157"/>
    <mergeCell ref="E1157:F1157"/>
    <mergeCell ref="G1157:I1157"/>
    <mergeCell ref="N1157:O1157"/>
    <mergeCell ref="P1157:R1157"/>
    <mergeCell ref="T1157:U1157"/>
    <mergeCell ref="Y1157:Z1157"/>
    <mergeCell ref="B1158:D1158"/>
    <mergeCell ref="E1158:F1158"/>
    <mergeCell ref="G1158:I1158"/>
    <mergeCell ref="N1158:O1158"/>
    <mergeCell ref="P1158:R1158"/>
    <mergeCell ref="T1158:U1158"/>
    <mergeCell ref="Y1158:Z1158"/>
    <mergeCell ref="B1159:D1159"/>
    <mergeCell ref="E1159:F1159"/>
    <mergeCell ref="G1159:I1159"/>
    <mergeCell ref="N1159:O1159"/>
    <mergeCell ref="P1159:R1159"/>
    <mergeCell ref="T1159:U1159"/>
    <mergeCell ref="Y1159:Z1159"/>
    <mergeCell ref="B1160:D1160"/>
    <mergeCell ref="E1160:F1160"/>
    <mergeCell ref="G1160:I1160"/>
    <mergeCell ref="N1160:O1160"/>
    <mergeCell ref="P1160:R1160"/>
    <mergeCell ref="T1160:U1160"/>
    <mergeCell ref="Y1160:Z1160"/>
    <mergeCell ref="B1161:D1161"/>
    <mergeCell ref="E1161:F1161"/>
    <mergeCell ref="G1161:I1161"/>
    <mergeCell ref="N1161:O1161"/>
    <mergeCell ref="P1161:R1161"/>
    <mergeCell ref="T1161:U1161"/>
    <mergeCell ref="Y1161:Z1161"/>
    <mergeCell ref="B1162:D1162"/>
    <mergeCell ref="E1162:F1162"/>
    <mergeCell ref="G1162:I1162"/>
    <mergeCell ref="N1162:O1162"/>
    <mergeCell ref="P1162:R1162"/>
    <mergeCell ref="T1162:U1162"/>
    <mergeCell ref="Y1162:Z1162"/>
    <mergeCell ref="B1163:D1163"/>
    <mergeCell ref="E1163:F1163"/>
    <mergeCell ref="G1163:I1163"/>
    <mergeCell ref="N1163:O1163"/>
    <mergeCell ref="P1163:R1163"/>
    <mergeCell ref="T1163:U1163"/>
    <mergeCell ref="Y1163:Z1163"/>
    <mergeCell ref="B1164:D1164"/>
    <mergeCell ref="E1164:F1164"/>
    <mergeCell ref="G1164:I1164"/>
    <mergeCell ref="N1164:O1164"/>
    <mergeCell ref="P1164:R1164"/>
    <mergeCell ref="T1164:U1164"/>
    <mergeCell ref="Y1164:Z1164"/>
    <mergeCell ref="B1165:D1165"/>
    <mergeCell ref="E1165:F1165"/>
    <mergeCell ref="G1165:I1165"/>
    <mergeCell ref="N1165:O1165"/>
    <mergeCell ref="P1165:R1165"/>
    <mergeCell ref="T1165:U1165"/>
    <mergeCell ref="Y1165:Z1165"/>
    <mergeCell ref="B1166:D1166"/>
    <mergeCell ref="E1166:F1166"/>
    <mergeCell ref="G1166:I1166"/>
    <mergeCell ref="N1166:O1166"/>
    <mergeCell ref="P1166:R1166"/>
    <mergeCell ref="T1166:U1166"/>
    <mergeCell ref="Y1166:Z1166"/>
    <mergeCell ref="B1167:D1167"/>
    <mergeCell ref="E1167:F1167"/>
    <mergeCell ref="G1167:I1167"/>
    <mergeCell ref="N1167:O1167"/>
    <mergeCell ref="P1167:R1167"/>
    <mergeCell ref="T1167:U1167"/>
    <mergeCell ref="Y1167:Z1167"/>
    <mergeCell ref="B1168:D1168"/>
    <mergeCell ref="E1168:F1168"/>
    <mergeCell ref="G1168:I1168"/>
    <mergeCell ref="N1168:O1168"/>
    <mergeCell ref="P1168:R1168"/>
    <mergeCell ref="T1168:U1168"/>
    <mergeCell ref="Y1168:Z1168"/>
    <mergeCell ref="B1169:D1169"/>
    <mergeCell ref="E1169:F1169"/>
    <mergeCell ref="G1169:I1169"/>
    <mergeCell ref="N1169:O1169"/>
    <mergeCell ref="P1169:R1169"/>
    <mergeCell ref="T1169:U1169"/>
    <mergeCell ref="Y1169:Z1169"/>
    <mergeCell ref="B1170:D1170"/>
    <mergeCell ref="E1170:F1170"/>
    <mergeCell ref="G1170:I1170"/>
    <mergeCell ref="N1170:O1170"/>
    <mergeCell ref="P1170:R1170"/>
    <mergeCell ref="T1170:U1170"/>
    <mergeCell ref="Y1170:Z1170"/>
    <mergeCell ref="B1171:D1171"/>
    <mergeCell ref="E1171:F1171"/>
    <mergeCell ref="G1171:I1171"/>
    <mergeCell ref="N1171:O1171"/>
    <mergeCell ref="P1171:R1171"/>
    <mergeCell ref="T1171:U1171"/>
    <mergeCell ref="Y1171:Z1171"/>
    <mergeCell ref="B1172:D1172"/>
    <mergeCell ref="E1172:F1172"/>
    <mergeCell ref="G1172:I1172"/>
    <mergeCell ref="N1172:O1172"/>
    <mergeCell ref="P1172:R1172"/>
    <mergeCell ref="T1172:U1172"/>
    <mergeCell ref="Y1172:Z1172"/>
    <mergeCell ref="B1173:D1173"/>
    <mergeCell ref="E1173:F1173"/>
    <mergeCell ref="G1173:I1173"/>
    <mergeCell ref="N1173:O1173"/>
    <mergeCell ref="P1173:R1173"/>
    <mergeCell ref="T1173:U1173"/>
    <mergeCell ref="Y1173:Z1173"/>
    <mergeCell ref="B1174:D1174"/>
    <mergeCell ref="E1174:F1174"/>
    <mergeCell ref="G1174:I1174"/>
    <mergeCell ref="N1174:O1174"/>
    <mergeCell ref="P1174:R1174"/>
    <mergeCell ref="T1174:U1174"/>
    <mergeCell ref="Y1174:Z1174"/>
    <mergeCell ref="B1175:D1175"/>
    <mergeCell ref="E1175:F1175"/>
    <mergeCell ref="G1175:I1175"/>
    <mergeCell ref="N1175:O1175"/>
    <mergeCell ref="P1175:R1175"/>
    <mergeCell ref="T1175:U1175"/>
    <mergeCell ref="Y1175:Z1175"/>
    <mergeCell ref="B1176:D1176"/>
    <mergeCell ref="E1176:F1176"/>
    <mergeCell ref="G1176:I1176"/>
    <mergeCell ref="N1176:O1176"/>
    <mergeCell ref="P1176:R1176"/>
    <mergeCell ref="T1176:U1176"/>
    <mergeCell ref="Y1176:Z1176"/>
    <mergeCell ref="B1177:D1177"/>
    <mergeCell ref="E1177:F1177"/>
    <mergeCell ref="G1177:I1177"/>
    <mergeCell ref="N1177:O1177"/>
    <mergeCell ref="P1177:R1177"/>
    <mergeCell ref="T1177:U1177"/>
    <mergeCell ref="Y1177:Z1177"/>
    <mergeCell ref="B1178:D1178"/>
    <mergeCell ref="E1178:F1178"/>
    <mergeCell ref="G1178:I1178"/>
    <mergeCell ref="N1178:O1178"/>
    <mergeCell ref="P1178:R1178"/>
    <mergeCell ref="T1178:U1178"/>
    <mergeCell ref="Y1178:Z1178"/>
    <mergeCell ref="B1179:D1179"/>
    <mergeCell ref="E1179:F1179"/>
    <mergeCell ref="G1179:I1179"/>
    <mergeCell ref="N1179:O1179"/>
    <mergeCell ref="P1179:R1179"/>
    <mergeCell ref="T1179:U1179"/>
    <mergeCell ref="Y1179:Z1179"/>
    <mergeCell ref="B1180:D1180"/>
    <mergeCell ref="E1180:F1180"/>
    <mergeCell ref="G1180:I1180"/>
    <mergeCell ref="N1180:O1180"/>
    <mergeCell ref="P1180:R1180"/>
    <mergeCell ref="T1180:U1180"/>
    <mergeCell ref="Y1180:Z1180"/>
    <mergeCell ref="B1181:D1181"/>
    <mergeCell ref="E1181:F1181"/>
    <mergeCell ref="G1181:I1181"/>
    <mergeCell ref="N1181:O1181"/>
    <mergeCell ref="P1181:R1181"/>
    <mergeCell ref="T1181:U1181"/>
    <mergeCell ref="Y1181:Z1181"/>
    <mergeCell ref="B1182:D1182"/>
    <mergeCell ref="E1182:F1182"/>
    <mergeCell ref="G1182:I1182"/>
    <mergeCell ref="N1182:O1182"/>
    <mergeCell ref="P1182:R1182"/>
    <mergeCell ref="T1182:U1182"/>
    <mergeCell ref="Y1182:Z1182"/>
    <mergeCell ref="B1183:D1183"/>
    <mergeCell ref="E1183:F1183"/>
    <mergeCell ref="G1183:I1183"/>
    <mergeCell ref="N1183:O1183"/>
    <mergeCell ref="P1183:R1183"/>
    <mergeCell ref="T1183:U1183"/>
    <mergeCell ref="Y1183:Z1183"/>
    <mergeCell ref="B1184:D1184"/>
    <mergeCell ref="E1184:F1184"/>
    <mergeCell ref="G1184:I1184"/>
    <mergeCell ref="N1184:O1184"/>
    <mergeCell ref="P1184:R1184"/>
    <mergeCell ref="T1184:U1184"/>
    <mergeCell ref="Y1184:Z1184"/>
    <mergeCell ref="B1185:D1185"/>
    <mergeCell ref="E1185:F1185"/>
    <mergeCell ref="G1185:I1185"/>
    <mergeCell ref="N1185:O1185"/>
    <mergeCell ref="P1185:R1185"/>
    <mergeCell ref="T1185:U1185"/>
    <mergeCell ref="Y1185:Z1185"/>
    <mergeCell ref="B1186:D1186"/>
    <mergeCell ref="E1186:F1186"/>
    <mergeCell ref="G1186:I1186"/>
    <mergeCell ref="N1186:O1186"/>
    <mergeCell ref="P1186:R1186"/>
    <mergeCell ref="T1186:U1186"/>
    <mergeCell ref="Y1186:Z1186"/>
    <mergeCell ref="B1187:D1187"/>
    <mergeCell ref="E1187:F1187"/>
    <mergeCell ref="G1187:I1187"/>
    <mergeCell ref="N1187:O1187"/>
    <mergeCell ref="P1187:R1187"/>
    <mergeCell ref="T1187:U1187"/>
    <mergeCell ref="Y1187:Z1187"/>
    <mergeCell ref="B1188:D1188"/>
    <mergeCell ref="E1188:F1188"/>
    <mergeCell ref="G1188:I1188"/>
    <mergeCell ref="N1188:O1188"/>
    <mergeCell ref="P1188:R1188"/>
    <mergeCell ref="T1188:U1188"/>
    <mergeCell ref="Y1188:Z1188"/>
    <mergeCell ref="B1189:D1189"/>
    <mergeCell ref="E1189:F1189"/>
    <mergeCell ref="G1189:I1189"/>
    <mergeCell ref="N1189:O1189"/>
    <mergeCell ref="P1189:R1189"/>
    <mergeCell ref="T1189:U1189"/>
    <mergeCell ref="Y1189:Z1189"/>
    <mergeCell ref="B1190:D1190"/>
    <mergeCell ref="E1190:F1190"/>
    <mergeCell ref="G1190:I1190"/>
    <mergeCell ref="N1190:O1190"/>
    <mergeCell ref="P1190:R1190"/>
    <mergeCell ref="T1190:U1190"/>
    <mergeCell ref="Y1190:Z1190"/>
    <mergeCell ref="B1191:D1191"/>
    <mergeCell ref="E1191:F1191"/>
    <mergeCell ref="G1191:I1191"/>
    <mergeCell ref="N1191:O1191"/>
    <mergeCell ref="P1191:R1191"/>
    <mergeCell ref="T1191:U1191"/>
    <mergeCell ref="Y1191:Z1191"/>
    <mergeCell ref="B1192:D1192"/>
    <mergeCell ref="E1192:F1192"/>
    <mergeCell ref="G1192:I1192"/>
    <mergeCell ref="N1192:O1192"/>
    <mergeCell ref="P1192:R1192"/>
    <mergeCell ref="T1192:U1192"/>
    <mergeCell ref="Y1192:Z1192"/>
    <mergeCell ref="B1193:D1193"/>
    <mergeCell ref="E1193:F1193"/>
    <mergeCell ref="G1193:I1193"/>
    <mergeCell ref="N1193:O1193"/>
    <mergeCell ref="P1193:R1193"/>
    <mergeCell ref="T1193:U1193"/>
    <mergeCell ref="Y1193:Z1193"/>
    <mergeCell ref="B1194:D1194"/>
    <mergeCell ref="E1194:F1194"/>
    <mergeCell ref="G1194:I1194"/>
    <mergeCell ref="N1194:O1194"/>
    <mergeCell ref="P1194:R1194"/>
    <mergeCell ref="T1194:U1194"/>
    <mergeCell ref="Y1194:Z1194"/>
    <mergeCell ref="B1195:D1195"/>
    <mergeCell ref="E1195:F1195"/>
    <mergeCell ref="G1195:I1195"/>
    <mergeCell ref="N1195:O1195"/>
    <mergeCell ref="P1195:R1195"/>
    <mergeCell ref="T1195:U1195"/>
    <mergeCell ref="Y1195:Z1195"/>
    <mergeCell ref="B1196:D1196"/>
    <mergeCell ref="E1196:F1196"/>
    <mergeCell ref="G1196:I1196"/>
    <mergeCell ref="N1196:O1196"/>
    <mergeCell ref="P1196:R1196"/>
    <mergeCell ref="T1196:U1196"/>
    <mergeCell ref="Y1196:Z1196"/>
    <mergeCell ref="B1197:D1197"/>
    <mergeCell ref="E1197:F1197"/>
    <mergeCell ref="G1197:I1197"/>
    <mergeCell ref="N1197:O1197"/>
    <mergeCell ref="P1197:R1197"/>
    <mergeCell ref="T1197:U1197"/>
    <mergeCell ref="Y1197:Z1197"/>
    <mergeCell ref="B1198:D1198"/>
    <mergeCell ref="E1198:F1198"/>
    <mergeCell ref="G1198:I1198"/>
    <mergeCell ref="N1198:O1198"/>
    <mergeCell ref="P1198:R1198"/>
    <mergeCell ref="T1198:U1198"/>
    <mergeCell ref="Y1198:Z1198"/>
    <mergeCell ref="B1199:D1199"/>
    <mergeCell ref="E1199:F1199"/>
    <mergeCell ref="G1199:I1199"/>
    <mergeCell ref="N1199:O1199"/>
    <mergeCell ref="P1199:R1199"/>
    <mergeCell ref="T1199:U1199"/>
    <mergeCell ref="Y1199:Z1199"/>
    <mergeCell ref="B1200:D1200"/>
    <mergeCell ref="E1200:F1200"/>
    <mergeCell ref="G1200:I1200"/>
    <mergeCell ref="N1200:O1200"/>
    <mergeCell ref="P1200:R1200"/>
    <mergeCell ref="T1200:U1200"/>
    <mergeCell ref="Y1200:Z1200"/>
    <mergeCell ref="B1201:D1201"/>
    <mergeCell ref="E1201:F1201"/>
    <mergeCell ref="G1201:I1201"/>
    <mergeCell ref="N1201:O1201"/>
    <mergeCell ref="P1201:R1201"/>
    <mergeCell ref="T1201:U1201"/>
    <mergeCell ref="Y1201:Z1201"/>
    <mergeCell ref="B1202:D1202"/>
    <mergeCell ref="E1202:F1202"/>
    <mergeCell ref="G1202:I1202"/>
    <mergeCell ref="N1202:O1202"/>
    <mergeCell ref="P1202:R1202"/>
    <mergeCell ref="T1202:U1202"/>
    <mergeCell ref="Y1202:Z1202"/>
    <mergeCell ref="B1203:D1203"/>
    <mergeCell ref="E1203:F1203"/>
    <mergeCell ref="G1203:I1203"/>
    <mergeCell ref="N1203:O1203"/>
    <mergeCell ref="P1203:R1203"/>
    <mergeCell ref="T1203:U1203"/>
    <mergeCell ref="Y1203:Z1203"/>
    <mergeCell ref="B1204:D1204"/>
    <mergeCell ref="E1204:F1204"/>
    <mergeCell ref="G1204:I1204"/>
    <mergeCell ref="N1204:O1204"/>
    <mergeCell ref="P1204:R1204"/>
    <mergeCell ref="T1204:U1204"/>
    <mergeCell ref="Y1204:Z1204"/>
    <mergeCell ref="B1205:D1205"/>
    <mergeCell ref="E1205:F1205"/>
    <mergeCell ref="G1205:I1205"/>
    <mergeCell ref="N1205:O1205"/>
    <mergeCell ref="P1205:R1205"/>
    <mergeCell ref="T1205:U1205"/>
    <mergeCell ref="Y1205:Z1205"/>
    <mergeCell ref="B1206:D1206"/>
    <mergeCell ref="E1206:F1206"/>
    <mergeCell ref="G1206:I1206"/>
    <mergeCell ref="N1206:O1206"/>
    <mergeCell ref="P1206:R1206"/>
    <mergeCell ref="T1206:U1206"/>
    <mergeCell ref="Y1206:Z1206"/>
    <mergeCell ref="B1207:D1207"/>
    <mergeCell ref="E1207:F1207"/>
    <mergeCell ref="G1207:I1207"/>
    <mergeCell ref="N1207:O1207"/>
    <mergeCell ref="P1207:R1207"/>
    <mergeCell ref="T1207:U1207"/>
    <mergeCell ref="Y1207:Z1207"/>
    <mergeCell ref="B1208:D1208"/>
    <mergeCell ref="E1208:F1208"/>
    <mergeCell ref="G1208:I1208"/>
    <mergeCell ref="N1208:O1208"/>
    <mergeCell ref="P1208:R1208"/>
    <mergeCell ref="T1208:U1208"/>
    <mergeCell ref="Y1208:Z1208"/>
    <mergeCell ref="B1209:D1209"/>
    <mergeCell ref="E1209:F1209"/>
    <mergeCell ref="G1209:I1209"/>
    <mergeCell ref="N1209:O1209"/>
    <mergeCell ref="P1209:R1209"/>
    <mergeCell ref="T1209:U1209"/>
    <mergeCell ref="Y1209:Z1209"/>
    <mergeCell ref="B1210:D1210"/>
    <mergeCell ref="E1210:F1210"/>
    <mergeCell ref="G1210:I1210"/>
    <mergeCell ref="N1210:O1210"/>
    <mergeCell ref="P1210:R1210"/>
    <mergeCell ref="T1210:U1210"/>
    <mergeCell ref="Y1210:Z1210"/>
    <mergeCell ref="B1211:D1211"/>
    <mergeCell ref="E1211:F1211"/>
    <mergeCell ref="G1211:I1211"/>
    <mergeCell ref="N1211:O1211"/>
    <mergeCell ref="P1211:R1211"/>
    <mergeCell ref="T1211:U1211"/>
    <mergeCell ref="Y1211:Z1211"/>
    <mergeCell ref="B1212:D1212"/>
    <mergeCell ref="E1212:F1212"/>
    <mergeCell ref="G1212:I1212"/>
    <mergeCell ref="N1212:O1212"/>
    <mergeCell ref="P1212:R1212"/>
    <mergeCell ref="T1212:U1212"/>
    <mergeCell ref="Y1212:Z1212"/>
    <mergeCell ref="B1213:D1213"/>
    <mergeCell ref="E1213:F1213"/>
    <mergeCell ref="G1213:I1213"/>
    <mergeCell ref="N1213:O1213"/>
    <mergeCell ref="P1213:R1213"/>
    <mergeCell ref="T1213:U1213"/>
    <mergeCell ref="Y1213:Z1213"/>
    <mergeCell ref="B1214:D1214"/>
    <mergeCell ref="E1214:F1214"/>
    <mergeCell ref="G1214:I1214"/>
    <mergeCell ref="N1214:O1214"/>
    <mergeCell ref="P1214:R1214"/>
    <mergeCell ref="T1214:U1214"/>
    <mergeCell ref="Y1214:Z1214"/>
    <mergeCell ref="B1215:D1215"/>
    <mergeCell ref="E1215:F1215"/>
    <mergeCell ref="G1215:I1215"/>
    <mergeCell ref="N1215:O1215"/>
    <mergeCell ref="P1215:R1215"/>
    <mergeCell ref="T1215:U1215"/>
    <mergeCell ref="Y1215:Z1215"/>
    <mergeCell ref="B1216:D1216"/>
    <mergeCell ref="E1216:F1216"/>
    <mergeCell ref="G1216:I1216"/>
    <mergeCell ref="N1216:O1216"/>
    <mergeCell ref="P1216:R1216"/>
    <mergeCell ref="T1216:U1216"/>
    <mergeCell ref="Y1216:Z1216"/>
    <mergeCell ref="B1217:D1217"/>
    <mergeCell ref="E1217:F1217"/>
    <mergeCell ref="G1217:I1217"/>
    <mergeCell ref="N1217:O1217"/>
    <mergeCell ref="P1217:R1217"/>
    <mergeCell ref="T1217:U1217"/>
    <mergeCell ref="Y1217:Z1217"/>
    <mergeCell ref="B1218:D1218"/>
    <mergeCell ref="E1218:F1218"/>
    <mergeCell ref="G1218:I1218"/>
    <mergeCell ref="N1218:O1218"/>
    <mergeCell ref="P1218:R1218"/>
    <mergeCell ref="T1218:U1218"/>
    <mergeCell ref="Y1218:Z1218"/>
    <mergeCell ref="B1219:D1219"/>
    <mergeCell ref="E1219:F1219"/>
    <mergeCell ref="G1219:I1219"/>
    <mergeCell ref="N1219:O1219"/>
    <mergeCell ref="P1219:R1219"/>
    <mergeCell ref="T1219:U1219"/>
    <mergeCell ref="Y1219:Z1219"/>
    <mergeCell ref="B1222:D1222"/>
    <mergeCell ref="E1222:F1222"/>
    <mergeCell ref="G1222:I1222"/>
    <mergeCell ref="N1222:O1222"/>
    <mergeCell ref="P1222:R1222"/>
    <mergeCell ref="T1222:U1222"/>
    <mergeCell ref="Y1222:Z1222"/>
    <mergeCell ref="B1223:D1223"/>
    <mergeCell ref="E1223:F1223"/>
    <mergeCell ref="G1223:I1223"/>
    <mergeCell ref="N1223:O1223"/>
    <mergeCell ref="P1223:R1223"/>
    <mergeCell ref="T1223:U1223"/>
    <mergeCell ref="Y1223:Z1223"/>
    <mergeCell ref="B1224:D1224"/>
    <mergeCell ref="E1224:F1224"/>
    <mergeCell ref="G1224:I1224"/>
    <mergeCell ref="N1224:O1224"/>
    <mergeCell ref="P1224:R1224"/>
    <mergeCell ref="T1224:U1224"/>
    <mergeCell ref="Y1224:Z1224"/>
    <mergeCell ref="B1225:D1225"/>
    <mergeCell ref="E1225:F1225"/>
    <mergeCell ref="G1225:I1225"/>
    <mergeCell ref="N1225:O1225"/>
    <mergeCell ref="P1225:R1225"/>
    <mergeCell ref="T1225:U1225"/>
    <mergeCell ref="Y1225:Z1225"/>
    <mergeCell ref="B1226:D1226"/>
    <mergeCell ref="E1226:F1226"/>
    <mergeCell ref="G1226:I1226"/>
    <mergeCell ref="N1226:O1226"/>
    <mergeCell ref="P1226:R1226"/>
    <mergeCell ref="T1226:U1226"/>
    <mergeCell ref="Y1226:Z1226"/>
    <mergeCell ref="B1227:D1227"/>
    <mergeCell ref="E1227:F1227"/>
    <mergeCell ref="G1227:I1227"/>
    <mergeCell ref="N1227:O1227"/>
    <mergeCell ref="P1227:R1227"/>
    <mergeCell ref="T1227:U1227"/>
    <mergeCell ref="Y1227:Z1227"/>
    <mergeCell ref="B1228:D1228"/>
    <mergeCell ref="E1228:F1228"/>
    <mergeCell ref="G1228:I1228"/>
    <mergeCell ref="N1228:O1228"/>
    <mergeCell ref="P1228:R1228"/>
    <mergeCell ref="T1228:U1228"/>
    <mergeCell ref="Y1228:Z1228"/>
    <mergeCell ref="B1229:D1229"/>
    <mergeCell ref="E1229:F1229"/>
    <mergeCell ref="G1229:I1229"/>
    <mergeCell ref="N1229:O1229"/>
    <mergeCell ref="P1229:R1229"/>
    <mergeCell ref="T1229:U1229"/>
    <mergeCell ref="Y1229:Z1229"/>
    <mergeCell ref="B1230:D1230"/>
    <mergeCell ref="E1230:F1230"/>
    <mergeCell ref="G1230:I1230"/>
    <mergeCell ref="N1230:O1230"/>
    <mergeCell ref="P1230:R1230"/>
    <mergeCell ref="T1230:U1230"/>
    <mergeCell ref="Y1230:Z1230"/>
    <mergeCell ref="B1231:D1231"/>
    <mergeCell ref="E1231:F1231"/>
    <mergeCell ref="G1231:I1231"/>
    <mergeCell ref="N1231:O1231"/>
    <mergeCell ref="P1231:R1231"/>
    <mergeCell ref="T1231:U1231"/>
    <mergeCell ref="Y1231:Z1231"/>
    <mergeCell ref="B1232:D1232"/>
    <mergeCell ref="E1232:F1232"/>
    <mergeCell ref="G1232:I1232"/>
    <mergeCell ref="N1232:O1232"/>
    <mergeCell ref="P1232:R1232"/>
    <mergeCell ref="T1232:U1232"/>
    <mergeCell ref="Y1232:Z1232"/>
    <mergeCell ref="B1233:D1233"/>
    <mergeCell ref="E1233:F1233"/>
    <mergeCell ref="G1233:I1233"/>
    <mergeCell ref="N1233:O1233"/>
    <mergeCell ref="P1233:R1233"/>
    <mergeCell ref="T1233:U1233"/>
    <mergeCell ref="Y1233:Z1233"/>
    <mergeCell ref="B1234:D1234"/>
    <mergeCell ref="E1234:F1234"/>
    <mergeCell ref="G1234:I1234"/>
    <mergeCell ref="N1234:O1234"/>
    <mergeCell ref="P1234:R1234"/>
    <mergeCell ref="T1234:U1234"/>
    <mergeCell ref="Y1234:Z1234"/>
    <mergeCell ref="B1235:D1235"/>
    <mergeCell ref="E1235:F1235"/>
    <mergeCell ref="G1235:I1235"/>
    <mergeCell ref="N1235:O1235"/>
    <mergeCell ref="P1235:R1235"/>
    <mergeCell ref="T1235:U1235"/>
    <mergeCell ref="Y1235:Z1235"/>
    <mergeCell ref="B1236:D1236"/>
    <mergeCell ref="E1236:F1236"/>
    <mergeCell ref="G1236:I1236"/>
    <mergeCell ref="N1236:O1236"/>
    <mergeCell ref="P1236:R1236"/>
    <mergeCell ref="T1236:U1236"/>
    <mergeCell ref="Y1236:Z1236"/>
    <mergeCell ref="B1237:D1237"/>
    <mergeCell ref="E1237:F1237"/>
    <mergeCell ref="G1237:I1237"/>
    <mergeCell ref="N1237:O1237"/>
    <mergeCell ref="P1237:R1237"/>
    <mergeCell ref="T1237:U1237"/>
    <mergeCell ref="Y1237:Z1237"/>
    <mergeCell ref="B1238:D1238"/>
    <mergeCell ref="E1238:F1238"/>
    <mergeCell ref="G1238:I1238"/>
    <mergeCell ref="N1238:O1238"/>
    <mergeCell ref="P1238:R1238"/>
    <mergeCell ref="T1238:U1238"/>
    <mergeCell ref="Y1238:Z1238"/>
    <mergeCell ref="B1239:D1239"/>
    <mergeCell ref="E1239:F1239"/>
    <mergeCell ref="G1239:I1239"/>
    <mergeCell ref="N1239:O1239"/>
    <mergeCell ref="P1239:R1239"/>
    <mergeCell ref="T1239:U1239"/>
    <mergeCell ref="Y1239:Z1239"/>
    <mergeCell ref="B1240:D1240"/>
    <mergeCell ref="E1240:F1240"/>
    <mergeCell ref="G1240:I1240"/>
    <mergeCell ref="N1240:O1240"/>
    <mergeCell ref="P1240:R1240"/>
    <mergeCell ref="T1240:U1240"/>
    <mergeCell ref="Y1240:Z1240"/>
    <mergeCell ref="B1241:D1241"/>
    <mergeCell ref="E1241:F1241"/>
    <mergeCell ref="G1241:I1241"/>
    <mergeCell ref="N1241:O1241"/>
    <mergeCell ref="P1241:R1241"/>
    <mergeCell ref="T1241:U1241"/>
    <mergeCell ref="Y1241:Z1241"/>
    <mergeCell ref="B1242:D1242"/>
    <mergeCell ref="E1242:F1242"/>
    <mergeCell ref="G1242:I1242"/>
    <mergeCell ref="N1242:O1242"/>
    <mergeCell ref="P1242:R1242"/>
    <mergeCell ref="T1242:U1242"/>
    <mergeCell ref="Y1242:Z1242"/>
    <mergeCell ref="B1243:D1243"/>
    <mergeCell ref="E1243:F1243"/>
    <mergeCell ref="G1243:I1243"/>
    <mergeCell ref="N1243:O1243"/>
    <mergeCell ref="P1243:R1243"/>
    <mergeCell ref="T1243:U1243"/>
    <mergeCell ref="Y1243:Z1243"/>
    <mergeCell ref="B1244:D1244"/>
    <mergeCell ref="E1244:F1244"/>
    <mergeCell ref="G1244:I1244"/>
    <mergeCell ref="N1244:O1244"/>
    <mergeCell ref="P1244:R1244"/>
    <mergeCell ref="T1244:U1244"/>
    <mergeCell ref="Y1244:Z1244"/>
    <mergeCell ref="B1245:D1245"/>
    <mergeCell ref="E1245:F1245"/>
    <mergeCell ref="G1245:I1245"/>
    <mergeCell ref="N1245:O1245"/>
    <mergeCell ref="P1245:R1245"/>
    <mergeCell ref="T1245:U1245"/>
    <mergeCell ref="Y1245:Z1245"/>
    <mergeCell ref="B1246:D1246"/>
    <mergeCell ref="E1246:F1246"/>
    <mergeCell ref="G1246:I1246"/>
    <mergeCell ref="N1246:O1246"/>
    <mergeCell ref="P1246:R1246"/>
    <mergeCell ref="T1246:U1246"/>
    <mergeCell ref="Y1246:Z1246"/>
    <mergeCell ref="B1247:D1247"/>
    <mergeCell ref="E1247:F1247"/>
    <mergeCell ref="G1247:I1247"/>
    <mergeCell ref="N1247:O1247"/>
    <mergeCell ref="P1247:R1247"/>
    <mergeCell ref="T1247:U1247"/>
    <mergeCell ref="Y1247:Z1247"/>
    <mergeCell ref="B1248:D1248"/>
    <mergeCell ref="E1248:F1248"/>
    <mergeCell ref="G1248:I1248"/>
    <mergeCell ref="N1248:O1248"/>
    <mergeCell ref="P1248:R1248"/>
    <mergeCell ref="T1248:U1248"/>
    <mergeCell ref="Y1248:Z1248"/>
    <mergeCell ref="B1249:D1249"/>
    <mergeCell ref="E1249:F1249"/>
    <mergeCell ref="G1249:I1249"/>
    <mergeCell ref="N1249:O1249"/>
    <mergeCell ref="P1249:R1249"/>
    <mergeCell ref="T1249:U1249"/>
    <mergeCell ref="Y1249:Z1249"/>
    <mergeCell ref="B1250:D1250"/>
    <mergeCell ref="E1250:F1250"/>
    <mergeCell ref="G1250:I1250"/>
    <mergeCell ref="N1250:O1250"/>
    <mergeCell ref="P1250:R1250"/>
    <mergeCell ref="T1250:U1250"/>
    <mergeCell ref="Y1250:Z1250"/>
    <mergeCell ref="B1251:D1251"/>
    <mergeCell ref="E1251:F1251"/>
    <mergeCell ref="G1251:I1251"/>
    <mergeCell ref="N1251:O1251"/>
    <mergeCell ref="P1251:R1251"/>
    <mergeCell ref="T1251:U1251"/>
    <mergeCell ref="Y1251:Z1251"/>
    <mergeCell ref="B1252:D1252"/>
    <mergeCell ref="E1252:F1252"/>
    <mergeCell ref="G1252:I1252"/>
    <mergeCell ref="N1252:O1252"/>
    <mergeCell ref="P1252:R1252"/>
    <mergeCell ref="T1252:U1252"/>
    <mergeCell ref="Y1252:Z1252"/>
    <mergeCell ref="B1253:D1253"/>
    <mergeCell ref="E1253:F1253"/>
    <mergeCell ref="G1253:I1253"/>
    <mergeCell ref="N1253:O1253"/>
    <mergeCell ref="P1253:R1253"/>
    <mergeCell ref="T1253:U1253"/>
    <mergeCell ref="Y1253:Z1253"/>
    <mergeCell ref="B1254:D1254"/>
    <mergeCell ref="E1254:F1254"/>
    <mergeCell ref="G1254:I1254"/>
    <mergeCell ref="N1254:O1254"/>
    <mergeCell ref="P1254:R1254"/>
    <mergeCell ref="T1254:U1254"/>
    <mergeCell ref="Y1254:Z1254"/>
    <mergeCell ref="B1255:D1255"/>
    <mergeCell ref="E1255:F1255"/>
    <mergeCell ref="G1255:I1255"/>
    <mergeCell ref="N1255:O1255"/>
    <mergeCell ref="P1255:R1255"/>
    <mergeCell ref="T1255:U1255"/>
    <mergeCell ref="Y1255:Z1255"/>
    <mergeCell ref="B1256:D1256"/>
    <mergeCell ref="E1256:F1256"/>
    <mergeCell ref="G1256:I1256"/>
    <mergeCell ref="N1256:O1256"/>
    <mergeCell ref="P1256:R1256"/>
    <mergeCell ref="T1256:U1256"/>
    <mergeCell ref="Y1256:Z1256"/>
    <mergeCell ref="B1257:D1257"/>
    <mergeCell ref="E1257:F1257"/>
    <mergeCell ref="G1257:I1257"/>
    <mergeCell ref="N1257:O1257"/>
    <mergeCell ref="P1257:R1257"/>
    <mergeCell ref="T1257:U1257"/>
    <mergeCell ref="Y1257:Z1257"/>
    <mergeCell ref="B1258:D1258"/>
    <mergeCell ref="E1258:F1258"/>
    <mergeCell ref="G1258:I1258"/>
    <mergeCell ref="N1258:O1258"/>
    <mergeCell ref="P1258:R1258"/>
    <mergeCell ref="T1258:U1258"/>
    <mergeCell ref="Y1258:Z1258"/>
    <mergeCell ref="B1259:D1259"/>
    <mergeCell ref="E1259:F1259"/>
    <mergeCell ref="G1259:I1259"/>
    <mergeCell ref="N1259:O1259"/>
    <mergeCell ref="P1259:R1259"/>
    <mergeCell ref="T1259:U1259"/>
    <mergeCell ref="Y1259:Z1259"/>
    <mergeCell ref="B1260:D1260"/>
    <mergeCell ref="E1260:F1260"/>
    <mergeCell ref="G1260:I1260"/>
    <mergeCell ref="N1260:O1260"/>
    <mergeCell ref="P1260:R1260"/>
    <mergeCell ref="T1260:U1260"/>
    <mergeCell ref="Y1260:Z1260"/>
    <mergeCell ref="B1261:D1261"/>
    <mergeCell ref="E1261:F1261"/>
    <mergeCell ref="G1261:I1261"/>
    <mergeCell ref="N1261:O1261"/>
    <mergeCell ref="P1261:R1261"/>
    <mergeCell ref="T1261:U1261"/>
    <mergeCell ref="Y1261:Z1261"/>
    <mergeCell ref="B1262:D1262"/>
    <mergeCell ref="E1262:F1262"/>
    <mergeCell ref="G1262:I1262"/>
    <mergeCell ref="N1262:O1262"/>
    <mergeCell ref="P1262:R1262"/>
    <mergeCell ref="T1262:U1262"/>
    <mergeCell ref="Y1262:Z1262"/>
    <mergeCell ref="B1263:D1263"/>
    <mergeCell ref="E1263:F1263"/>
    <mergeCell ref="G1263:I1263"/>
    <mergeCell ref="N1263:O1263"/>
    <mergeCell ref="P1263:R1263"/>
    <mergeCell ref="T1263:U1263"/>
    <mergeCell ref="Y1263:Z1263"/>
    <mergeCell ref="B1264:D1264"/>
    <mergeCell ref="E1264:F1264"/>
    <mergeCell ref="G1264:I1264"/>
    <mergeCell ref="N1264:O1264"/>
    <mergeCell ref="P1264:R1264"/>
    <mergeCell ref="T1264:U1264"/>
    <mergeCell ref="Y1264:Z1264"/>
    <mergeCell ref="B1265:D1265"/>
    <mergeCell ref="E1265:F1265"/>
    <mergeCell ref="G1265:I1265"/>
    <mergeCell ref="N1265:O1265"/>
    <mergeCell ref="P1265:R1265"/>
    <mergeCell ref="T1265:U1265"/>
    <mergeCell ref="Y1265:Z1265"/>
    <mergeCell ref="B1266:D1266"/>
    <mergeCell ref="E1266:F1266"/>
    <mergeCell ref="G1266:I1266"/>
    <mergeCell ref="N1266:O1266"/>
    <mergeCell ref="P1266:R1266"/>
    <mergeCell ref="T1266:U1266"/>
    <mergeCell ref="Y1266:Z1266"/>
    <mergeCell ref="B1267:D1267"/>
    <mergeCell ref="E1267:F1267"/>
    <mergeCell ref="G1267:I1267"/>
    <mergeCell ref="N1267:O1267"/>
    <mergeCell ref="P1267:R1267"/>
    <mergeCell ref="T1267:U1267"/>
    <mergeCell ref="Y1267:Z1267"/>
    <mergeCell ref="B1268:D1268"/>
    <mergeCell ref="E1268:F1268"/>
    <mergeCell ref="G1268:I1268"/>
    <mergeCell ref="N1268:O1268"/>
    <mergeCell ref="P1268:R1268"/>
    <mergeCell ref="T1268:U1268"/>
    <mergeCell ref="Y1268:Z1268"/>
    <mergeCell ref="B1269:D1269"/>
    <mergeCell ref="E1269:F1269"/>
    <mergeCell ref="G1269:I1269"/>
    <mergeCell ref="N1269:O1269"/>
    <mergeCell ref="P1269:R1269"/>
    <mergeCell ref="T1269:U1269"/>
    <mergeCell ref="Y1269:Z1269"/>
    <mergeCell ref="B1270:D1270"/>
    <mergeCell ref="E1270:F1270"/>
    <mergeCell ref="G1270:I1270"/>
    <mergeCell ref="N1270:O1270"/>
    <mergeCell ref="P1270:R1270"/>
    <mergeCell ref="T1270:U1270"/>
    <mergeCell ref="Y1270:Z1270"/>
    <mergeCell ref="B1271:D1271"/>
    <mergeCell ref="E1271:F1271"/>
    <mergeCell ref="G1271:I1271"/>
    <mergeCell ref="N1271:O1271"/>
    <mergeCell ref="P1271:R1271"/>
    <mergeCell ref="T1271:U1271"/>
    <mergeCell ref="Y1271:Z1271"/>
    <mergeCell ref="B1272:D1272"/>
    <mergeCell ref="E1272:F1272"/>
    <mergeCell ref="G1272:I1272"/>
    <mergeCell ref="N1272:O1272"/>
    <mergeCell ref="P1272:R1272"/>
    <mergeCell ref="T1272:U1272"/>
    <mergeCell ref="Y1272:Z1272"/>
    <mergeCell ref="B1273:D1273"/>
    <mergeCell ref="E1273:F1273"/>
    <mergeCell ref="G1273:I1273"/>
    <mergeCell ref="N1273:O1273"/>
    <mergeCell ref="P1273:R1273"/>
    <mergeCell ref="T1273:U1273"/>
    <mergeCell ref="Y1273:Z1273"/>
    <mergeCell ref="B1274:D1274"/>
    <mergeCell ref="E1274:F1274"/>
    <mergeCell ref="G1274:I1274"/>
    <mergeCell ref="N1274:O1274"/>
    <mergeCell ref="P1274:R1274"/>
    <mergeCell ref="T1274:U1274"/>
    <mergeCell ref="Y1274:Z1274"/>
    <mergeCell ref="B1275:D1275"/>
    <mergeCell ref="E1275:F1275"/>
    <mergeCell ref="G1275:I1275"/>
    <mergeCell ref="N1275:O1275"/>
    <mergeCell ref="P1275:R1275"/>
    <mergeCell ref="T1275:U1275"/>
    <mergeCell ref="Y1275:Z1275"/>
    <mergeCell ref="B1276:D1276"/>
    <mergeCell ref="E1276:F1276"/>
    <mergeCell ref="G1276:I1276"/>
    <mergeCell ref="N1276:O1276"/>
    <mergeCell ref="P1276:R1276"/>
    <mergeCell ref="T1276:U1276"/>
    <mergeCell ref="Y1276:Z1276"/>
    <mergeCell ref="B1277:D1277"/>
    <mergeCell ref="E1277:F1277"/>
    <mergeCell ref="G1277:I1277"/>
    <mergeCell ref="N1277:O1277"/>
    <mergeCell ref="P1277:R1277"/>
    <mergeCell ref="T1277:U1277"/>
    <mergeCell ref="Y1277:Z1277"/>
    <mergeCell ref="B1278:D1278"/>
    <mergeCell ref="E1278:F1278"/>
    <mergeCell ref="G1278:I1278"/>
    <mergeCell ref="N1278:O1278"/>
    <mergeCell ref="P1278:R1278"/>
    <mergeCell ref="T1278:U1278"/>
    <mergeCell ref="Y1278:Z1278"/>
    <mergeCell ref="B1279:D1279"/>
    <mergeCell ref="E1279:F1279"/>
    <mergeCell ref="G1279:I1279"/>
    <mergeCell ref="N1279:O1279"/>
    <mergeCell ref="P1279:R1279"/>
    <mergeCell ref="T1279:U1279"/>
    <mergeCell ref="Y1279:Z1279"/>
    <mergeCell ref="B1280:D1280"/>
    <mergeCell ref="E1280:F1280"/>
    <mergeCell ref="G1280:I1280"/>
    <mergeCell ref="N1280:O1280"/>
    <mergeCell ref="P1280:R1280"/>
    <mergeCell ref="T1280:U1280"/>
    <mergeCell ref="Y1280:Z1280"/>
    <mergeCell ref="B1281:D1281"/>
    <mergeCell ref="E1281:F1281"/>
    <mergeCell ref="G1281:I1281"/>
    <mergeCell ref="N1281:O1281"/>
    <mergeCell ref="P1281:R1281"/>
    <mergeCell ref="T1281:U1281"/>
    <mergeCell ref="Y1281:Z1281"/>
    <mergeCell ref="B1282:D1282"/>
    <mergeCell ref="E1282:F1282"/>
    <mergeCell ref="G1282:I1282"/>
    <mergeCell ref="N1282:O1282"/>
    <mergeCell ref="P1282:R1282"/>
    <mergeCell ref="T1282:U1282"/>
    <mergeCell ref="Y1282:Z1282"/>
    <mergeCell ref="B1283:D1283"/>
    <mergeCell ref="E1283:F1283"/>
    <mergeCell ref="G1283:I1283"/>
    <mergeCell ref="N1283:O1283"/>
    <mergeCell ref="P1283:R1283"/>
    <mergeCell ref="T1283:U1283"/>
    <mergeCell ref="Y1283:Z1283"/>
    <mergeCell ref="B1284:D1284"/>
    <mergeCell ref="E1284:F1284"/>
    <mergeCell ref="G1284:I1284"/>
    <mergeCell ref="N1284:O1284"/>
    <mergeCell ref="P1284:R1284"/>
    <mergeCell ref="T1284:U1284"/>
    <mergeCell ref="Y1284:Z1284"/>
    <mergeCell ref="B1285:D1285"/>
    <mergeCell ref="E1285:F1285"/>
    <mergeCell ref="G1285:I1285"/>
    <mergeCell ref="N1285:O1285"/>
    <mergeCell ref="P1285:R1285"/>
    <mergeCell ref="T1285:U1285"/>
    <mergeCell ref="Y1285:Z1285"/>
    <mergeCell ref="B1286:D1286"/>
    <mergeCell ref="E1286:F1286"/>
    <mergeCell ref="G1286:I1286"/>
    <mergeCell ref="N1286:O1286"/>
    <mergeCell ref="P1286:R1286"/>
    <mergeCell ref="T1286:U1286"/>
    <mergeCell ref="Y1286:Z1286"/>
    <mergeCell ref="B1287:D1287"/>
    <mergeCell ref="E1287:F1287"/>
    <mergeCell ref="G1287:I1287"/>
    <mergeCell ref="N1287:O1287"/>
    <mergeCell ref="P1287:R1287"/>
    <mergeCell ref="T1287:U1287"/>
    <mergeCell ref="Y1287:Z1287"/>
    <mergeCell ref="B1288:D1288"/>
    <mergeCell ref="E1288:F1288"/>
    <mergeCell ref="G1288:I1288"/>
    <mergeCell ref="N1288:O1288"/>
    <mergeCell ref="P1288:R1288"/>
    <mergeCell ref="T1288:U1288"/>
    <mergeCell ref="Y1288:Z1288"/>
    <mergeCell ref="B1289:D1289"/>
    <mergeCell ref="E1289:F1289"/>
    <mergeCell ref="G1289:I1289"/>
    <mergeCell ref="N1289:O1289"/>
    <mergeCell ref="P1289:R1289"/>
    <mergeCell ref="T1289:U1289"/>
    <mergeCell ref="Y1289:Z1289"/>
    <mergeCell ref="B1290:D1290"/>
    <mergeCell ref="E1290:F1290"/>
    <mergeCell ref="G1290:I1290"/>
    <mergeCell ref="N1290:O1290"/>
    <mergeCell ref="P1290:R1290"/>
    <mergeCell ref="T1290:U1290"/>
    <mergeCell ref="Y1290:Z1290"/>
    <mergeCell ref="B1291:D1291"/>
    <mergeCell ref="E1291:F1291"/>
    <mergeCell ref="G1291:I1291"/>
    <mergeCell ref="N1291:O1291"/>
    <mergeCell ref="P1291:R1291"/>
    <mergeCell ref="T1291:U1291"/>
    <mergeCell ref="Y1291:Z1291"/>
    <mergeCell ref="B1292:D1292"/>
    <mergeCell ref="E1292:F1292"/>
    <mergeCell ref="G1292:I1292"/>
    <mergeCell ref="N1292:O1292"/>
    <mergeCell ref="P1292:R1292"/>
    <mergeCell ref="T1292:U1292"/>
    <mergeCell ref="Y1292:Z1292"/>
    <mergeCell ref="B1293:D1293"/>
    <mergeCell ref="E1293:F1293"/>
    <mergeCell ref="G1293:I1293"/>
    <mergeCell ref="N1293:O1293"/>
    <mergeCell ref="P1293:R1293"/>
    <mergeCell ref="T1293:U1293"/>
    <mergeCell ref="Y1293:Z1293"/>
    <mergeCell ref="B1294:D1294"/>
    <mergeCell ref="E1294:F1294"/>
    <mergeCell ref="G1294:I1294"/>
    <mergeCell ref="N1294:O1294"/>
    <mergeCell ref="P1294:R1294"/>
    <mergeCell ref="T1294:U1294"/>
    <mergeCell ref="Y1294:Z1294"/>
    <mergeCell ref="B1295:D1295"/>
    <mergeCell ref="E1295:F1295"/>
    <mergeCell ref="G1295:I1295"/>
    <mergeCell ref="N1295:O1295"/>
    <mergeCell ref="P1295:R1295"/>
    <mergeCell ref="T1295:U1295"/>
    <mergeCell ref="Y1295:Z1295"/>
    <mergeCell ref="B1296:D1296"/>
    <mergeCell ref="E1296:F1296"/>
    <mergeCell ref="G1296:I1296"/>
    <mergeCell ref="N1296:O1296"/>
    <mergeCell ref="P1296:R1296"/>
    <mergeCell ref="T1296:U1296"/>
    <mergeCell ref="Y1296:Z1296"/>
    <mergeCell ref="B1297:D1297"/>
    <mergeCell ref="E1297:F1297"/>
    <mergeCell ref="G1297:I1297"/>
    <mergeCell ref="N1297:O1297"/>
    <mergeCell ref="P1297:R1297"/>
    <mergeCell ref="T1297:U1297"/>
    <mergeCell ref="Y1297:Z1297"/>
    <mergeCell ref="B1298:D1298"/>
    <mergeCell ref="E1298:F1298"/>
    <mergeCell ref="G1298:I1298"/>
    <mergeCell ref="N1298:O1298"/>
    <mergeCell ref="P1298:R1298"/>
    <mergeCell ref="T1298:U1298"/>
    <mergeCell ref="Y1298:Z1298"/>
    <mergeCell ref="B1299:D1299"/>
    <mergeCell ref="E1299:F1299"/>
    <mergeCell ref="G1299:I1299"/>
    <mergeCell ref="N1299:O1299"/>
    <mergeCell ref="P1299:R1299"/>
    <mergeCell ref="T1299:U1299"/>
    <mergeCell ref="Y1299:Z1299"/>
    <mergeCell ref="B1300:D1300"/>
    <mergeCell ref="E1300:F1300"/>
    <mergeCell ref="G1300:I1300"/>
    <mergeCell ref="N1300:O1300"/>
    <mergeCell ref="P1300:R1300"/>
    <mergeCell ref="T1300:U1300"/>
    <mergeCell ref="Y1300:Z1300"/>
    <mergeCell ref="B1303:D1303"/>
    <mergeCell ref="E1303:F1303"/>
    <mergeCell ref="G1303:I1303"/>
    <mergeCell ref="N1303:O1303"/>
    <mergeCell ref="P1303:R1303"/>
    <mergeCell ref="T1303:U1303"/>
    <mergeCell ref="Y1303:Z1303"/>
    <mergeCell ref="B1304:D1304"/>
    <mergeCell ref="E1304:F1304"/>
    <mergeCell ref="G1304:I1304"/>
    <mergeCell ref="N1304:O1304"/>
    <mergeCell ref="P1304:R1304"/>
    <mergeCell ref="T1304:U1304"/>
    <mergeCell ref="Y1304:Z1304"/>
    <mergeCell ref="B1305:D1305"/>
    <mergeCell ref="E1305:F1305"/>
    <mergeCell ref="G1305:I1305"/>
    <mergeCell ref="N1305:O1305"/>
    <mergeCell ref="P1305:R1305"/>
    <mergeCell ref="T1305:U1305"/>
    <mergeCell ref="Y1305:Z1305"/>
    <mergeCell ref="B1306:D1306"/>
    <mergeCell ref="E1306:F1306"/>
    <mergeCell ref="G1306:I1306"/>
    <mergeCell ref="N1306:O1306"/>
    <mergeCell ref="P1306:R1306"/>
    <mergeCell ref="T1306:U1306"/>
    <mergeCell ref="Y1306:Z1306"/>
    <mergeCell ref="B1307:D1307"/>
    <mergeCell ref="E1307:F1307"/>
    <mergeCell ref="G1307:I1307"/>
    <mergeCell ref="N1307:O1307"/>
    <mergeCell ref="P1307:R1307"/>
    <mergeCell ref="T1307:U1307"/>
    <mergeCell ref="Y1307:Z1307"/>
    <mergeCell ref="B1308:D1308"/>
    <mergeCell ref="E1308:F1308"/>
    <mergeCell ref="G1308:I1308"/>
    <mergeCell ref="N1308:O1308"/>
    <mergeCell ref="P1308:R1308"/>
    <mergeCell ref="T1308:U1308"/>
    <mergeCell ref="Y1308:Z1308"/>
    <mergeCell ref="B1309:D1309"/>
    <mergeCell ref="E1309:F1309"/>
    <mergeCell ref="G1309:I1309"/>
    <mergeCell ref="N1309:O1309"/>
    <mergeCell ref="P1309:R1309"/>
    <mergeCell ref="T1309:U1309"/>
    <mergeCell ref="Y1309:Z1309"/>
    <mergeCell ref="B1310:D1310"/>
    <mergeCell ref="E1310:F1310"/>
    <mergeCell ref="G1310:I1310"/>
    <mergeCell ref="N1310:O1310"/>
    <mergeCell ref="P1310:R1310"/>
    <mergeCell ref="T1310:U1310"/>
    <mergeCell ref="Y1310:Z1310"/>
    <mergeCell ref="B1311:D1311"/>
    <mergeCell ref="E1311:F1311"/>
    <mergeCell ref="G1311:I1311"/>
    <mergeCell ref="N1311:O1311"/>
    <mergeCell ref="P1311:R1311"/>
    <mergeCell ref="T1311:U1311"/>
    <mergeCell ref="Y1311:Z1311"/>
    <mergeCell ref="B1312:D1312"/>
    <mergeCell ref="E1312:F1312"/>
    <mergeCell ref="G1312:I1312"/>
    <mergeCell ref="N1312:O1312"/>
    <mergeCell ref="P1312:R1312"/>
    <mergeCell ref="T1312:U1312"/>
    <mergeCell ref="Y1312:Z1312"/>
    <mergeCell ref="B1313:D1313"/>
    <mergeCell ref="E1313:F1313"/>
    <mergeCell ref="G1313:I1313"/>
    <mergeCell ref="N1313:O1313"/>
    <mergeCell ref="P1313:R1313"/>
    <mergeCell ref="T1313:U1313"/>
    <mergeCell ref="Y1313:Z1313"/>
    <mergeCell ref="B1314:D1314"/>
    <mergeCell ref="E1314:F1314"/>
    <mergeCell ref="G1314:I1314"/>
    <mergeCell ref="N1314:O1314"/>
    <mergeCell ref="P1314:R1314"/>
    <mergeCell ref="T1314:U1314"/>
    <mergeCell ref="Y1314:Z1314"/>
    <mergeCell ref="B1315:D1315"/>
    <mergeCell ref="E1315:F1315"/>
    <mergeCell ref="G1315:I1315"/>
    <mergeCell ref="N1315:O1315"/>
    <mergeCell ref="P1315:R1315"/>
    <mergeCell ref="T1315:U1315"/>
    <mergeCell ref="Y1315:Z1315"/>
    <mergeCell ref="B1316:D1316"/>
    <mergeCell ref="E1316:F1316"/>
    <mergeCell ref="G1316:I1316"/>
    <mergeCell ref="N1316:O1316"/>
    <mergeCell ref="P1316:R1316"/>
    <mergeCell ref="T1316:U1316"/>
    <mergeCell ref="Y1316:Z1316"/>
    <mergeCell ref="B1317:D1317"/>
    <mergeCell ref="E1317:F1317"/>
    <mergeCell ref="G1317:I1317"/>
    <mergeCell ref="N1317:O1317"/>
    <mergeCell ref="P1317:R1317"/>
    <mergeCell ref="T1317:U1317"/>
    <mergeCell ref="Y1317:Z1317"/>
    <mergeCell ref="B1318:D1318"/>
    <mergeCell ref="E1318:F1318"/>
    <mergeCell ref="G1318:I1318"/>
    <mergeCell ref="N1318:O1318"/>
    <mergeCell ref="P1318:R1318"/>
    <mergeCell ref="T1318:U1318"/>
    <mergeCell ref="Y1318:Z1318"/>
    <mergeCell ref="B1319:D1319"/>
    <mergeCell ref="E1319:F1319"/>
    <mergeCell ref="G1319:I1319"/>
    <mergeCell ref="N1319:O1319"/>
    <mergeCell ref="P1319:R1319"/>
    <mergeCell ref="T1319:U1319"/>
    <mergeCell ref="Y1319:Z1319"/>
    <mergeCell ref="B1320:D1320"/>
    <mergeCell ref="E1320:F1320"/>
    <mergeCell ref="G1320:I1320"/>
    <mergeCell ref="N1320:O1320"/>
    <mergeCell ref="P1320:R1320"/>
    <mergeCell ref="T1320:U1320"/>
    <mergeCell ref="Y1320:Z1320"/>
    <mergeCell ref="B1321:D1321"/>
    <mergeCell ref="E1321:F1321"/>
    <mergeCell ref="G1321:I1321"/>
    <mergeCell ref="N1321:O1321"/>
    <mergeCell ref="P1321:R1321"/>
    <mergeCell ref="T1321:U1321"/>
    <mergeCell ref="Y1321:Z1321"/>
    <mergeCell ref="B1322:D1322"/>
    <mergeCell ref="E1322:F1322"/>
    <mergeCell ref="G1322:I1322"/>
    <mergeCell ref="N1322:O1322"/>
    <mergeCell ref="P1322:R1322"/>
    <mergeCell ref="T1322:U1322"/>
    <mergeCell ref="Y1322:Z1322"/>
    <mergeCell ref="B1323:D1323"/>
    <mergeCell ref="E1323:F1323"/>
    <mergeCell ref="G1323:I1323"/>
    <mergeCell ref="N1323:O1323"/>
    <mergeCell ref="P1323:R1323"/>
    <mergeCell ref="T1323:U1323"/>
    <mergeCell ref="Y1323:Z1323"/>
    <mergeCell ref="B1324:D1324"/>
    <mergeCell ref="E1324:F1324"/>
    <mergeCell ref="G1324:I1324"/>
    <mergeCell ref="N1324:O1324"/>
    <mergeCell ref="P1324:R1324"/>
    <mergeCell ref="T1324:U1324"/>
    <mergeCell ref="Y1324:Z1324"/>
    <mergeCell ref="B1325:D1325"/>
    <mergeCell ref="E1325:F1325"/>
    <mergeCell ref="G1325:I1325"/>
    <mergeCell ref="N1325:O1325"/>
    <mergeCell ref="P1325:R1325"/>
    <mergeCell ref="T1325:U1325"/>
    <mergeCell ref="Y1325:Z1325"/>
    <mergeCell ref="B1326:D1326"/>
    <mergeCell ref="E1326:F1326"/>
    <mergeCell ref="G1326:I1326"/>
    <mergeCell ref="N1326:O1326"/>
    <mergeCell ref="P1326:R1326"/>
    <mergeCell ref="T1326:U1326"/>
    <mergeCell ref="Y1326:Z1326"/>
    <mergeCell ref="B1327:D1327"/>
    <mergeCell ref="E1327:F1327"/>
    <mergeCell ref="G1327:I1327"/>
    <mergeCell ref="N1327:O1327"/>
    <mergeCell ref="P1327:R1327"/>
    <mergeCell ref="T1327:U1327"/>
    <mergeCell ref="Y1327:Z1327"/>
    <mergeCell ref="B1328:D1328"/>
    <mergeCell ref="E1328:F1328"/>
    <mergeCell ref="G1328:I1328"/>
    <mergeCell ref="N1328:O1328"/>
    <mergeCell ref="P1328:R1328"/>
    <mergeCell ref="T1328:U1328"/>
    <mergeCell ref="Y1328:Z1328"/>
    <mergeCell ref="B1329:D1329"/>
    <mergeCell ref="E1329:F1329"/>
    <mergeCell ref="G1329:I1329"/>
    <mergeCell ref="N1329:O1329"/>
    <mergeCell ref="P1329:R1329"/>
    <mergeCell ref="T1329:U1329"/>
    <mergeCell ref="Y1329:Z1329"/>
    <mergeCell ref="B1330:D1330"/>
    <mergeCell ref="E1330:F1330"/>
    <mergeCell ref="G1330:I1330"/>
    <mergeCell ref="N1330:O1330"/>
    <mergeCell ref="P1330:R1330"/>
    <mergeCell ref="T1330:U1330"/>
    <mergeCell ref="Y1330:Z1330"/>
    <mergeCell ref="B1331:D1331"/>
    <mergeCell ref="E1331:F1331"/>
    <mergeCell ref="G1331:I1331"/>
    <mergeCell ref="N1331:O1331"/>
    <mergeCell ref="P1331:R1331"/>
    <mergeCell ref="T1331:U1331"/>
    <mergeCell ref="Y1331:Z1331"/>
    <mergeCell ref="B1332:D1332"/>
    <mergeCell ref="E1332:F1332"/>
    <mergeCell ref="G1332:I1332"/>
    <mergeCell ref="N1332:O1332"/>
    <mergeCell ref="P1332:R1332"/>
    <mergeCell ref="T1332:U1332"/>
    <mergeCell ref="Y1332:Z1332"/>
    <mergeCell ref="B1333:D1333"/>
    <mergeCell ref="E1333:F1333"/>
    <mergeCell ref="G1333:I1333"/>
    <mergeCell ref="N1333:O1333"/>
    <mergeCell ref="P1333:R1333"/>
    <mergeCell ref="T1333:U1333"/>
    <mergeCell ref="Y1333:Z1333"/>
    <mergeCell ref="B1334:D1334"/>
    <mergeCell ref="E1334:F1334"/>
    <mergeCell ref="G1334:I1334"/>
    <mergeCell ref="N1334:O1334"/>
    <mergeCell ref="P1334:R1334"/>
    <mergeCell ref="T1334:U1334"/>
    <mergeCell ref="Y1334:Z1334"/>
    <mergeCell ref="B1335:D1335"/>
    <mergeCell ref="E1335:F1335"/>
    <mergeCell ref="G1335:I1335"/>
    <mergeCell ref="N1335:O1335"/>
    <mergeCell ref="P1335:R1335"/>
    <mergeCell ref="T1335:U1335"/>
    <mergeCell ref="Y1335:Z1335"/>
    <mergeCell ref="B1336:D1336"/>
    <mergeCell ref="E1336:F1336"/>
    <mergeCell ref="G1336:I1336"/>
    <mergeCell ref="N1336:O1336"/>
    <mergeCell ref="P1336:R1336"/>
    <mergeCell ref="T1336:U1336"/>
    <mergeCell ref="Y1336:Z1336"/>
    <mergeCell ref="B1337:D1337"/>
    <mergeCell ref="E1337:F1337"/>
    <mergeCell ref="G1337:I1337"/>
    <mergeCell ref="N1337:O1337"/>
    <mergeCell ref="P1337:R1337"/>
    <mergeCell ref="T1337:U1337"/>
    <mergeCell ref="Y1337:Z1337"/>
    <mergeCell ref="B1338:D1338"/>
    <mergeCell ref="E1338:F1338"/>
    <mergeCell ref="G1338:I1338"/>
    <mergeCell ref="N1338:O1338"/>
    <mergeCell ref="P1338:R1338"/>
    <mergeCell ref="T1338:U1338"/>
    <mergeCell ref="Y1338:Z1338"/>
    <mergeCell ref="B1339:D1339"/>
    <mergeCell ref="E1339:F1339"/>
    <mergeCell ref="G1339:I1339"/>
    <mergeCell ref="N1339:O1339"/>
    <mergeCell ref="P1339:R1339"/>
    <mergeCell ref="T1339:U1339"/>
    <mergeCell ref="Y1339:Z1339"/>
    <mergeCell ref="B1340:D1340"/>
    <mergeCell ref="E1340:F1340"/>
    <mergeCell ref="G1340:I1340"/>
    <mergeCell ref="N1340:O1340"/>
    <mergeCell ref="P1340:R1340"/>
    <mergeCell ref="T1340:U1340"/>
    <mergeCell ref="Y1340:Z1340"/>
    <mergeCell ref="B1341:D1341"/>
    <mergeCell ref="E1341:F1341"/>
    <mergeCell ref="G1341:I1341"/>
    <mergeCell ref="N1341:O1341"/>
    <mergeCell ref="P1341:R1341"/>
    <mergeCell ref="T1341:U1341"/>
    <mergeCell ref="Y1341:Z1341"/>
    <mergeCell ref="B1342:D1342"/>
    <mergeCell ref="E1342:F1342"/>
    <mergeCell ref="G1342:I1342"/>
    <mergeCell ref="N1342:O1342"/>
    <mergeCell ref="P1342:R1342"/>
    <mergeCell ref="T1342:U1342"/>
    <mergeCell ref="Y1342:Z1342"/>
    <mergeCell ref="B1343:D1343"/>
    <mergeCell ref="E1343:F1343"/>
    <mergeCell ref="G1343:I1343"/>
    <mergeCell ref="N1343:O1343"/>
    <mergeCell ref="P1343:R1343"/>
    <mergeCell ref="T1343:U1343"/>
    <mergeCell ref="Y1343:Z1343"/>
    <mergeCell ref="B1344:D1344"/>
    <mergeCell ref="E1344:F1344"/>
    <mergeCell ref="G1344:I1344"/>
    <mergeCell ref="N1344:O1344"/>
    <mergeCell ref="P1344:R1344"/>
    <mergeCell ref="T1344:U1344"/>
    <mergeCell ref="Y1344:Z1344"/>
    <mergeCell ref="B1345:D1345"/>
    <mergeCell ref="E1345:F1345"/>
    <mergeCell ref="G1345:I1345"/>
    <mergeCell ref="N1345:O1345"/>
    <mergeCell ref="P1345:R1345"/>
    <mergeCell ref="T1345:U1345"/>
    <mergeCell ref="Y1345:Z1345"/>
    <mergeCell ref="B1346:D1346"/>
    <mergeCell ref="E1346:F1346"/>
    <mergeCell ref="G1346:I1346"/>
    <mergeCell ref="N1346:O1346"/>
    <mergeCell ref="P1346:R1346"/>
    <mergeCell ref="T1346:U1346"/>
    <mergeCell ref="Y1346:Z1346"/>
    <mergeCell ref="B1347:D1347"/>
    <mergeCell ref="E1347:F1347"/>
    <mergeCell ref="G1347:I1347"/>
    <mergeCell ref="N1347:O1347"/>
    <mergeCell ref="P1347:R1347"/>
    <mergeCell ref="T1347:U1347"/>
    <mergeCell ref="Y1347:Z1347"/>
    <mergeCell ref="B1348:D1348"/>
    <mergeCell ref="E1348:F1348"/>
    <mergeCell ref="G1348:I1348"/>
    <mergeCell ref="N1348:O1348"/>
    <mergeCell ref="P1348:R1348"/>
    <mergeCell ref="T1348:U1348"/>
    <mergeCell ref="Y1348:Z1348"/>
    <mergeCell ref="B1349:D1349"/>
    <mergeCell ref="E1349:F1349"/>
    <mergeCell ref="G1349:I1349"/>
    <mergeCell ref="N1349:O1349"/>
    <mergeCell ref="P1349:R1349"/>
    <mergeCell ref="T1349:U1349"/>
    <mergeCell ref="Y1349:Z1349"/>
    <mergeCell ref="B1350:D1350"/>
    <mergeCell ref="E1350:F1350"/>
    <mergeCell ref="G1350:I1350"/>
    <mergeCell ref="N1350:O1350"/>
    <mergeCell ref="P1350:R1350"/>
    <mergeCell ref="T1350:U1350"/>
    <mergeCell ref="Y1350:Z1350"/>
    <mergeCell ref="B1351:D1351"/>
    <mergeCell ref="E1351:F1351"/>
    <mergeCell ref="G1351:I1351"/>
    <mergeCell ref="N1351:O1351"/>
    <mergeCell ref="P1351:R1351"/>
    <mergeCell ref="T1351:U1351"/>
    <mergeCell ref="Y1351:Z1351"/>
    <mergeCell ref="B1352:D1352"/>
    <mergeCell ref="E1352:F1352"/>
    <mergeCell ref="G1352:I1352"/>
    <mergeCell ref="N1352:O1352"/>
    <mergeCell ref="P1352:R1352"/>
    <mergeCell ref="T1352:U1352"/>
    <mergeCell ref="Y1352:Z1352"/>
    <mergeCell ref="B1353:D1353"/>
    <mergeCell ref="E1353:F1353"/>
    <mergeCell ref="G1353:I1353"/>
    <mergeCell ref="N1353:O1353"/>
    <mergeCell ref="P1353:R1353"/>
    <mergeCell ref="T1353:U1353"/>
    <mergeCell ref="Y1353:Z1353"/>
    <mergeCell ref="B1354:D1354"/>
    <mergeCell ref="E1354:F1354"/>
    <mergeCell ref="G1354:I1354"/>
    <mergeCell ref="N1354:O1354"/>
    <mergeCell ref="P1354:R1354"/>
    <mergeCell ref="T1354:U1354"/>
    <mergeCell ref="Y1354:Z1354"/>
    <mergeCell ref="B1355:D1355"/>
    <mergeCell ref="E1355:F1355"/>
    <mergeCell ref="G1355:I1355"/>
    <mergeCell ref="N1355:O1355"/>
    <mergeCell ref="P1355:R1355"/>
    <mergeCell ref="T1355:U1355"/>
    <mergeCell ref="Y1355:Z1355"/>
    <mergeCell ref="B1356:D1356"/>
    <mergeCell ref="E1356:F1356"/>
    <mergeCell ref="G1356:I1356"/>
    <mergeCell ref="N1356:O1356"/>
    <mergeCell ref="P1356:R1356"/>
    <mergeCell ref="T1356:U1356"/>
    <mergeCell ref="Y1356:Z1356"/>
    <mergeCell ref="B1357:D1357"/>
    <mergeCell ref="E1357:F1357"/>
    <mergeCell ref="G1357:I1357"/>
    <mergeCell ref="N1357:O1357"/>
    <mergeCell ref="P1357:R1357"/>
    <mergeCell ref="T1357:U1357"/>
    <mergeCell ref="Y1357:Z1357"/>
    <mergeCell ref="B1358:D1358"/>
    <mergeCell ref="E1358:F1358"/>
    <mergeCell ref="G1358:I1358"/>
    <mergeCell ref="N1358:O1358"/>
    <mergeCell ref="P1358:R1358"/>
    <mergeCell ref="T1358:U1358"/>
    <mergeCell ref="Y1358:Z1358"/>
    <mergeCell ref="B1359:D1359"/>
    <mergeCell ref="E1359:F1359"/>
    <mergeCell ref="G1359:I1359"/>
    <mergeCell ref="N1359:O1359"/>
    <mergeCell ref="P1359:R1359"/>
    <mergeCell ref="T1359:U1359"/>
    <mergeCell ref="Y1359:Z1359"/>
    <mergeCell ref="B1360:D1360"/>
    <mergeCell ref="E1360:F1360"/>
    <mergeCell ref="G1360:I1360"/>
    <mergeCell ref="N1360:O1360"/>
    <mergeCell ref="P1360:R1360"/>
    <mergeCell ref="T1360:U1360"/>
    <mergeCell ref="Y1360:Z1360"/>
    <mergeCell ref="B1361:D1361"/>
    <mergeCell ref="E1361:F1361"/>
    <mergeCell ref="G1361:I1361"/>
    <mergeCell ref="N1361:O1361"/>
    <mergeCell ref="P1361:R1361"/>
    <mergeCell ref="T1361:U1361"/>
    <mergeCell ref="Y1361:Z1361"/>
    <mergeCell ref="B1362:D1362"/>
    <mergeCell ref="E1362:F1362"/>
    <mergeCell ref="G1362:I1362"/>
    <mergeCell ref="N1362:O1362"/>
    <mergeCell ref="P1362:R1362"/>
    <mergeCell ref="T1362:U1362"/>
    <mergeCell ref="Y1362:Z1362"/>
    <mergeCell ref="B1363:D1363"/>
    <mergeCell ref="E1363:F1363"/>
    <mergeCell ref="G1363:I1363"/>
    <mergeCell ref="N1363:O1363"/>
    <mergeCell ref="P1363:R1363"/>
    <mergeCell ref="T1363:U1363"/>
    <mergeCell ref="Y1363:Z1363"/>
    <mergeCell ref="B1364:D1364"/>
    <mergeCell ref="E1364:F1364"/>
    <mergeCell ref="G1364:I1364"/>
    <mergeCell ref="N1364:O1364"/>
    <mergeCell ref="P1364:R1364"/>
    <mergeCell ref="T1364:U1364"/>
    <mergeCell ref="Y1364:Z1364"/>
    <mergeCell ref="B1365:D1365"/>
    <mergeCell ref="E1365:F1365"/>
    <mergeCell ref="G1365:I1365"/>
    <mergeCell ref="N1365:O1365"/>
    <mergeCell ref="P1365:R1365"/>
    <mergeCell ref="T1365:U1365"/>
    <mergeCell ref="Y1365:Z1365"/>
    <mergeCell ref="B1366:D1366"/>
    <mergeCell ref="E1366:F1366"/>
    <mergeCell ref="G1366:I1366"/>
    <mergeCell ref="N1366:O1366"/>
    <mergeCell ref="P1366:R1366"/>
    <mergeCell ref="T1366:U1366"/>
    <mergeCell ref="Y1366:Z1366"/>
    <mergeCell ref="B1367:D1367"/>
    <mergeCell ref="E1367:F1367"/>
    <mergeCell ref="G1367:I1367"/>
    <mergeCell ref="N1367:O1367"/>
    <mergeCell ref="P1367:R1367"/>
    <mergeCell ref="T1367:U1367"/>
    <mergeCell ref="Y1367:Z1367"/>
    <mergeCell ref="B1368:D1368"/>
    <mergeCell ref="E1368:F1368"/>
    <mergeCell ref="G1368:I1368"/>
    <mergeCell ref="N1368:O1368"/>
    <mergeCell ref="P1368:R1368"/>
    <mergeCell ref="T1368:U1368"/>
    <mergeCell ref="Y1368:Z1368"/>
    <mergeCell ref="B1369:D1369"/>
    <mergeCell ref="E1369:F1369"/>
    <mergeCell ref="G1369:I1369"/>
    <mergeCell ref="N1369:O1369"/>
    <mergeCell ref="P1369:R1369"/>
    <mergeCell ref="T1369:U1369"/>
    <mergeCell ref="Y1369:Z1369"/>
    <mergeCell ref="B1370:D1370"/>
    <mergeCell ref="E1370:F1370"/>
    <mergeCell ref="G1370:I1370"/>
    <mergeCell ref="N1370:O1370"/>
    <mergeCell ref="P1370:R1370"/>
    <mergeCell ref="T1370:U1370"/>
    <mergeCell ref="Y1370:Z1370"/>
    <mergeCell ref="B1371:D1371"/>
    <mergeCell ref="E1371:F1371"/>
    <mergeCell ref="G1371:I1371"/>
    <mergeCell ref="N1371:O1371"/>
    <mergeCell ref="P1371:R1371"/>
    <mergeCell ref="T1371:U1371"/>
    <mergeCell ref="Y1371:Z1371"/>
    <mergeCell ref="B1372:D1372"/>
    <mergeCell ref="E1372:F1372"/>
    <mergeCell ref="G1372:I1372"/>
    <mergeCell ref="N1372:O1372"/>
    <mergeCell ref="P1372:R1372"/>
    <mergeCell ref="T1372:U1372"/>
    <mergeCell ref="Y1372:Z1372"/>
    <mergeCell ref="B1373:D1373"/>
    <mergeCell ref="E1373:F1373"/>
    <mergeCell ref="G1373:I1373"/>
    <mergeCell ref="N1373:O1373"/>
    <mergeCell ref="P1373:R1373"/>
    <mergeCell ref="T1373:U1373"/>
    <mergeCell ref="Y1373:Z1373"/>
    <mergeCell ref="B1374:D1374"/>
    <mergeCell ref="E1374:F1374"/>
    <mergeCell ref="G1374:I1374"/>
    <mergeCell ref="N1374:O1374"/>
    <mergeCell ref="P1374:R1374"/>
    <mergeCell ref="T1374:U1374"/>
    <mergeCell ref="Y1374:Z1374"/>
    <mergeCell ref="B1375:D1375"/>
    <mergeCell ref="E1375:F1375"/>
    <mergeCell ref="G1375:I1375"/>
    <mergeCell ref="N1375:O1375"/>
    <mergeCell ref="P1375:R1375"/>
    <mergeCell ref="T1375:U1375"/>
    <mergeCell ref="Y1375:Z1375"/>
    <mergeCell ref="B1376:D1376"/>
    <mergeCell ref="E1376:F1376"/>
    <mergeCell ref="G1376:I1376"/>
    <mergeCell ref="N1376:O1376"/>
    <mergeCell ref="P1376:R1376"/>
    <mergeCell ref="T1376:U1376"/>
    <mergeCell ref="Y1376:Z1376"/>
    <mergeCell ref="B1377:D1377"/>
    <mergeCell ref="E1377:F1377"/>
    <mergeCell ref="G1377:I1377"/>
    <mergeCell ref="N1377:O1377"/>
    <mergeCell ref="P1377:R1377"/>
    <mergeCell ref="T1377:U1377"/>
    <mergeCell ref="Y1377:Z1377"/>
    <mergeCell ref="B1378:D1378"/>
    <mergeCell ref="E1378:F1378"/>
    <mergeCell ref="G1378:I1378"/>
    <mergeCell ref="N1378:O1378"/>
    <mergeCell ref="P1378:R1378"/>
    <mergeCell ref="T1378:U1378"/>
    <mergeCell ref="Y1378:Z1378"/>
    <mergeCell ref="B1379:D1379"/>
    <mergeCell ref="E1379:F1379"/>
    <mergeCell ref="G1379:I1379"/>
    <mergeCell ref="N1379:O1379"/>
    <mergeCell ref="P1379:R1379"/>
    <mergeCell ref="T1379:U1379"/>
    <mergeCell ref="Y1379:Z1379"/>
    <mergeCell ref="B1380:D1380"/>
    <mergeCell ref="E1380:F1380"/>
    <mergeCell ref="G1380:I1380"/>
    <mergeCell ref="N1380:O1380"/>
    <mergeCell ref="P1380:R1380"/>
    <mergeCell ref="T1380:U1380"/>
    <mergeCell ref="Y1380:Z1380"/>
    <mergeCell ref="B1381:D1381"/>
    <mergeCell ref="E1381:F1381"/>
    <mergeCell ref="G1381:I1381"/>
    <mergeCell ref="N1381:O1381"/>
    <mergeCell ref="P1381:R1381"/>
    <mergeCell ref="T1381:U1381"/>
    <mergeCell ref="Y1381:Z1381"/>
    <mergeCell ref="B1384:D1384"/>
    <mergeCell ref="E1384:F1384"/>
    <mergeCell ref="G1384:I1384"/>
    <mergeCell ref="N1384:O1384"/>
    <mergeCell ref="P1384:R1384"/>
    <mergeCell ref="T1384:U1384"/>
    <mergeCell ref="Y1384:Z1384"/>
    <mergeCell ref="B1385:D1385"/>
    <mergeCell ref="E1385:F1385"/>
    <mergeCell ref="G1385:I1385"/>
    <mergeCell ref="N1385:O1385"/>
    <mergeCell ref="P1385:R1385"/>
    <mergeCell ref="T1385:U1385"/>
    <mergeCell ref="Y1385:Z1385"/>
    <mergeCell ref="B1386:D1386"/>
    <mergeCell ref="E1386:F1386"/>
    <mergeCell ref="G1386:I1386"/>
    <mergeCell ref="N1386:O1386"/>
    <mergeCell ref="P1386:R1386"/>
    <mergeCell ref="T1386:U1386"/>
    <mergeCell ref="Y1386:Z1386"/>
    <mergeCell ref="B1387:D1387"/>
    <mergeCell ref="E1387:F1387"/>
    <mergeCell ref="G1387:I1387"/>
    <mergeCell ref="N1387:O1387"/>
    <mergeCell ref="P1387:R1387"/>
    <mergeCell ref="T1387:U1387"/>
    <mergeCell ref="Y1387:Z1387"/>
    <mergeCell ref="B1388:D1388"/>
    <mergeCell ref="E1388:F1388"/>
    <mergeCell ref="G1388:I1388"/>
    <mergeCell ref="N1388:O1388"/>
    <mergeCell ref="P1388:R1388"/>
    <mergeCell ref="T1388:U1388"/>
    <mergeCell ref="Y1388:Z1388"/>
    <mergeCell ref="B1389:D1389"/>
    <mergeCell ref="E1389:F1389"/>
    <mergeCell ref="G1389:I1389"/>
    <mergeCell ref="N1389:O1389"/>
    <mergeCell ref="P1389:R1389"/>
    <mergeCell ref="T1389:U1389"/>
    <mergeCell ref="Y1389:Z1389"/>
    <mergeCell ref="B1390:D1390"/>
    <mergeCell ref="E1390:F1390"/>
    <mergeCell ref="G1390:I1390"/>
    <mergeCell ref="N1390:O1390"/>
    <mergeCell ref="P1390:R1390"/>
    <mergeCell ref="T1390:U1390"/>
    <mergeCell ref="Y1390:Z1390"/>
    <mergeCell ref="B1391:D1391"/>
    <mergeCell ref="E1391:F1391"/>
    <mergeCell ref="G1391:I1391"/>
    <mergeCell ref="N1391:O1391"/>
    <mergeCell ref="P1391:R1391"/>
    <mergeCell ref="T1391:U1391"/>
    <mergeCell ref="Y1391:Z1391"/>
    <mergeCell ref="B1392:D1392"/>
    <mergeCell ref="E1392:F1392"/>
    <mergeCell ref="G1392:I1392"/>
    <mergeCell ref="N1392:O1392"/>
    <mergeCell ref="P1392:R1392"/>
    <mergeCell ref="T1392:U1392"/>
    <mergeCell ref="Y1392:Z1392"/>
    <mergeCell ref="B1393:D1393"/>
    <mergeCell ref="E1393:F1393"/>
    <mergeCell ref="G1393:I1393"/>
    <mergeCell ref="N1393:O1393"/>
    <mergeCell ref="P1393:R1393"/>
    <mergeCell ref="T1393:U1393"/>
    <mergeCell ref="Y1393:Z1393"/>
    <mergeCell ref="B1394:D1394"/>
    <mergeCell ref="E1394:F1394"/>
    <mergeCell ref="G1394:I1394"/>
    <mergeCell ref="N1394:O1394"/>
    <mergeCell ref="P1394:R1394"/>
    <mergeCell ref="T1394:U1394"/>
    <mergeCell ref="Y1394:Z1394"/>
    <mergeCell ref="B1395:D1395"/>
    <mergeCell ref="E1395:F1395"/>
    <mergeCell ref="G1395:I1395"/>
    <mergeCell ref="N1395:O1395"/>
    <mergeCell ref="P1395:R1395"/>
    <mergeCell ref="T1395:U1395"/>
    <mergeCell ref="Y1395:Z1395"/>
    <mergeCell ref="B1396:D1396"/>
    <mergeCell ref="E1396:F1396"/>
    <mergeCell ref="G1396:I1396"/>
    <mergeCell ref="N1396:O1396"/>
    <mergeCell ref="P1396:R1396"/>
    <mergeCell ref="T1396:U1396"/>
    <mergeCell ref="Y1396:Z1396"/>
    <mergeCell ref="B1397:D1397"/>
    <mergeCell ref="E1397:F1397"/>
    <mergeCell ref="G1397:I1397"/>
    <mergeCell ref="N1397:O1397"/>
    <mergeCell ref="P1397:R1397"/>
    <mergeCell ref="T1397:U1397"/>
    <mergeCell ref="Y1397:Z1397"/>
    <mergeCell ref="B1398:D1398"/>
    <mergeCell ref="E1398:F1398"/>
    <mergeCell ref="G1398:I1398"/>
    <mergeCell ref="N1398:O1398"/>
    <mergeCell ref="P1398:R1398"/>
    <mergeCell ref="T1398:U1398"/>
    <mergeCell ref="Y1398:Z1398"/>
    <mergeCell ref="B1399:D1399"/>
    <mergeCell ref="E1399:F1399"/>
    <mergeCell ref="G1399:I1399"/>
    <mergeCell ref="N1399:O1399"/>
    <mergeCell ref="P1399:R1399"/>
    <mergeCell ref="T1399:U1399"/>
    <mergeCell ref="Y1399:Z1399"/>
    <mergeCell ref="B1400:D1400"/>
    <mergeCell ref="E1400:F1400"/>
    <mergeCell ref="G1400:I1400"/>
    <mergeCell ref="N1400:O1400"/>
    <mergeCell ref="P1400:R1400"/>
    <mergeCell ref="T1400:U1400"/>
    <mergeCell ref="Y1400:Z1400"/>
    <mergeCell ref="B1401:D1401"/>
    <mergeCell ref="E1401:F1401"/>
    <mergeCell ref="G1401:I1401"/>
    <mergeCell ref="N1401:O1401"/>
    <mergeCell ref="P1401:R1401"/>
    <mergeCell ref="T1401:U1401"/>
    <mergeCell ref="Y1401:Z1401"/>
    <mergeCell ref="B1402:D1402"/>
    <mergeCell ref="E1402:F1402"/>
    <mergeCell ref="G1402:I1402"/>
    <mergeCell ref="N1402:O1402"/>
    <mergeCell ref="P1402:R1402"/>
    <mergeCell ref="T1402:U1402"/>
    <mergeCell ref="Y1402:Z1402"/>
    <mergeCell ref="B1403:D1403"/>
    <mergeCell ref="E1403:F1403"/>
    <mergeCell ref="G1403:I1403"/>
    <mergeCell ref="N1403:O1403"/>
    <mergeCell ref="P1403:R1403"/>
    <mergeCell ref="T1403:U1403"/>
    <mergeCell ref="Y1403:Z1403"/>
    <mergeCell ref="B1404:D1404"/>
    <mergeCell ref="E1404:F1404"/>
    <mergeCell ref="G1404:I1404"/>
    <mergeCell ref="N1404:O1404"/>
    <mergeCell ref="P1404:R1404"/>
    <mergeCell ref="T1404:U1404"/>
    <mergeCell ref="Y1404:Z1404"/>
    <mergeCell ref="B1405:D1405"/>
    <mergeCell ref="E1405:F1405"/>
    <mergeCell ref="G1405:I1405"/>
    <mergeCell ref="N1405:O1405"/>
    <mergeCell ref="P1405:R1405"/>
    <mergeCell ref="T1405:U1405"/>
    <mergeCell ref="Y1405:Z1405"/>
    <mergeCell ref="B1406:D1406"/>
    <mergeCell ref="E1406:F1406"/>
    <mergeCell ref="G1406:I1406"/>
    <mergeCell ref="N1406:O1406"/>
    <mergeCell ref="P1406:R1406"/>
    <mergeCell ref="T1406:U1406"/>
    <mergeCell ref="Y1406:Z1406"/>
    <mergeCell ref="B1407:D1407"/>
    <mergeCell ref="E1407:F1407"/>
    <mergeCell ref="G1407:I1407"/>
    <mergeCell ref="N1407:O1407"/>
    <mergeCell ref="P1407:R1407"/>
    <mergeCell ref="T1407:U1407"/>
    <mergeCell ref="Y1407:Z1407"/>
    <mergeCell ref="B1408:D1408"/>
    <mergeCell ref="E1408:F1408"/>
    <mergeCell ref="G1408:I1408"/>
    <mergeCell ref="N1408:O1408"/>
    <mergeCell ref="P1408:R1408"/>
    <mergeCell ref="T1408:U1408"/>
    <mergeCell ref="Y1408:Z1408"/>
    <mergeCell ref="B1409:D1409"/>
    <mergeCell ref="E1409:F1409"/>
    <mergeCell ref="G1409:I1409"/>
    <mergeCell ref="N1409:O1409"/>
    <mergeCell ref="P1409:R1409"/>
    <mergeCell ref="T1409:U1409"/>
    <mergeCell ref="Y1409:Z1409"/>
    <mergeCell ref="B1410:D1410"/>
    <mergeCell ref="E1410:F1410"/>
    <mergeCell ref="G1410:I1410"/>
    <mergeCell ref="N1410:O1410"/>
    <mergeCell ref="P1410:R1410"/>
    <mergeCell ref="T1410:U1410"/>
    <mergeCell ref="Y1410:Z1410"/>
    <mergeCell ref="B1411:D1411"/>
    <mergeCell ref="E1411:F1411"/>
    <mergeCell ref="G1411:I1411"/>
    <mergeCell ref="N1411:O1411"/>
    <mergeCell ref="P1411:R1411"/>
    <mergeCell ref="T1411:U1411"/>
    <mergeCell ref="Y1411:Z1411"/>
    <mergeCell ref="B1412:D1412"/>
    <mergeCell ref="E1412:F1412"/>
    <mergeCell ref="G1412:I1412"/>
    <mergeCell ref="N1412:O1412"/>
    <mergeCell ref="P1412:R1412"/>
    <mergeCell ref="T1412:U1412"/>
    <mergeCell ref="Y1412:Z1412"/>
    <mergeCell ref="B1413:D1413"/>
    <mergeCell ref="E1413:F1413"/>
    <mergeCell ref="G1413:I1413"/>
    <mergeCell ref="N1413:O1413"/>
    <mergeCell ref="P1413:R1413"/>
    <mergeCell ref="T1413:U1413"/>
    <mergeCell ref="Y1413:Z1413"/>
    <mergeCell ref="B1414:D1414"/>
    <mergeCell ref="E1414:F1414"/>
    <mergeCell ref="G1414:I1414"/>
    <mergeCell ref="N1414:O1414"/>
    <mergeCell ref="P1414:R1414"/>
    <mergeCell ref="T1414:U1414"/>
    <mergeCell ref="Y1414:Z1414"/>
    <mergeCell ref="B1415:D1415"/>
    <mergeCell ref="E1415:F1415"/>
    <mergeCell ref="G1415:I1415"/>
    <mergeCell ref="N1415:O1415"/>
    <mergeCell ref="P1415:R1415"/>
    <mergeCell ref="T1415:U1415"/>
    <mergeCell ref="Y1415:Z1415"/>
    <mergeCell ref="B1416:D1416"/>
    <mergeCell ref="E1416:F1416"/>
    <mergeCell ref="G1416:I1416"/>
    <mergeCell ref="N1416:O1416"/>
    <mergeCell ref="P1416:R1416"/>
    <mergeCell ref="T1416:U1416"/>
    <mergeCell ref="Y1416:Z1416"/>
    <mergeCell ref="B1417:D1417"/>
    <mergeCell ref="E1417:F1417"/>
    <mergeCell ref="G1417:I1417"/>
    <mergeCell ref="N1417:O1417"/>
    <mergeCell ref="P1417:R1417"/>
    <mergeCell ref="T1417:U1417"/>
    <mergeCell ref="Y1417:Z1417"/>
    <mergeCell ref="B1418:D1418"/>
    <mergeCell ref="E1418:F1418"/>
    <mergeCell ref="G1418:I1418"/>
    <mergeCell ref="N1418:O1418"/>
    <mergeCell ref="P1418:R1418"/>
    <mergeCell ref="T1418:U1418"/>
    <mergeCell ref="Y1418:Z1418"/>
    <mergeCell ref="B1419:D1419"/>
    <mergeCell ref="E1419:F1419"/>
    <mergeCell ref="G1419:I1419"/>
    <mergeCell ref="N1419:O1419"/>
    <mergeCell ref="P1419:R1419"/>
    <mergeCell ref="T1419:U1419"/>
    <mergeCell ref="Y1419:Z1419"/>
    <mergeCell ref="B1420:D1420"/>
    <mergeCell ref="E1420:F1420"/>
    <mergeCell ref="G1420:I1420"/>
    <mergeCell ref="N1420:O1420"/>
    <mergeCell ref="P1420:R1420"/>
    <mergeCell ref="T1420:U1420"/>
    <mergeCell ref="Y1420:Z1420"/>
    <mergeCell ref="B1421:D1421"/>
    <mergeCell ref="E1421:F1421"/>
    <mergeCell ref="G1421:I1421"/>
    <mergeCell ref="N1421:O1421"/>
    <mergeCell ref="P1421:R1421"/>
    <mergeCell ref="T1421:U1421"/>
    <mergeCell ref="Y1421:Z1421"/>
    <mergeCell ref="B1422:D1422"/>
    <mergeCell ref="E1422:F1422"/>
    <mergeCell ref="G1422:I1422"/>
    <mergeCell ref="N1422:O1422"/>
    <mergeCell ref="P1422:R1422"/>
    <mergeCell ref="T1422:U1422"/>
    <mergeCell ref="Y1422:Z1422"/>
    <mergeCell ref="B1423:D1423"/>
    <mergeCell ref="E1423:F1423"/>
    <mergeCell ref="G1423:I1423"/>
    <mergeCell ref="N1423:O1423"/>
    <mergeCell ref="P1423:R1423"/>
    <mergeCell ref="T1423:U1423"/>
    <mergeCell ref="Y1423:Z1423"/>
    <mergeCell ref="B1424:D1424"/>
    <mergeCell ref="E1424:F1424"/>
    <mergeCell ref="G1424:I1424"/>
    <mergeCell ref="N1424:O1424"/>
    <mergeCell ref="P1424:R1424"/>
    <mergeCell ref="T1424:U1424"/>
    <mergeCell ref="Y1424:Z1424"/>
    <mergeCell ref="B1425:D1425"/>
    <mergeCell ref="E1425:F1425"/>
    <mergeCell ref="G1425:I1425"/>
    <mergeCell ref="N1425:O1425"/>
    <mergeCell ref="P1425:R1425"/>
    <mergeCell ref="T1425:U1425"/>
    <mergeCell ref="Y1425:Z1425"/>
    <mergeCell ref="B1426:D1426"/>
    <mergeCell ref="E1426:F1426"/>
    <mergeCell ref="G1426:I1426"/>
    <mergeCell ref="N1426:O1426"/>
    <mergeCell ref="P1426:R1426"/>
    <mergeCell ref="T1426:U1426"/>
    <mergeCell ref="Y1426:Z1426"/>
    <mergeCell ref="B1427:D1427"/>
    <mergeCell ref="E1427:F1427"/>
    <mergeCell ref="G1427:I1427"/>
    <mergeCell ref="N1427:O1427"/>
    <mergeCell ref="P1427:R1427"/>
    <mergeCell ref="T1427:U1427"/>
    <mergeCell ref="Y1427:Z1427"/>
    <mergeCell ref="B1428:D1428"/>
    <mergeCell ref="E1428:F1428"/>
    <mergeCell ref="G1428:I1428"/>
    <mergeCell ref="N1428:O1428"/>
    <mergeCell ref="P1428:R1428"/>
    <mergeCell ref="T1428:U1428"/>
    <mergeCell ref="Y1428:Z1428"/>
    <mergeCell ref="B1429:D1429"/>
    <mergeCell ref="E1429:F1429"/>
    <mergeCell ref="G1429:I1429"/>
    <mergeCell ref="N1429:O1429"/>
    <mergeCell ref="P1429:R1429"/>
    <mergeCell ref="T1429:U1429"/>
    <mergeCell ref="Y1429:Z1429"/>
    <mergeCell ref="B1430:D1430"/>
    <mergeCell ref="E1430:F1430"/>
    <mergeCell ref="G1430:I1430"/>
    <mergeCell ref="N1430:O1430"/>
    <mergeCell ref="P1430:R1430"/>
    <mergeCell ref="T1430:U1430"/>
    <mergeCell ref="Y1430:Z1430"/>
    <mergeCell ref="B1431:D1431"/>
    <mergeCell ref="E1431:F1431"/>
    <mergeCell ref="G1431:I1431"/>
    <mergeCell ref="N1431:O1431"/>
    <mergeCell ref="P1431:R1431"/>
    <mergeCell ref="T1431:U1431"/>
    <mergeCell ref="Y1431:Z1431"/>
    <mergeCell ref="B1432:D1432"/>
    <mergeCell ref="E1432:F1432"/>
    <mergeCell ref="G1432:I1432"/>
    <mergeCell ref="N1432:O1432"/>
    <mergeCell ref="P1432:R1432"/>
    <mergeCell ref="T1432:U1432"/>
    <mergeCell ref="Y1432:Z1432"/>
    <mergeCell ref="B1433:D1433"/>
    <mergeCell ref="E1433:F1433"/>
    <mergeCell ref="G1433:I1433"/>
    <mergeCell ref="N1433:O1433"/>
    <mergeCell ref="P1433:R1433"/>
    <mergeCell ref="T1433:U1433"/>
    <mergeCell ref="Y1433:Z1433"/>
    <mergeCell ref="B1434:D1434"/>
    <mergeCell ref="E1434:F1434"/>
    <mergeCell ref="G1434:I1434"/>
    <mergeCell ref="N1434:O1434"/>
    <mergeCell ref="P1434:R1434"/>
    <mergeCell ref="T1434:U1434"/>
    <mergeCell ref="Y1434:Z1434"/>
    <mergeCell ref="B1435:D1435"/>
    <mergeCell ref="E1435:F1435"/>
    <mergeCell ref="G1435:I1435"/>
    <mergeCell ref="N1435:O1435"/>
    <mergeCell ref="P1435:R1435"/>
    <mergeCell ref="T1435:U1435"/>
    <mergeCell ref="Y1435:Z1435"/>
    <mergeCell ref="B1436:D1436"/>
    <mergeCell ref="E1436:F1436"/>
    <mergeCell ref="G1436:I1436"/>
    <mergeCell ref="N1436:O1436"/>
    <mergeCell ref="P1436:R1436"/>
    <mergeCell ref="T1436:U1436"/>
    <mergeCell ref="Y1436:Z1436"/>
    <mergeCell ref="B1437:D1437"/>
    <mergeCell ref="E1437:F1437"/>
    <mergeCell ref="G1437:I1437"/>
    <mergeCell ref="N1437:O1437"/>
    <mergeCell ref="P1437:R1437"/>
    <mergeCell ref="T1437:U1437"/>
    <mergeCell ref="Y1437:Z1437"/>
    <mergeCell ref="B1438:D1438"/>
    <mergeCell ref="E1438:F1438"/>
    <mergeCell ref="G1438:I1438"/>
    <mergeCell ref="N1438:O1438"/>
    <mergeCell ref="P1438:R1438"/>
    <mergeCell ref="T1438:U1438"/>
    <mergeCell ref="Y1438:Z1438"/>
    <mergeCell ref="B1439:D1439"/>
    <mergeCell ref="E1439:F1439"/>
    <mergeCell ref="G1439:I1439"/>
    <mergeCell ref="N1439:O1439"/>
    <mergeCell ref="P1439:R1439"/>
    <mergeCell ref="T1439:U1439"/>
    <mergeCell ref="Y1439:Z1439"/>
    <mergeCell ref="B1440:D1440"/>
    <mergeCell ref="E1440:F1440"/>
    <mergeCell ref="G1440:I1440"/>
    <mergeCell ref="N1440:O1440"/>
    <mergeCell ref="P1440:R1440"/>
    <mergeCell ref="T1440:U1440"/>
    <mergeCell ref="Y1440:Z1440"/>
    <mergeCell ref="B1441:D1441"/>
    <mergeCell ref="E1441:F1441"/>
    <mergeCell ref="G1441:I1441"/>
    <mergeCell ref="N1441:O1441"/>
    <mergeCell ref="P1441:R1441"/>
    <mergeCell ref="T1441:U1441"/>
    <mergeCell ref="Y1441:Z1441"/>
    <mergeCell ref="B1442:D1442"/>
    <mergeCell ref="E1442:F1442"/>
    <mergeCell ref="G1442:I1442"/>
    <mergeCell ref="N1442:O1442"/>
    <mergeCell ref="P1442:R1442"/>
    <mergeCell ref="T1442:U1442"/>
    <mergeCell ref="Y1442:Z1442"/>
    <mergeCell ref="B1443:D1443"/>
    <mergeCell ref="E1443:F1443"/>
    <mergeCell ref="G1443:I1443"/>
    <mergeCell ref="N1443:O1443"/>
    <mergeCell ref="P1443:R1443"/>
    <mergeCell ref="T1443:U1443"/>
    <mergeCell ref="Y1443:Z1443"/>
    <mergeCell ref="B1444:D1444"/>
    <mergeCell ref="E1444:F1444"/>
    <mergeCell ref="G1444:I1444"/>
    <mergeCell ref="N1444:O1444"/>
    <mergeCell ref="P1444:R1444"/>
    <mergeCell ref="T1444:U1444"/>
    <mergeCell ref="Y1444:Z1444"/>
    <mergeCell ref="B1445:D1445"/>
    <mergeCell ref="E1445:F1445"/>
    <mergeCell ref="G1445:I1445"/>
    <mergeCell ref="N1445:O1445"/>
    <mergeCell ref="P1445:R1445"/>
    <mergeCell ref="T1445:U1445"/>
    <mergeCell ref="Y1445:Z1445"/>
    <mergeCell ref="B1446:D1446"/>
    <mergeCell ref="E1446:F1446"/>
    <mergeCell ref="G1446:I1446"/>
    <mergeCell ref="N1446:O1446"/>
    <mergeCell ref="P1446:R1446"/>
    <mergeCell ref="T1446:U1446"/>
    <mergeCell ref="Y1446:Z1446"/>
    <mergeCell ref="B1447:D1447"/>
    <mergeCell ref="E1447:F1447"/>
    <mergeCell ref="G1447:I1447"/>
    <mergeCell ref="N1447:O1447"/>
    <mergeCell ref="P1447:R1447"/>
    <mergeCell ref="T1447:U1447"/>
    <mergeCell ref="Y1447:Z1447"/>
    <mergeCell ref="B1448:D1448"/>
    <mergeCell ref="E1448:F1448"/>
    <mergeCell ref="G1448:I1448"/>
    <mergeCell ref="N1448:O1448"/>
    <mergeCell ref="P1448:R1448"/>
    <mergeCell ref="T1448:U1448"/>
    <mergeCell ref="Y1448:Z1448"/>
    <mergeCell ref="B1449:D1449"/>
    <mergeCell ref="E1449:F1449"/>
    <mergeCell ref="G1449:I1449"/>
    <mergeCell ref="N1449:O1449"/>
    <mergeCell ref="P1449:R1449"/>
    <mergeCell ref="T1449:U1449"/>
    <mergeCell ref="Y1449:Z1449"/>
    <mergeCell ref="B1450:D1450"/>
    <mergeCell ref="E1450:F1450"/>
    <mergeCell ref="G1450:I1450"/>
    <mergeCell ref="N1450:O1450"/>
    <mergeCell ref="P1450:R1450"/>
    <mergeCell ref="T1450:U1450"/>
    <mergeCell ref="Y1450:Z1450"/>
    <mergeCell ref="B1451:D1451"/>
    <mergeCell ref="E1451:F1451"/>
    <mergeCell ref="G1451:I1451"/>
    <mergeCell ref="N1451:O1451"/>
    <mergeCell ref="P1451:R1451"/>
    <mergeCell ref="T1451:U1451"/>
    <mergeCell ref="Y1451:Z1451"/>
    <mergeCell ref="B1452:D1452"/>
    <mergeCell ref="E1452:F1452"/>
    <mergeCell ref="G1452:I1452"/>
    <mergeCell ref="N1452:O1452"/>
    <mergeCell ref="P1452:R1452"/>
    <mergeCell ref="T1452:U1452"/>
    <mergeCell ref="Y1452:Z1452"/>
    <mergeCell ref="B1453:D1453"/>
    <mergeCell ref="E1453:F1453"/>
    <mergeCell ref="G1453:I1453"/>
    <mergeCell ref="N1453:O1453"/>
    <mergeCell ref="P1453:R1453"/>
    <mergeCell ref="T1453:U1453"/>
    <mergeCell ref="Y1453:Z1453"/>
    <mergeCell ref="B1454:D1454"/>
    <mergeCell ref="E1454:F1454"/>
    <mergeCell ref="G1454:I1454"/>
    <mergeCell ref="N1454:O1454"/>
    <mergeCell ref="P1454:R1454"/>
    <mergeCell ref="T1454:U1454"/>
    <mergeCell ref="Y1454:Z1454"/>
    <mergeCell ref="B1455:D1455"/>
    <mergeCell ref="E1455:F1455"/>
    <mergeCell ref="G1455:I1455"/>
    <mergeCell ref="N1455:O1455"/>
    <mergeCell ref="P1455:R1455"/>
    <mergeCell ref="T1455:U1455"/>
    <mergeCell ref="Y1455:Z1455"/>
    <mergeCell ref="B1456:D1456"/>
    <mergeCell ref="E1456:F1456"/>
    <mergeCell ref="G1456:I1456"/>
    <mergeCell ref="N1456:O1456"/>
    <mergeCell ref="P1456:R1456"/>
    <mergeCell ref="T1456:U1456"/>
    <mergeCell ref="Y1456:Z1456"/>
    <mergeCell ref="B1457:D1457"/>
    <mergeCell ref="E1457:F1457"/>
    <mergeCell ref="G1457:I1457"/>
    <mergeCell ref="N1457:O1457"/>
    <mergeCell ref="P1457:R1457"/>
    <mergeCell ref="T1457:U1457"/>
    <mergeCell ref="Y1457:Z1457"/>
    <mergeCell ref="B1458:D1458"/>
    <mergeCell ref="E1458:F1458"/>
    <mergeCell ref="G1458:I1458"/>
    <mergeCell ref="N1458:O1458"/>
    <mergeCell ref="P1458:R1458"/>
    <mergeCell ref="T1458:U1458"/>
    <mergeCell ref="Y1458:Z1458"/>
    <mergeCell ref="B1459:D1459"/>
    <mergeCell ref="E1459:F1459"/>
    <mergeCell ref="G1459:I1459"/>
    <mergeCell ref="N1459:O1459"/>
    <mergeCell ref="P1459:R1459"/>
    <mergeCell ref="T1459:U1459"/>
    <mergeCell ref="Y1459:Z1459"/>
    <mergeCell ref="B1460:D1460"/>
    <mergeCell ref="E1460:F1460"/>
    <mergeCell ref="G1460:I1460"/>
    <mergeCell ref="N1460:O1460"/>
    <mergeCell ref="P1460:R1460"/>
    <mergeCell ref="T1460:U1460"/>
    <mergeCell ref="Y1460:Z1460"/>
    <mergeCell ref="B1461:D1461"/>
    <mergeCell ref="E1461:F1461"/>
    <mergeCell ref="G1461:I1461"/>
    <mergeCell ref="N1461:O1461"/>
    <mergeCell ref="P1461:R1461"/>
    <mergeCell ref="T1461:U1461"/>
    <mergeCell ref="Y1461:Z1461"/>
    <mergeCell ref="B1462:D1462"/>
    <mergeCell ref="E1462:F1462"/>
    <mergeCell ref="G1462:I1462"/>
    <mergeCell ref="N1462:O1462"/>
    <mergeCell ref="P1462:R1462"/>
    <mergeCell ref="T1462:U1462"/>
    <mergeCell ref="Y1462:Z1462"/>
    <mergeCell ref="B1465:D1465"/>
    <mergeCell ref="E1465:F1465"/>
    <mergeCell ref="G1465:I1465"/>
    <mergeCell ref="N1465:O1465"/>
    <mergeCell ref="P1465:R1465"/>
    <mergeCell ref="T1465:U1465"/>
    <mergeCell ref="Y1465:Z1465"/>
    <mergeCell ref="B1466:D1466"/>
    <mergeCell ref="E1466:F1466"/>
    <mergeCell ref="G1466:I1466"/>
    <mergeCell ref="N1466:O1466"/>
    <mergeCell ref="P1466:R1466"/>
    <mergeCell ref="T1466:U1466"/>
    <mergeCell ref="Y1466:Z1466"/>
    <mergeCell ref="B1467:D1467"/>
    <mergeCell ref="E1467:F1467"/>
    <mergeCell ref="G1467:I1467"/>
    <mergeCell ref="N1467:O1467"/>
    <mergeCell ref="P1467:R1467"/>
    <mergeCell ref="T1467:U1467"/>
    <mergeCell ref="Y1467:Z1467"/>
    <mergeCell ref="B1468:D1468"/>
    <mergeCell ref="E1468:F1468"/>
    <mergeCell ref="G1468:I1468"/>
    <mergeCell ref="N1468:O1468"/>
    <mergeCell ref="P1468:R1468"/>
    <mergeCell ref="T1468:U1468"/>
    <mergeCell ref="Y1468:Z1468"/>
    <mergeCell ref="B1469:D1469"/>
    <mergeCell ref="E1469:F1469"/>
    <mergeCell ref="G1469:I1469"/>
    <mergeCell ref="N1469:O1469"/>
    <mergeCell ref="P1469:R1469"/>
    <mergeCell ref="T1469:U1469"/>
    <mergeCell ref="Y1469:Z1469"/>
    <mergeCell ref="B1470:D1470"/>
    <mergeCell ref="E1470:F1470"/>
    <mergeCell ref="G1470:I1470"/>
    <mergeCell ref="N1470:O1470"/>
    <mergeCell ref="P1470:R1470"/>
    <mergeCell ref="T1470:U1470"/>
    <mergeCell ref="Y1470:Z1470"/>
    <mergeCell ref="B1471:D1471"/>
    <mergeCell ref="E1471:F1471"/>
    <mergeCell ref="G1471:I1471"/>
    <mergeCell ref="N1471:O1471"/>
    <mergeCell ref="P1471:R1471"/>
    <mergeCell ref="T1471:U1471"/>
    <mergeCell ref="Y1471:Z1471"/>
    <mergeCell ref="B1472:D1472"/>
    <mergeCell ref="E1472:F1472"/>
    <mergeCell ref="G1472:I1472"/>
    <mergeCell ref="N1472:O1472"/>
    <mergeCell ref="P1472:R1472"/>
    <mergeCell ref="T1472:U1472"/>
    <mergeCell ref="Y1472:Z1472"/>
    <mergeCell ref="B1473:D1473"/>
    <mergeCell ref="E1473:F1473"/>
    <mergeCell ref="G1473:I1473"/>
    <mergeCell ref="N1473:O1473"/>
    <mergeCell ref="P1473:R1473"/>
    <mergeCell ref="T1473:U1473"/>
    <mergeCell ref="Y1473:Z1473"/>
    <mergeCell ref="B1474:D1474"/>
    <mergeCell ref="E1474:F1474"/>
    <mergeCell ref="G1474:I1474"/>
    <mergeCell ref="N1474:O1474"/>
    <mergeCell ref="P1474:R1474"/>
    <mergeCell ref="T1474:U1474"/>
    <mergeCell ref="Y1474:Z1474"/>
    <mergeCell ref="B1475:D1475"/>
    <mergeCell ref="E1475:F1475"/>
    <mergeCell ref="G1475:I1475"/>
    <mergeCell ref="N1475:O1475"/>
    <mergeCell ref="P1475:R1475"/>
    <mergeCell ref="T1475:U1475"/>
    <mergeCell ref="Y1475:Z1475"/>
    <mergeCell ref="B1476:D1476"/>
    <mergeCell ref="E1476:F1476"/>
    <mergeCell ref="G1476:I1476"/>
    <mergeCell ref="N1476:O1476"/>
    <mergeCell ref="P1476:R1476"/>
    <mergeCell ref="T1476:U1476"/>
    <mergeCell ref="Y1476:Z1476"/>
    <mergeCell ref="B1477:D1477"/>
    <mergeCell ref="E1477:F1477"/>
    <mergeCell ref="G1477:I1477"/>
    <mergeCell ref="N1477:O1477"/>
    <mergeCell ref="P1477:R1477"/>
    <mergeCell ref="T1477:U1477"/>
    <mergeCell ref="Y1477:Z1477"/>
    <mergeCell ref="B1478:D1478"/>
    <mergeCell ref="E1478:F1478"/>
    <mergeCell ref="G1478:I1478"/>
    <mergeCell ref="N1478:O1478"/>
    <mergeCell ref="P1478:R1478"/>
    <mergeCell ref="T1478:U1478"/>
    <mergeCell ref="Y1478:Z1478"/>
    <mergeCell ref="B1479:D1479"/>
    <mergeCell ref="E1479:F1479"/>
    <mergeCell ref="G1479:I1479"/>
    <mergeCell ref="N1479:O1479"/>
    <mergeCell ref="P1479:R1479"/>
    <mergeCell ref="T1479:U1479"/>
    <mergeCell ref="Y1479:Z1479"/>
    <mergeCell ref="B1480:D1480"/>
    <mergeCell ref="E1480:F1480"/>
    <mergeCell ref="G1480:I1480"/>
    <mergeCell ref="N1480:O1480"/>
    <mergeCell ref="P1480:R1480"/>
    <mergeCell ref="T1480:U1480"/>
    <mergeCell ref="Y1480:Z1480"/>
    <mergeCell ref="B1481:D1481"/>
    <mergeCell ref="E1481:F1481"/>
    <mergeCell ref="G1481:I1481"/>
    <mergeCell ref="N1481:O1481"/>
    <mergeCell ref="P1481:R1481"/>
    <mergeCell ref="T1481:U1481"/>
    <mergeCell ref="Y1481:Z1481"/>
    <mergeCell ref="B1482:D1482"/>
    <mergeCell ref="E1482:F1482"/>
    <mergeCell ref="G1482:I1482"/>
    <mergeCell ref="N1482:O1482"/>
    <mergeCell ref="P1482:R1482"/>
    <mergeCell ref="T1482:U1482"/>
    <mergeCell ref="Y1482:Z1482"/>
    <mergeCell ref="B1483:D1483"/>
    <mergeCell ref="E1483:F1483"/>
    <mergeCell ref="G1483:I1483"/>
    <mergeCell ref="N1483:O1483"/>
    <mergeCell ref="P1483:R1483"/>
    <mergeCell ref="T1483:U1483"/>
    <mergeCell ref="Y1483:Z1483"/>
    <mergeCell ref="B1484:D1484"/>
    <mergeCell ref="E1484:F1484"/>
    <mergeCell ref="G1484:I1484"/>
    <mergeCell ref="N1484:O1484"/>
    <mergeCell ref="P1484:R1484"/>
    <mergeCell ref="T1484:U1484"/>
    <mergeCell ref="Y1484:Z1484"/>
    <mergeCell ref="B1485:D1485"/>
    <mergeCell ref="E1485:F1485"/>
    <mergeCell ref="G1485:I1485"/>
    <mergeCell ref="N1485:O1485"/>
    <mergeCell ref="P1485:R1485"/>
    <mergeCell ref="T1485:U1485"/>
    <mergeCell ref="Y1485:Z1485"/>
    <mergeCell ref="B1486:D1486"/>
    <mergeCell ref="E1486:F1486"/>
    <mergeCell ref="G1486:I1486"/>
    <mergeCell ref="N1486:O1486"/>
    <mergeCell ref="P1486:R1486"/>
    <mergeCell ref="T1486:U1486"/>
    <mergeCell ref="Y1486:Z1486"/>
    <mergeCell ref="B1487:D1487"/>
    <mergeCell ref="E1487:F1487"/>
    <mergeCell ref="G1487:I1487"/>
    <mergeCell ref="N1487:O1487"/>
    <mergeCell ref="P1487:R1487"/>
    <mergeCell ref="T1487:U1487"/>
    <mergeCell ref="Y1487:Z1487"/>
    <mergeCell ref="B1488:D1488"/>
    <mergeCell ref="E1488:F1488"/>
    <mergeCell ref="G1488:I1488"/>
    <mergeCell ref="N1488:O1488"/>
    <mergeCell ref="P1488:R1488"/>
    <mergeCell ref="T1488:U1488"/>
    <mergeCell ref="Y1488:Z1488"/>
    <mergeCell ref="B1489:D1489"/>
    <mergeCell ref="E1489:F1489"/>
    <mergeCell ref="G1489:I1489"/>
    <mergeCell ref="N1489:O1489"/>
    <mergeCell ref="P1489:R1489"/>
    <mergeCell ref="T1489:U1489"/>
    <mergeCell ref="Y1489:Z1489"/>
    <mergeCell ref="B1490:D1490"/>
    <mergeCell ref="E1490:F1490"/>
    <mergeCell ref="G1490:I1490"/>
    <mergeCell ref="N1490:O1490"/>
    <mergeCell ref="P1490:R1490"/>
    <mergeCell ref="T1490:U1490"/>
    <mergeCell ref="Y1490:Z1490"/>
    <mergeCell ref="B1491:D1491"/>
    <mergeCell ref="E1491:F1491"/>
    <mergeCell ref="G1491:I1491"/>
    <mergeCell ref="N1491:O1491"/>
    <mergeCell ref="P1491:R1491"/>
    <mergeCell ref="T1491:U1491"/>
    <mergeCell ref="Y1491:Z1491"/>
    <mergeCell ref="B1492:D1492"/>
    <mergeCell ref="E1492:F1492"/>
    <mergeCell ref="G1492:I1492"/>
    <mergeCell ref="N1492:O1492"/>
    <mergeCell ref="P1492:R1492"/>
    <mergeCell ref="T1492:U1492"/>
    <mergeCell ref="Y1492:Z1492"/>
    <mergeCell ref="B1493:D1493"/>
    <mergeCell ref="E1493:F1493"/>
    <mergeCell ref="G1493:I1493"/>
    <mergeCell ref="N1493:O1493"/>
    <mergeCell ref="P1493:R1493"/>
    <mergeCell ref="T1493:U1493"/>
    <mergeCell ref="Y1493:Z1493"/>
    <mergeCell ref="B1494:D1494"/>
    <mergeCell ref="E1494:F1494"/>
    <mergeCell ref="G1494:I1494"/>
    <mergeCell ref="N1494:O1494"/>
    <mergeCell ref="P1494:R1494"/>
    <mergeCell ref="T1494:U1494"/>
    <mergeCell ref="Y1494:Z1494"/>
    <mergeCell ref="B1495:D1495"/>
    <mergeCell ref="E1495:F1495"/>
    <mergeCell ref="G1495:I1495"/>
    <mergeCell ref="N1495:O1495"/>
    <mergeCell ref="P1495:R1495"/>
    <mergeCell ref="T1495:U1495"/>
    <mergeCell ref="Y1495:Z1495"/>
    <mergeCell ref="B1496:D1496"/>
    <mergeCell ref="E1496:F1496"/>
    <mergeCell ref="G1496:I1496"/>
    <mergeCell ref="N1496:O1496"/>
    <mergeCell ref="P1496:R1496"/>
    <mergeCell ref="T1496:U1496"/>
    <mergeCell ref="Y1496:Z1496"/>
    <mergeCell ref="B1497:D1497"/>
    <mergeCell ref="E1497:F1497"/>
    <mergeCell ref="G1497:I1497"/>
    <mergeCell ref="N1497:O1497"/>
    <mergeCell ref="P1497:R1497"/>
    <mergeCell ref="T1497:U1497"/>
    <mergeCell ref="Y1497:Z1497"/>
    <mergeCell ref="B1498:D1498"/>
    <mergeCell ref="E1498:F1498"/>
    <mergeCell ref="G1498:I1498"/>
    <mergeCell ref="N1498:O1498"/>
    <mergeCell ref="P1498:R1498"/>
    <mergeCell ref="T1498:U1498"/>
    <mergeCell ref="Y1498:Z1498"/>
    <mergeCell ref="B1499:D1499"/>
    <mergeCell ref="E1499:F1499"/>
    <mergeCell ref="G1499:I1499"/>
    <mergeCell ref="N1499:O1499"/>
    <mergeCell ref="P1499:R1499"/>
    <mergeCell ref="T1499:U1499"/>
    <mergeCell ref="Y1499:Z1499"/>
    <mergeCell ref="B1500:D1500"/>
    <mergeCell ref="E1500:F1500"/>
    <mergeCell ref="G1500:I1500"/>
    <mergeCell ref="N1500:O1500"/>
    <mergeCell ref="P1500:R1500"/>
    <mergeCell ref="T1500:U1500"/>
    <mergeCell ref="Y1500:Z1500"/>
    <mergeCell ref="B1501:D1501"/>
    <mergeCell ref="E1501:F1501"/>
    <mergeCell ref="G1501:I1501"/>
    <mergeCell ref="N1501:O1501"/>
    <mergeCell ref="P1501:R1501"/>
    <mergeCell ref="T1501:U1501"/>
    <mergeCell ref="Y1501:Z1501"/>
    <mergeCell ref="B1502:D1502"/>
    <mergeCell ref="E1502:F1502"/>
    <mergeCell ref="G1502:I1502"/>
    <mergeCell ref="N1502:O1502"/>
    <mergeCell ref="P1502:R1502"/>
    <mergeCell ref="T1502:U1502"/>
    <mergeCell ref="Y1502:Z1502"/>
    <mergeCell ref="B1503:D1503"/>
    <mergeCell ref="E1503:F1503"/>
    <mergeCell ref="G1503:I1503"/>
    <mergeCell ref="N1503:O1503"/>
    <mergeCell ref="P1503:R1503"/>
    <mergeCell ref="T1503:U1503"/>
    <mergeCell ref="Y1503:Z1503"/>
    <mergeCell ref="B1504:D1504"/>
    <mergeCell ref="E1504:F1504"/>
    <mergeCell ref="G1504:I1504"/>
    <mergeCell ref="N1504:O1504"/>
    <mergeCell ref="P1504:R1504"/>
    <mergeCell ref="T1504:U1504"/>
    <mergeCell ref="Y1504:Z1504"/>
    <mergeCell ref="B1505:D1505"/>
    <mergeCell ref="E1505:F1505"/>
    <mergeCell ref="G1505:I1505"/>
    <mergeCell ref="N1505:O1505"/>
    <mergeCell ref="P1505:R1505"/>
    <mergeCell ref="T1505:U1505"/>
    <mergeCell ref="Y1505:Z1505"/>
    <mergeCell ref="B1506:D1506"/>
    <mergeCell ref="E1506:F1506"/>
    <mergeCell ref="G1506:I1506"/>
    <mergeCell ref="N1506:O1506"/>
    <mergeCell ref="P1506:R1506"/>
    <mergeCell ref="T1506:U1506"/>
    <mergeCell ref="Y1506:Z1506"/>
    <mergeCell ref="B1507:D1507"/>
    <mergeCell ref="E1507:F1507"/>
    <mergeCell ref="G1507:I1507"/>
    <mergeCell ref="N1507:O1507"/>
    <mergeCell ref="P1507:R1507"/>
    <mergeCell ref="T1507:U1507"/>
    <mergeCell ref="Y1507:Z1507"/>
    <mergeCell ref="B1508:D1508"/>
    <mergeCell ref="E1508:F1508"/>
    <mergeCell ref="G1508:I1508"/>
    <mergeCell ref="N1508:O1508"/>
    <mergeCell ref="P1508:R1508"/>
    <mergeCell ref="T1508:U1508"/>
    <mergeCell ref="Y1508:Z1508"/>
    <mergeCell ref="B1509:D1509"/>
    <mergeCell ref="E1509:F1509"/>
    <mergeCell ref="G1509:I1509"/>
    <mergeCell ref="N1509:O1509"/>
    <mergeCell ref="P1509:R1509"/>
    <mergeCell ref="T1509:U1509"/>
    <mergeCell ref="Y1509:Z1509"/>
    <mergeCell ref="B1510:D1510"/>
    <mergeCell ref="E1510:F1510"/>
    <mergeCell ref="G1510:I1510"/>
    <mergeCell ref="N1510:O1510"/>
    <mergeCell ref="P1510:R1510"/>
    <mergeCell ref="T1510:U1510"/>
    <mergeCell ref="Y1510:Z1510"/>
    <mergeCell ref="B1511:D1511"/>
    <mergeCell ref="E1511:F1511"/>
    <mergeCell ref="G1511:I1511"/>
    <mergeCell ref="N1511:O1511"/>
    <mergeCell ref="P1511:R1511"/>
    <mergeCell ref="T1511:U1511"/>
    <mergeCell ref="Y1511:Z1511"/>
    <mergeCell ref="B1512:D1512"/>
    <mergeCell ref="E1512:F1512"/>
    <mergeCell ref="G1512:I1512"/>
    <mergeCell ref="N1512:O1512"/>
    <mergeCell ref="P1512:R1512"/>
    <mergeCell ref="T1512:U1512"/>
    <mergeCell ref="Y1512:Z1512"/>
    <mergeCell ref="B1513:D1513"/>
    <mergeCell ref="E1513:F1513"/>
    <mergeCell ref="G1513:I1513"/>
    <mergeCell ref="N1513:O1513"/>
    <mergeCell ref="P1513:R1513"/>
    <mergeCell ref="T1513:U1513"/>
    <mergeCell ref="Y1513:Z1513"/>
    <mergeCell ref="B1514:D1514"/>
    <mergeCell ref="E1514:F1514"/>
    <mergeCell ref="G1514:I1514"/>
    <mergeCell ref="N1514:O1514"/>
    <mergeCell ref="P1514:R1514"/>
    <mergeCell ref="T1514:U1514"/>
    <mergeCell ref="Y1514:Z1514"/>
    <mergeCell ref="B1515:D1515"/>
    <mergeCell ref="E1515:F1515"/>
    <mergeCell ref="G1515:I1515"/>
    <mergeCell ref="N1515:O1515"/>
    <mergeCell ref="P1515:R1515"/>
    <mergeCell ref="T1515:U1515"/>
    <mergeCell ref="Y1515:Z1515"/>
    <mergeCell ref="B1516:D1516"/>
    <mergeCell ref="E1516:F1516"/>
    <mergeCell ref="G1516:I1516"/>
    <mergeCell ref="N1516:O1516"/>
    <mergeCell ref="P1516:R1516"/>
    <mergeCell ref="T1516:U1516"/>
    <mergeCell ref="Y1516:Z1516"/>
    <mergeCell ref="B1517:D1517"/>
    <mergeCell ref="E1517:F1517"/>
    <mergeCell ref="G1517:I1517"/>
    <mergeCell ref="N1517:O1517"/>
    <mergeCell ref="P1517:R1517"/>
    <mergeCell ref="T1517:U1517"/>
    <mergeCell ref="Y1517:Z1517"/>
    <mergeCell ref="B1518:D1518"/>
    <mergeCell ref="E1518:F1518"/>
    <mergeCell ref="G1518:I1518"/>
    <mergeCell ref="N1518:O1518"/>
    <mergeCell ref="P1518:R1518"/>
    <mergeCell ref="T1518:U1518"/>
    <mergeCell ref="Y1518:Z1518"/>
    <mergeCell ref="B1519:D1519"/>
    <mergeCell ref="E1519:F1519"/>
    <mergeCell ref="G1519:I1519"/>
    <mergeCell ref="N1519:O1519"/>
    <mergeCell ref="P1519:R1519"/>
    <mergeCell ref="T1519:U1519"/>
    <mergeCell ref="Y1519:Z1519"/>
    <mergeCell ref="B1520:D1520"/>
    <mergeCell ref="E1520:F1520"/>
    <mergeCell ref="G1520:I1520"/>
    <mergeCell ref="N1520:O1520"/>
    <mergeCell ref="P1520:R1520"/>
    <mergeCell ref="T1520:U1520"/>
    <mergeCell ref="Y1520:Z1520"/>
    <mergeCell ref="B1521:D1521"/>
    <mergeCell ref="E1521:F1521"/>
    <mergeCell ref="G1521:I1521"/>
    <mergeCell ref="N1521:O1521"/>
    <mergeCell ref="P1521:R1521"/>
    <mergeCell ref="T1521:U1521"/>
    <mergeCell ref="Y1521:Z1521"/>
    <mergeCell ref="B1522:D1522"/>
    <mergeCell ref="E1522:F1522"/>
    <mergeCell ref="G1522:I1522"/>
    <mergeCell ref="N1522:O1522"/>
    <mergeCell ref="P1522:R1522"/>
    <mergeCell ref="T1522:U1522"/>
    <mergeCell ref="Y1522:Z1522"/>
    <mergeCell ref="B1523:D1523"/>
    <mergeCell ref="E1523:F1523"/>
    <mergeCell ref="G1523:I1523"/>
    <mergeCell ref="N1523:O1523"/>
    <mergeCell ref="P1523:R1523"/>
    <mergeCell ref="T1523:U1523"/>
    <mergeCell ref="Y1523:Z1523"/>
    <mergeCell ref="B1524:D1524"/>
    <mergeCell ref="E1524:F1524"/>
    <mergeCell ref="G1524:I1524"/>
    <mergeCell ref="N1524:O1524"/>
    <mergeCell ref="P1524:R1524"/>
    <mergeCell ref="T1524:U1524"/>
    <mergeCell ref="Y1524:Z1524"/>
    <mergeCell ref="B1525:D1525"/>
    <mergeCell ref="E1525:F1525"/>
    <mergeCell ref="G1525:I1525"/>
    <mergeCell ref="N1525:O1525"/>
    <mergeCell ref="P1525:R1525"/>
    <mergeCell ref="T1525:U1525"/>
    <mergeCell ref="Y1525:Z1525"/>
    <mergeCell ref="B1526:D1526"/>
    <mergeCell ref="E1526:F1526"/>
    <mergeCell ref="G1526:I1526"/>
    <mergeCell ref="N1526:O1526"/>
    <mergeCell ref="P1526:R1526"/>
    <mergeCell ref="T1526:U1526"/>
    <mergeCell ref="Y1526:Z1526"/>
    <mergeCell ref="B1527:D1527"/>
    <mergeCell ref="E1527:F1527"/>
    <mergeCell ref="G1527:I1527"/>
    <mergeCell ref="N1527:O1527"/>
    <mergeCell ref="P1527:R1527"/>
    <mergeCell ref="T1527:U1527"/>
    <mergeCell ref="Y1527:Z1527"/>
    <mergeCell ref="B1528:D1528"/>
    <mergeCell ref="E1528:F1528"/>
    <mergeCell ref="G1528:I1528"/>
    <mergeCell ref="N1528:O1528"/>
    <mergeCell ref="P1528:R1528"/>
    <mergeCell ref="T1528:U1528"/>
    <mergeCell ref="Y1528:Z1528"/>
    <mergeCell ref="B1529:D1529"/>
    <mergeCell ref="E1529:F1529"/>
    <mergeCell ref="G1529:I1529"/>
    <mergeCell ref="N1529:O1529"/>
    <mergeCell ref="P1529:R1529"/>
    <mergeCell ref="T1529:U1529"/>
    <mergeCell ref="Y1529:Z1529"/>
    <mergeCell ref="B1530:D1530"/>
    <mergeCell ref="E1530:F1530"/>
    <mergeCell ref="G1530:I1530"/>
    <mergeCell ref="N1530:O1530"/>
    <mergeCell ref="P1530:R1530"/>
    <mergeCell ref="T1530:U1530"/>
    <mergeCell ref="Y1530:Z1530"/>
    <mergeCell ref="B1531:D1531"/>
    <mergeCell ref="E1531:F1531"/>
    <mergeCell ref="G1531:I1531"/>
    <mergeCell ref="N1531:O1531"/>
    <mergeCell ref="P1531:R1531"/>
    <mergeCell ref="T1531:U1531"/>
    <mergeCell ref="Y1531:Z1531"/>
    <mergeCell ref="B1532:D1532"/>
    <mergeCell ref="E1532:F1532"/>
    <mergeCell ref="G1532:I1532"/>
    <mergeCell ref="N1532:O1532"/>
    <mergeCell ref="P1532:R1532"/>
    <mergeCell ref="T1532:U1532"/>
    <mergeCell ref="Y1532:Z1532"/>
    <mergeCell ref="B1533:D1533"/>
    <mergeCell ref="E1533:F1533"/>
    <mergeCell ref="G1533:I1533"/>
    <mergeCell ref="N1533:O1533"/>
    <mergeCell ref="P1533:R1533"/>
    <mergeCell ref="T1533:U1533"/>
    <mergeCell ref="Y1533:Z1533"/>
    <mergeCell ref="B1534:D1534"/>
    <mergeCell ref="E1534:F1534"/>
    <mergeCell ref="G1534:I1534"/>
    <mergeCell ref="N1534:O1534"/>
    <mergeCell ref="P1534:R1534"/>
    <mergeCell ref="T1534:U1534"/>
    <mergeCell ref="Y1534:Z1534"/>
    <mergeCell ref="B1535:D1535"/>
    <mergeCell ref="E1535:F1535"/>
    <mergeCell ref="G1535:I1535"/>
    <mergeCell ref="N1535:O1535"/>
    <mergeCell ref="P1535:R1535"/>
    <mergeCell ref="T1535:U1535"/>
    <mergeCell ref="Y1535:Z1535"/>
    <mergeCell ref="B1536:D1536"/>
    <mergeCell ref="E1536:F1536"/>
    <mergeCell ref="G1536:I1536"/>
    <mergeCell ref="N1536:O1536"/>
    <mergeCell ref="P1536:R1536"/>
    <mergeCell ref="T1536:U1536"/>
    <mergeCell ref="Y1536:Z1536"/>
    <mergeCell ref="B1537:D1537"/>
    <mergeCell ref="E1537:F1537"/>
    <mergeCell ref="G1537:I1537"/>
    <mergeCell ref="N1537:O1537"/>
    <mergeCell ref="P1537:R1537"/>
    <mergeCell ref="T1537:U1537"/>
    <mergeCell ref="Y1537:Z1537"/>
    <mergeCell ref="B1538:D1538"/>
    <mergeCell ref="E1538:F1538"/>
    <mergeCell ref="G1538:I1538"/>
    <mergeCell ref="N1538:O1538"/>
    <mergeCell ref="P1538:R1538"/>
    <mergeCell ref="T1538:U1538"/>
    <mergeCell ref="Y1538:Z1538"/>
    <mergeCell ref="B1539:D1539"/>
    <mergeCell ref="E1539:F1539"/>
    <mergeCell ref="G1539:I1539"/>
    <mergeCell ref="N1539:O1539"/>
    <mergeCell ref="P1539:R1539"/>
    <mergeCell ref="T1539:U1539"/>
    <mergeCell ref="Y1539:Z1539"/>
    <mergeCell ref="B1540:D1540"/>
    <mergeCell ref="E1540:F1540"/>
    <mergeCell ref="G1540:I1540"/>
    <mergeCell ref="N1540:O1540"/>
    <mergeCell ref="P1540:R1540"/>
    <mergeCell ref="T1540:U1540"/>
    <mergeCell ref="Y1540:Z1540"/>
    <mergeCell ref="B1541:D1541"/>
    <mergeCell ref="E1541:F1541"/>
    <mergeCell ref="G1541:I1541"/>
    <mergeCell ref="N1541:O1541"/>
    <mergeCell ref="P1541:R1541"/>
    <mergeCell ref="T1541:U1541"/>
    <mergeCell ref="Y1541:Z1541"/>
    <mergeCell ref="B1542:D1542"/>
    <mergeCell ref="E1542:F1542"/>
    <mergeCell ref="G1542:I1542"/>
    <mergeCell ref="N1542:O1542"/>
    <mergeCell ref="P1542:R1542"/>
    <mergeCell ref="T1542:U1542"/>
    <mergeCell ref="Y1542:Z1542"/>
    <mergeCell ref="B1543:D1543"/>
    <mergeCell ref="E1543:F1543"/>
    <mergeCell ref="G1543:I1543"/>
    <mergeCell ref="N1543:O1543"/>
    <mergeCell ref="P1543:R1543"/>
    <mergeCell ref="T1543:U1543"/>
    <mergeCell ref="Y1543:Z1543"/>
    <mergeCell ref="B1546:D1546"/>
    <mergeCell ref="E1546:F1546"/>
    <mergeCell ref="G1546:I1546"/>
    <mergeCell ref="N1546:O1546"/>
    <mergeCell ref="P1546:R1546"/>
    <mergeCell ref="T1546:U1546"/>
    <mergeCell ref="Y1546:Z1546"/>
    <mergeCell ref="B1547:D1547"/>
    <mergeCell ref="E1547:F1547"/>
    <mergeCell ref="G1547:I1547"/>
    <mergeCell ref="N1547:O1547"/>
    <mergeCell ref="P1547:R1547"/>
    <mergeCell ref="T1547:U1547"/>
    <mergeCell ref="Y1547:Z1547"/>
    <mergeCell ref="B1548:D1548"/>
    <mergeCell ref="E1548:F1548"/>
    <mergeCell ref="G1548:I1548"/>
    <mergeCell ref="N1548:O1548"/>
    <mergeCell ref="P1548:R1548"/>
    <mergeCell ref="T1548:U1548"/>
    <mergeCell ref="Y1548:Z1548"/>
    <mergeCell ref="B1549:D1549"/>
    <mergeCell ref="E1549:F1549"/>
    <mergeCell ref="G1549:I1549"/>
    <mergeCell ref="N1549:O1549"/>
    <mergeCell ref="P1549:R1549"/>
    <mergeCell ref="T1549:U1549"/>
    <mergeCell ref="Y1549:Z1549"/>
    <mergeCell ref="B1550:D1550"/>
    <mergeCell ref="E1550:F1550"/>
    <mergeCell ref="G1550:I1550"/>
    <mergeCell ref="N1550:O1550"/>
    <mergeCell ref="P1550:R1550"/>
    <mergeCell ref="T1550:U1550"/>
    <mergeCell ref="Y1550:Z1550"/>
    <mergeCell ref="B1551:D1551"/>
    <mergeCell ref="E1551:F1551"/>
    <mergeCell ref="G1551:I1551"/>
    <mergeCell ref="N1551:O1551"/>
    <mergeCell ref="P1551:R1551"/>
    <mergeCell ref="T1551:U1551"/>
    <mergeCell ref="Y1551:Z1551"/>
    <mergeCell ref="B1552:D1552"/>
    <mergeCell ref="E1552:F1552"/>
    <mergeCell ref="G1552:I1552"/>
    <mergeCell ref="N1552:O1552"/>
    <mergeCell ref="P1552:R1552"/>
    <mergeCell ref="T1552:U1552"/>
    <mergeCell ref="Y1552:Z1552"/>
    <mergeCell ref="B1553:D1553"/>
    <mergeCell ref="E1553:F1553"/>
    <mergeCell ref="G1553:I1553"/>
    <mergeCell ref="N1553:O1553"/>
    <mergeCell ref="P1553:R1553"/>
    <mergeCell ref="T1553:U1553"/>
    <mergeCell ref="Y1553:Z1553"/>
    <mergeCell ref="B1554:D1554"/>
    <mergeCell ref="E1554:F1554"/>
    <mergeCell ref="G1554:I1554"/>
    <mergeCell ref="N1554:O1554"/>
    <mergeCell ref="P1554:R1554"/>
    <mergeCell ref="T1554:U1554"/>
    <mergeCell ref="Y1554:Z1554"/>
    <mergeCell ref="B1555:D1555"/>
    <mergeCell ref="E1555:F1555"/>
    <mergeCell ref="G1555:I1555"/>
    <mergeCell ref="N1555:O1555"/>
    <mergeCell ref="P1555:R1555"/>
    <mergeCell ref="T1555:U1555"/>
    <mergeCell ref="Y1555:Z1555"/>
    <mergeCell ref="B1556:D1556"/>
    <mergeCell ref="E1556:F1556"/>
    <mergeCell ref="G1556:I1556"/>
    <mergeCell ref="N1556:O1556"/>
    <mergeCell ref="P1556:R1556"/>
    <mergeCell ref="T1556:U1556"/>
    <mergeCell ref="Y1556:Z1556"/>
    <mergeCell ref="B1557:D1557"/>
    <mergeCell ref="E1557:F1557"/>
    <mergeCell ref="G1557:I1557"/>
    <mergeCell ref="N1557:O1557"/>
    <mergeCell ref="P1557:R1557"/>
    <mergeCell ref="T1557:U1557"/>
    <mergeCell ref="Y1557:Z1557"/>
    <mergeCell ref="B1558:D1558"/>
    <mergeCell ref="E1558:F1558"/>
    <mergeCell ref="G1558:I1558"/>
    <mergeCell ref="N1558:O1558"/>
    <mergeCell ref="P1558:R1558"/>
    <mergeCell ref="T1558:U1558"/>
    <mergeCell ref="Y1558:Z1558"/>
    <mergeCell ref="B1559:D1559"/>
    <mergeCell ref="E1559:F1559"/>
    <mergeCell ref="G1559:I1559"/>
    <mergeCell ref="N1559:O1559"/>
    <mergeCell ref="P1559:R1559"/>
    <mergeCell ref="T1559:U1559"/>
    <mergeCell ref="Y1559:Z1559"/>
    <mergeCell ref="B1560:D1560"/>
    <mergeCell ref="E1560:F1560"/>
    <mergeCell ref="G1560:I1560"/>
    <mergeCell ref="N1560:O1560"/>
    <mergeCell ref="P1560:R1560"/>
    <mergeCell ref="T1560:U1560"/>
    <mergeCell ref="Y1560:Z1560"/>
    <mergeCell ref="B1561:D1561"/>
    <mergeCell ref="E1561:F1561"/>
    <mergeCell ref="G1561:I1561"/>
    <mergeCell ref="N1561:O1561"/>
    <mergeCell ref="P1561:R1561"/>
    <mergeCell ref="T1561:U1561"/>
    <mergeCell ref="Y1561:Z1561"/>
    <mergeCell ref="B1562:D1562"/>
    <mergeCell ref="E1562:F1562"/>
    <mergeCell ref="G1562:I1562"/>
    <mergeCell ref="N1562:O1562"/>
    <mergeCell ref="P1562:R1562"/>
    <mergeCell ref="T1562:U1562"/>
    <mergeCell ref="Y1562:Z1562"/>
    <mergeCell ref="B1563:D1563"/>
    <mergeCell ref="E1563:F1563"/>
    <mergeCell ref="G1563:I1563"/>
    <mergeCell ref="N1563:O1563"/>
    <mergeCell ref="P1563:R1563"/>
    <mergeCell ref="T1563:U1563"/>
    <mergeCell ref="Y1563:Z1563"/>
    <mergeCell ref="B1564:D1564"/>
    <mergeCell ref="E1564:F1564"/>
    <mergeCell ref="G1564:I1564"/>
    <mergeCell ref="N1564:O1564"/>
    <mergeCell ref="P1564:R1564"/>
    <mergeCell ref="T1564:U1564"/>
    <mergeCell ref="Y1564:Z1564"/>
    <mergeCell ref="B1565:D1565"/>
    <mergeCell ref="E1565:F1565"/>
    <mergeCell ref="G1565:I1565"/>
    <mergeCell ref="N1565:O1565"/>
    <mergeCell ref="P1565:R1565"/>
    <mergeCell ref="T1565:U1565"/>
    <mergeCell ref="Y1565:Z1565"/>
    <mergeCell ref="B1566:D1566"/>
    <mergeCell ref="E1566:F1566"/>
    <mergeCell ref="G1566:I1566"/>
    <mergeCell ref="N1566:O1566"/>
    <mergeCell ref="P1566:R1566"/>
    <mergeCell ref="T1566:U1566"/>
    <mergeCell ref="Y1566:Z1566"/>
    <mergeCell ref="B1567:D1567"/>
    <mergeCell ref="E1567:F1567"/>
    <mergeCell ref="G1567:I1567"/>
    <mergeCell ref="N1567:O1567"/>
    <mergeCell ref="P1567:R1567"/>
    <mergeCell ref="T1567:U1567"/>
    <mergeCell ref="Y1567:Z1567"/>
    <mergeCell ref="B1568:D1568"/>
    <mergeCell ref="E1568:F1568"/>
    <mergeCell ref="G1568:I1568"/>
    <mergeCell ref="N1568:O1568"/>
    <mergeCell ref="P1568:R1568"/>
    <mergeCell ref="T1568:U1568"/>
    <mergeCell ref="Y1568:Z1568"/>
    <mergeCell ref="B1569:D1569"/>
    <mergeCell ref="E1569:F1569"/>
    <mergeCell ref="G1569:I1569"/>
    <mergeCell ref="N1569:O1569"/>
    <mergeCell ref="P1569:R1569"/>
    <mergeCell ref="T1569:U1569"/>
    <mergeCell ref="Y1569:Z1569"/>
    <mergeCell ref="B1570:D1570"/>
    <mergeCell ref="E1570:F1570"/>
    <mergeCell ref="G1570:I1570"/>
    <mergeCell ref="N1570:O1570"/>
    <mergeCell ref="P1570:R1570"/>
    <mergeCell ref="T1570:U1570"/>
    <mergeCell ref="Y1570:Z1570"/>
    <mergeCell ref="B1571:D1571"/>
    <mergeCell ref="E1571:F1571"/>
    <mergeCell ref="G1571:I1571"/>
    <mergeCell ref="N1571:O1571"/>
    <mergeCell ref="P1571:R1571"/>
    <mergeCell ref="T1571:U1571"/>
    <mergeCell ref="Y1571:Z1571"/>
    <mergeCell ref="B1572:D1572"/>
    <mergeCell ref="E1572:F1572"/>
    <mergeCell ref="G1572:I1572"/>
    <mergeCell ref="N1572:O1572"/>
    <mergeCell ref="P1572:R1572"/>
    <mergeCell ref="T1572:U1572"/>
    <mergeCell ref="Y1572:Z1572"/>
    <mergeCell ref="B1573:D1573"/>
    <mergeCell ref="E1573:F1573"/>
    <mergeCell ref="G1573:I1573"/>
    <mergeCell ref="N1573:O1573"/>
    <mergeCell ref="P1573:R1573"/>
    <mergeCell ref="T1573:U1573"/>
    <mergeCell ref="Y1573:Z1573"/>
    <mergeCell ref="B1574:D1574"/>
    <mergeCell ref="E1574:F1574"/>
    <mergeCell ref="G1574:I1574"/>
    <mergeCell ref="N1574:O1574"/>
    <mergeCell ref="P1574:R1574"/>
    <mergeCell ref="T1574:U1574"/>
    <mergeCell ref="Y1574:Z1574"/>
    <mergeCell ref="B1575:D1575"/>
    <mergeCell ref="E1575:F1575"/>
    <mergeCell ref="G1575:I1575"/>
    <mergeCell ref="N1575:O1575"/>
    <mergeCell ref="P1575:R1575"/>
    <mergeCell ref="T1575:U1575"/>
    <mergeCell ref="Y1575:Z1575"/>
    <mergeCell ref="B1576:D1576"/>
    <mergeCell ref="E1576:F1576"/>
    <mergeCell ref="G1576:I1576"/>
    <mergeCell ref="N1576:O1576"/>
    <mergeCell ref="P1576:R1576"/>
    <mergeCell ref="T1576:U1576"/>
    <mergeCell ref="Y1576:Z1576"/>
    <mergeCell ref="B1577:D1577"/>
    <mergeCell ref="E1577:F1577"/>
    <mergeCell ref="G1577:I1577"/>
    <mergeCell ref="N1577:O1577"/>
    <mergeCell ref="P1577:R1577"/>
    <mergeCell ref="T1577:U1577"/>
    <mergeCell ref="Y1577:Z1577"/>
    <mergeCell ref="B1578:D1578"/>
    <mergeCell ref="E1578:F1578"/>
    <mergeCell ref="G1578:I1578"/>
    <mergeCell ref="N1578:O1578"/>
    <mergeCell ref="P1578:R1578"/>
    <mergeCell ref="T1578:U1578"/>
    <mergeCell ref="Y1578:Z1578"/>
    <mergeCell ref="B1579:D1579"/>
    <mergeCell ref="E1579:F1579"/>
    <mergeCell ref="G1579:I1579"/>
    <mergeCell ref="N1579:O1579"/>
    <mergeCell ref="P1579:R1579"/>
    <mergeCell ref="T1579:U1579"/>
    <mergeCell ref="Y1579:Z1579"/>
    <mergeCell ref="B1580:D1580"/>
    <mergeCell ref="E1580:F1580"/>
    <mergeCell ref="G1580:I1580"/>
    <mergeCell ref="N1580:O1580"/>
    <mergeCell ref="P1580:R1580"/>
    <mergeCell ref="T1580:U1580"/>
    <mergeCell ref="Y1580:Z1580"/>
    <mergeCell ref="B1581:D1581"/>
    <mergeCell ref="E1581:F1581"/>
    <mergeCell ref="G1581:I1581"/>
    <mergeCell ref="N1581:O1581"/>
    <mergeCell ref="P1581:R1581"/>
    <mergeCell ref="T1581:U1581"/>
    <mergeCell ref="Y1581:Z1581"/>
    <mergeCell ref="B1582:D1582"/>
    <mergeCell ref="E1582:F1582"/>
    <mergeCell ref="G1582:I1582"/>
    <mergeCell ref="N1582:O1582"/>
    <mergeCell ref="P1582:R1582"/>
    <mergeCell ref="T1582:U1582"/>
    <mergeCell ref="Y1582:Z1582"/>
    <mergeCell ref="B1583:D1583"/>
    <mergeCell ref="E1583:F1583"/>
    <mergeCell ref="G1583:I1583"/>
    <mergeCell ref="N1583:O1583"/>
    <mergeCell ref="P1583:R1583"/>
    <mergeCell ref="T1583:U1583"/>
    <mergeCell ref="Y1583:Z1583"/>
    <mergeCell ref="B1584:D1584"/>
    <mergeCell ref="E1584:F1584"/>
    <mergeCell ref="G1584:I1584"/>
    <mergeCell ref="N1584:O1584"/>
    <mergeCell ref="P1584:R1584"/>
    <mergeCell ref="T1584:U1584"/>
    <mergeCell ref="Y1584:Z1584"/>
    <mergeCell ref="B1585:D1585"/>
    <mergeCell ref="E1585:F1585"/>
    <mergeCell ref="G1585:I1585"/>
    <mergeCell ref="N1585:O1585"/>
    <mergeCell ref="P1585:R1585"/>
    <mergeCell ref="T1585:U1585"/>
    <mergeCell ref="Y1585:Z1585"/>
    <mergeCell ref="B1586:D1586"/>
    <mergeCell ref="E1586:F1586"/>
    <mergeCell ref="G1586:I1586"/>
    <mergeCell ref="N1586:O1586"/>
    <mergeCell ref="P1586:R1586"/>
    <mergeCell ref="T1586:U1586"/>
    <mergeCell ref="Y1586:Z1586"/>
    <mergeCell ref="B1587:D1587"/>
    <mergeCell ref="E1587:F1587"/>
    <mergeCell ref="G1587:I1587"/>
    <mergeCell ref="N1587:O1587"/>
    <mergeCell ref="P1587:R1587"/>
    <mergeCell ref="T1587:U1587"/>
    <mergeCell ref="Y1587:Z1587"/>
    <mergeCell ref="B1588:D1588"/>
    <mergeCell ref="E1588:F1588"/>
    <mergeCell ref="G1588:I1588"/>
    <mergeCell ref="N1588:O1588"/>
    <mergeCell ref="P1588:R1588"/>
    <mergeCell ref="T1588:U1588"/>
    <mergeCell ref="Y1588:Z1588"/>
    <mergeCell ref="B1589:D1589"/>
    <mergeCell ref="E1589:F1589"/>
    <mergeCell ref="G1589:I1589"/>
    <mergeCell ref="N1589:O1589"/>
    <mergeCell ref="P1589:R1589"/>
    <mergeCell ref="T1589:U1589"/>
    <mergeCell ref="Y1589:Z1589"/>
    <mergeCell ref="B1590:D1590"/>
    <mergeCell ref="E1590:F1590"/>
    <mergeCell ref="G1590:I1590"/>
    <mergeCell ref="N1590:O1590"/>
    <mergeCell ref="P1590:R1590"/>
    <mergeCell ref="T1590:U1590"/>
    <mergeCell ref="Y1590:Z1590"/>
    <mergeCell ref="B1591:D1591"/>
    <mergeCell ref="E1591:F1591"/>
    <mergeCell ref="G1591:I1591"/>
    <mergeCell ref="N1591:O1591"/>
    <mergeCell ref="P1591:R1591"/>
    <mergeCell ref="T1591:U1591"/>
    <mergeCell ref="Y1591:Z1591"/>
    <mergeCell ref="B1592:D1592"/>
    <mergeCell ref="E1592:F1592"/>
    <mergeCell ref="G1592:I1592"/>
    <mergeCell ref="N1592:O1592"/>
    <mergeCell ref="P1592:R1592"/>
    <mergeCell ref="T1592:U1592"/>
    <mergeCell ref="Y1592:Z1592"/>
    <mergeCell ref="B1593:D1593"/>
    <mergeCell ref="E1593:F1593"/>
    <mergeCell ref="G1593:I1593"/>
    <mergeCell ref="N1593:O1593"/>
    <mergeCell ref="P1593:R1593"/>
    <mergeCell ref="T1593:U1593"/>
    <mergeCell ref="Y1593:Z1593"/>
    <mergeCell ref="B1594:D1594"/>
    <mergeCell ref="E1594:F1594"/>
    <mergeCell ref="G1594:I1594"/>
    <mergeCell ref="N1594:O1594"/>
    <mergeCell ref="P1594:R1594"/>
    <mergeCell ref="T1594:U1594"/>
    <mergeCell ref="Y1594:Z1594"/>
    <mergeCell ref="B1595:D1595"/>
    <mergeCell ref="E1595:F1595"/>
    <mergeCell ref="G1595:I1595"/>
    <mergeCell ref="N1595:O1595"/>
    <mergeCell ref="P1595:R1595"/>
    <mergeCell ref="T1595:U1595"/>
    <mergeCell ref="Y1595:Z1595"/>
    <mergeCell ref="B1596:D1596"/>
    <mergeCell ref="E1596:F1596"/>
    <mergeCell ref="G1596:I1596"/>
    <mergeCell ref="N1596:O1596"/>
    <mergeCell ref="P1596:R1596"/>
    <mergeCell ref="T1596:U1596"/>
    <mergeCell ref="Y1596:Z1596"/>
    <mergeCell ref="B1597:D1597"/>
    <mergeCell ref="E1597:F1597"/>
    <mergeCell ref="G1597:I1597"/>
    <mergeCell ref="N1597:O1597"/>
    <mergeCell ref="P1597:R1597"/>
    <mergeCell ref="T1597:U1597"/>
    <mergeCell ref="Y1597:Z1597"/>
    <mergeCell ref="B1598:D1598"/>
    <mergeCell ref="E1598:F1598"/>
    <mergeCell ref="G1598:I1598"/>
    <mergeCell ref="N1598:O1598"/>
    <mergeCell ref="P1598:R1598"/>
    <mergeCell ref="T1598:U1598"/>
    <mergeCell ref="Y1598:Z1598"/>
    <mergeCell ref="B1599:D1599"/>
    <mergeCell ref="E1599:F1599"/>
    <mergeCell ref="G1599:I1599"/>
    <mergeCell ref="N1599:O1599"/>
    <mergeCell ref="P1599:R1599"/>
    <mergeCell ref="T1599:U1599"/>
    <mergeCell ref="Y1599:Z1599"/>
    <mergeCell ref="B1600:D1600"/>
    <mergeCell ref="E1600:F1600"/>
    <mergeCell ref="G1600:I1600"/>
    <mergeCell ref="N1600:O1600"/>
    <mergeCell ref="P1600:R1600"/>
    <mergeCell ref="T1600:U1600"/>
    <mergeCell ref="Y1600:Z1600"/>
    <mergeCell ref="B1601:D1601"/>
    <mergeCell ref="E1601:F1601"/>
    <mergeCell ref="G1601:I1601"/>
    <mergeCell ref="N1601:O1601"/>
    <mergeCell ref="P1601:R1601"/>
    <mergeCell ref="T1601:U1601"/>
    <mergeCell ref="Y1601:Z1601"/>
    <mergeCell ref="B1602:D1602"/>
    <mergeCell ref="E1602:F1602"/>
    <mergeCell ref="G1602:I1602"/>
    <mergeCell ref="N1602:O1602"/>
    <mergeCell ref="P1602:R1602"/>
    <mergeCell ref="T1602:U1602"/>
    <mergeCell ref="Y1602:Z1602"/>
    <mergeCell ref="B1603:D1603"/>
    <mergeCell ref="E1603:F1603"/>
    <mergeCell ref="G1603:I1603"/>
    <mergeCell ref="N1603:O1603"/>
    <mergeCell ref="P1603:R1603"/>
    <mergeCell ref="T1603:U1603"/>
    <mergeCell ref="Y1603:Z1603"/>
    <mergeCell ref="B1604:D1604"/>
    <mergeCell ref="E1604:F1604"/>
    <mergeCell ref="G1604:I1604"/>
    <mergeCell ref="N1604:O1604"/>
    <mergeCell ref="P1604:R1604"/>
    <mergeCell ref="T1604:U1604"/>
    <mergeCell ref="Y1604:Z1604"/>
    <mergeCell ref="B1605:D1605"/>
    <mergeCell ref="E1605:F1605"/>
    <mergeCell ref="G1605:I1605"/>
    <mergeCell ref="N1605:O1605"/>
    <mergeCell ref="P1605:R1605"/>
    <mergeCell ref="T1605:U1605"/>
    <mergeCell ref="Y1605:Z1605"/>
    <mergeCell ref="B1606:D1606"/>
    <mergeCell ref="E1606:F1606"/>
    <mergeCell ref="G1606:I1606"/>
    <mergeCell ref="N1606:O1606"/>
    <mergeCell ref="P1606:R1606"/>
    <mergeCell ref="T1606:U1606"/>
    <mergeCell ref="Y1606:Z1606"/>
    <mergeCell ref="B1607:D1607"/>
    <mergeCell ref="E1607:F1607"/>
    <mergeCell ref="G1607:I1607"/>
    <mergeCell ref="N1607:O1607"/>
    <mergeCell ref="P1607:R1607"/>
    <mergeCell ref="T1607:U1607"/>
    <mergeCell ref="Y1607:Z1607"/>
    <mergeCell ref="B1608:D1608"/>
    <mergeCell ref="E1608:F1608"/>
    <mergeCell ref="G1608:I1608"/>
    <mergeCell ref="N1608:O1608"/>
    <mergeCell ref="P1608:R1608"/>
    <mergeCell ref="T1608:U1608"/>
    <mergeCell ref="Y1608:Z1608"/>
    <mergeCell ref="B1609:D1609"/>
    <mergeCell ref="E1609:F1609"/>
    <mergeCell ref="G1609:I1609"/>
    <mergeCell ref="N1609:O1609"/>
    <mergeCell ref="P1609:R1609"/>
    <mergeCell ref="T1609:U1609"/>
    <mergeCell ref="Y1609:Z1609"/>
    <mergeCell ref="B1610:D1610"/>
    <mergeCell ref="E1610:F1610"/>
    <mergeCell ref="G1610:I1610"/>
    <mergeCell ref="N1610:O1610"/>
    <mergeCell ref="P1610:R1610"/>
    <mergeCell ref="T1610:U1610"/>
    <mergeCell ref="Y1610:Z1610"/>
    <mergeCell ref="B1611:D1611"/>
    <mergeCell ref="E1611:F1611"/>
    <mergeCell ref="G1611:I1611"/>
    <mergeCell ref="N1611:O1611"/>
    <mergeCell ref="P1611:R1611"/>
    <mergeCell ref="T1611:U1611"/>
    <mergeCell ref="Y1611:Z1611"/>
    <mergeCell ref="B1612:D1612"/>
    <mergeCell ref="E1612:F1612"/>
    <mergeCell ref="G1612:I1612"/>
    <mergeCell ref="N1612:O1612"/>
    <mergeCell ref="P1612:R1612"/>
    <mergeCell ref="T1612:U1612"/>
    <mergeCell ref="Y1612:Z1612"/>
    <mergeCell ref="B1613:D1613"/>
    <mergeCell ref="E1613:F1613"/>
    <mergeCell ref="G1613:I1613"/>
    <mergeCell ref="N1613:O1613"/>
    <mergeCell ref="P1613:R1613"/>
    <mergeCell ref="T1613:U1613"/>
    <mergeCell ref="Y1613:Z1613"/>
    <mergeCell ref="B1614:D1614"/>
    <mergeCell ref="E1614:F1614"/>
    <mergeCell ref="G1614:I1614"/>
    <mergeCell ref="N1614:O1614"/>
    <mergeCell ref="P1614:R1614"/>
    <mergeCell ref="T1614:U1614"/>
    <mergeCell ref="Y1614:Z1614"/>
    <mergeCell ref="B1615:D1615"/>
    <mergeCell ref="E1615:F1615"/>
    <mergeCell ref="G1615:I1615"/>
    <mergeCell ref="N1615:O1615"/>
    <mergeCell ref="P1615:R1615"/>
    <mergeCell ref="T1615:U1615"/>
    <mergeCell ref="Y1615:Z1615"/>
    <mergeCell ref="B1616:D1616"/>
    <mergeCell ref="E1616:F1616"/>
    <mergeCell ref="G1616:I1616"/>
    <mergeCell ref="N1616:O1616"/>
    <mergeCell ref="P1616:R1616"/>
    <mergeCell ref="T1616:U1616"/>
    <mergeCell ref="Y1616:Z1616"/>
    <mergeCell ref="B1617:D1617"/>
    <mergeCell ref="E1617:F1617"/>
    <mergeCell ref="G1617:I1617"/>
    <mergeCell ref="N1617:O1617"/>
    <mergeCell ref="P1617:R1617"/>
    <mergeCell ref="T1617:U1617"/>
    <mergeCell ref="Y1617:Z1617"/>
    <mergeCell ref="B1618:D1618"/>
    <mergeCell ref="E1618:F1618"/>
    <mergeCell ref="G1618:I1618"/>
    <mergeCell ref="N1618:O1618"/>
    <mergeCell ref="P1618:R1618"/>
    <mergeCell ref="T1618:U1618"/>
    <mergeCell ref="Y1618:Z1618"/>
    <mergeCell ref="B1619:D1619"/>
    <mergeCell ref="E1619:F1619"/>
    <mergeCell ref="G1619:I1619"/>
    <mergeCell ref="N1619:O1619"/>
    <mergeCell ref="P1619:R1619"/>
    <mergeCell ref="T1619:U1619"/>
    <mergeCell ref="Y1619:Z1619"/>
    <mergeCell ref="B1620:D1620"/>
    <mergeCell ref="E1620:F1620"/>
    <mergeCell ref="G1620:I1620"/>
    <mergeCell ref="N1620:O1620"/>
    <mergeCell ref="P1620:R1620"/>
    <mergeCell ref="T1620:U1620"/>
    <mergeCell ref="Y1620:Z1620"/>
    <mergeCell ref="B1621:D1621"/>
    <mergeCell ref="E1621:F1621"/>
    <mergeCell ref="G1621:I1621"/>
    <mergeCell ref="N1621:O1621"/>
    <mergeCell ref="P1621:R1621"/>
    <mergeCell ref="T1621:U1621"/>
    <mergeCell ref="Y1621:Z1621"/>
    <mergeCell ref="B1622:D1622"/>
    <mergeCell ref="E1622:F1622"/>
    <mergeCell ref="G1622:I1622"/>
    <mergeCell ref="N1622:O1622"/>
    <mergeCell ref="P1622:R1622"/>
    <mergeCell ref="T1622:U1622"/>
    <mergeCell ref="Y1622:Z1622"/>
    <mergeCell ref="B1623:D1623"/>
    <mergeCell ref="E1623:F1623"/>
    <mergeCell ref="G1623:I1623"/>
    <mergeCell ref="N1623:O1623"/>
    <mergeCell ref="P1623:R1623"/>
    <mergeCell ref="T1623:U1623"/>
    <mergeCell ref="Y1623:Z1623"/>
    <mergeCell ref="B1624:D1624"/>
    <mergeCell ref="E1624:F1624"/>
    <mergeCell ref="G1624:I1624"/>
    <mergeCell ref="N1624:O1624"/>
    <mergeCell ref="P1624:R1624"/>
    <mergeCell ref="T1624:U1624"/>
    <mergeCell ref="Y1624:Z1624"/>
    <mergeCell ref="B1627:D1627"/>
    <mergeCell ref="E1627:F1627"/>
    <mergeCell ref="G1627:I1627"/>
    <mergeCell ref="N1627:O1627"/>
    <mergeCell ref="P1627:R1627"/>
    <mergeCell ref="T1627:U1627"/>
    <mergeCell ref="Y1627:Z1627"/>
    <mergeCell ref="B1628:D1628"/>
    <mergeCell ref="E1628:F1628"/>
    <mergeCell ref="G1628:I1628"/>
    <mergeCell ref="N1628:O1628"/>
    <mergeCell ref="P1628:R1628"/>
    <mergeCell ref="T1628:U1628"/>
    <mergeCell ref="Y1628:Z1628"/>
    <mergeCell ref="B1629:D1629"/>
    <mergeCell ref="E1629:F1629"/>
    <mergeCell ref="G1629:I1629"/>
    <mergeCell ref="N1629:O1629"/>
    <mergeCell ref="P1629:R1629"/>
    <mergeCell ref="T1629:U1629"/>
    <mergeCell ref="Y1629:Z1629"/>
    <mergeCell ref="B1630:D1630"/>
    <mergeCell ref="E1630:F1630"/>
    <mergeCell ref="G1630:I1630"/>
    <mergeCell ref="N1630:O1630"/>
    <mergeCell ref="P1630:R1630"/>
    <mergeCell ref="T1630:U1630"/>
    <mergeCell ref="Y1630:Z1630"/>
    <mergeCell ref="B1631:D1631"/>
    <mergeCell ref="E1631:F1631"/>
    <mergeCell ref="G1631:I1631"/>
    <mergeCell ref="N1631:O1631"/>
    <mergeCell ref="P1631:R1631"/>
    <mergeCell ref="T1631:U1631"/>
    <mergeCell ref="Y1631:Z1631"/>
    <mergeCell ref="B1632:D1632"/>
    <mergeCell ref="E1632:F1632"/>
    <mergeCell ref="G1632:I1632"/>
    <mergeCell ref="N1632:O1632"/>
    <mergeCell ref="P1632:R1632"/>
    <mergeCell ref="T1632:U1632"/>
    <mergeCell ref="Y1632:Z1632"/>
    <mergeCell ref="B1633:D1633"/>
    <mergeCell ref="E1633:F1633"/>
    <mergeCell ref="G1633:I1633"/>
    <mergeCell ref="N1633:O1633"/>
    <mergeCell ref="P1633:R1633"/>
    <mergeCell ref="T1633:U1633"/>
    <mergeCell ref="Y1633:Z1633"/>
    <mergeCell ref="B1634:D1634"/>
    <mergeCell ref="E1634:F1634"/>
    <mergeCell ref="G1634:I1634"/>
    <mergeCell ref="N1634:O1634"/>
    <mergeCell ref="P1634:R1634"/>
    <mergeCell ref="T1634:U1634"/>
    <mergeCell ref="Y1634:Z1634"/>
    <mergeCell ref="B1635:D1635"/>
    <mergeCell ref="E1635:F1635"/>
    <mergeCell ref="G1635:I1635"/>
    <mergeCell ref="N1635:O1635"/>
    <mergeCell ref="P1635:R1635"/>
    <mergeCell ref="T1635:U1635"/>
    <mergeCell ref="Y1635:Z1635"/>
    <mergeCell ref="B1636:D1636"/>
    <mergeCell ref="E1636:F1636"/>
    <mergeCell ref="G1636:I1636"/>
    <mergeCell ref="N1636:O1636"/>
    <mergeCell ref="P1636:R1636"/>
    <mergeCell ref="T1636:U1636"/>
    <mergeCell ref="Y1636:Z1636"/>
    <mergeCell ref="B1637:D1637"/>
    <mergeCell ref="E1637:F1637"/>
    <mergeCell ref="G1637:I1637"/>
    <mergeCell ref="N1637:O1637"/>
    <mergeCell ref="P1637:R1637"/>
    <mergeCell ref="T1637:U1637"/>
    <mergeCell ref="Y1637:Z1637"/>
    <mergeCell ref="B1638:D1638"/>
    <mergeCell ref="E1638:F1638"/>
    <mergeCell ref="G1638:I1638"/>
    <mergeCell ref="N1638:O1638"/>
    <mergeCell ref="P1638:R1638"/>
    <mergeCell ref="T1638:U1638"/>
    <mergeCell ref="Y1638:Z1638"/>
    <mergeCell ref="B1639:D1639"/>
    <mergeCell ref="E1639:F1639"/>
    <mergeCell ref="G1639:I1639"/>
    <mergeCell ref="N1639:O1639"/>
    <mergeCell ref="P1639:R1639"/>
    <mergeCell ref="T1639:U1639"/>
    <mergeCell ref="Y1639:Z1639"/>
    <mergeCell ref="B1640:D1640"/>
    <mergeCell ref="E1640:F1640"/>
    <mergeCell ref="G1640:I1640"/>
    <mergeCell ref="N1640:O1640"/>
    <mergeCell ref="P1640:R1640"/>
    <mergeCell ref="T1640:U1640"/>
    <mergeCell ref="Y1640:Z1640"/>
    <mergeCell ref="B1641:D1641"/>
    <mergeCell ref="E1641:F1641"/>
    <mergeCell ref="G1641:I1641"/>
    <mergeCell ref="N1641:O1641"/>
    <mergeCell ref="P1641:R1641"/>
    <mergeCell ref="T1641:U1641"/>
    <mergeCell ref="Y1641:Z1641"/>
    <mergeCell ref="B1642:D1642"/>
    <mergeCell ref="E1642:F1642"/>
    <mergeCell ref="G1642:I1642"/>
    <mergeCell ref="N1642:O1642"/>
    <mergeCell ref="P1642:R1642"/>
    <mergeCell ref="T1642:U1642"/>
    <mergeCell ref="Y1642:Z1642"/>
    <mergeCell ref="B1643:D1643"/>
    <mergeCell ref="E1643:F1643"/>
    <mergeCell ref="G1643:I1643"/>
    <mergeCell ref="N1643:O1643"/>
    <mergeCell ref="P1643:R1643"/>
    <mergeCell ref="T1643:U1643"/>
    <mergeCell ref="Y1643:Z1643"/>
    <mergeCell ref="B1644:D1644"/>
    <mergeCell ref="E1644:F1644"/>
    <mergeCell ref="G1644:I1644"/>
    <mergeCell ref="N1644:O1644"/>
    <mergeCell ref="P1644:R1644"/>
    <mergeCell ref="T1644:U1644"/>
    <mergeCell ref="Y1644:Z1644"/>
    <mergeCell ref="B1645:D1645"/>
    <mergeCell ref="E1645:F1645"/>
    <mergeCell ref="G1645:I1645"/>
    <mergeCell ref="N1645:O1645"/>
    <mergeCell ref="P1645:R1645"/>
    <mergeCell ref="T1645:U1645"/>
    <mergeCell ref="Y1645:Z1645"/>
    <mergeCell ref="B1646:D1646"/>
    <mergeCell ref="E1646:F1646"/>
    <mergeCell ref="G1646:I1646"/>
    <mergeCell ref="N1646:O1646"/>
    <mergeCell ref="P1646:R1646"/>
    <mergeCell ref="T1646:U1646"/>
    <mergeCell ref="Y1646:Z1646"/>
    <mergeCell ref="B1647:D1647"/>
    <mergeCell ref="E1647:F1647"/>
    <mergeCell ref="G1647:I1647"/>
    <mergeCell ref="N1647:O1647"/>
    <mergeCell ref="P1647:R1647"/>
    <mergeCell ref="T1647:U1647"/>
    <mergeCell ref="Y1647:Z1647"/>
    <mergeCell ref="B1648:D1648"/>
    <mergeCell ref="E1648:F1648"/>
    <mergeCell ref="G1648:I1648"/>
    <mergeCell ref="N1648:O1648"/>
    <mergeCell ref="P1648:R1648"/>
    <mergeCell ref="T1648:U1648"/>
    <mergeCell ref="Y1648:Z1648"/>
    <mergeCell ref="B1649:D1649"/>
    <mergeCell ref="E1649:F1649"/>
    <mergeCell ref="G1649:I1649"/>
    <mergeCell ref="N1649:O1649"/>
    <mergeCell ref="P1649:R1649"/>
    <mergeCell ref="T1649:U1649"/>
    <mergeCell ref="Y1649:Z1649"/>
    <mergeCell ref="B1650:D1650"/>
    <mergeCell ref="E1650:F1650"/>
    <mergeCell ref="G1650:I1650"/>
    <mergeCell ref="N1650:O1650"/>
    <mergeCell ref="P1650:R1650"/>
    <mergeCell ref="T1650:U1650"/>
    <mergeCell ref="Y1650:Z1650"/>
    <mergeCell ref="B1651:D1651"/>
    <mergeCell ref="E1651:F1651"/>
    <mergeCell ref="G1651:I1651"/>
    <mergeCell ref="N1651:O1651"/>
    <mergeCell ref="P1651:R1651"/>
    <mergeCell ref="T1651:U1651"/>
    <mergeCell ref="Y1651:Z1651"/>
    <mergeCell ref="B1652:D1652"/>
    <mergeCell ref="E1652:F1652"/>
    <mergeCell ref="G1652:I1652"/>
    <mergeCell ref="N1652:O1652"/>
    <mergeCell ref="P1652:R1652"/>
    <mergeCell ref="T1652:U1652"/>
    <mergeCell ref="Y1652:Z1652"/>
    <mergeCell ref="B1653:D1653"/>
    <mergeCell ref="E1653:F1653"/>
    <mergeCell ref="G1653:I1653"/>
    <mergeCell ref="N1653:O1653"/>
    <mergeCell ref="P1653:R1653"/>
    <mergeCell ref="T1653:U1653"/>
    <mergeCell ref="Y1653:Z1653"/>
    <mergeCell ref="B1654:D1654"/>
    <mergeCell ref="E1654:F1654"/>
    <mergeCell ref="G1654:I1654"/>
    <mergeCell ref="N1654:O1654"/>
    <mergeCell ref="P1654:R1654"/>
    <mergeCell ref="T1654:U1654"/>
    <mergeCell ref="Y1654:Z1654"/>
    <mergeCell ref="B1655:D1655"/>
    <mergeCell ref="E1655:F1655"/>
    <mergeCell ref="G1655:I1655"/>
    <mergeCell ref="N1655:O1655"/>
    <mergeCell ref="P1655:R1655"/>
    <mergeCell ref="T1655:U1655"/>
    <mergeCell ref="Y1655:Z1655"/>
    <mergeCell ref="B1656:D1656"/>
    <mergeCell ref="E1656:F1656"/>
    <mergeCell ref="G1656:I1656"/>
    <mergeCell ref="N1656:O1656"/>
    <mergeCell ref="P1656:R1656"/>
    <mergeCell ref="T1656:U1656"/>
    <mergeCell ref="Y1656:Z1656"/>
    <mergeCell ref="B1657:D1657"/>
    <mergeCell ref="E1657:F1657"/>
    <mergeCell ref="G1657:I1657"/>
    <mergeCell ref="N1657:O1657"/>
    <mergeCell ref="P1657:R1657"/>
    <mergeCell ref="T1657:U1657"/>
    <mergeCell ref="Y1657:Z1657"/>
    <mergeCell ref="B1658:D1658"/>
    <mergeCell ref="E1658:F1658"/>
    <mergeCell ref="G1658:I1658"/>
    <mergeCell ref="N1658:O1658"/>
    <mergeCell ref="P1658:R1658"/>
    <mergeCell ref="T1658:U1658"/>
    <mergeCell ref="Y1658:Z1658"/>
    <mergeCell ref="B1659:D1659"/>
    <mergeCell ref="E1659:F1659"/>
    <mergeCell ref="G1659:I1659"/>
    <mergeCell ref="N1659:O1659"/>
    <mergeCell ref="P1659:R1659"/>
    <mergeCell ref="T1659:U1659"/>
    <mergeCell ref="Y1659:Z1659"/>
    <mergeCell ref="B1660:D1660"/>
    <mergeCell ref="E1660:F1660"/>
    <mergeCell ref="G1660:I1660"/>
    <mergeCell ref="N1660:O1660"/>
    <mergeCell ref="P1660:R1660"/>
    <mergeCell ref="T1660:U1660"/>
    <mergeCell ref="Y1660:Z1660"/>
    <mergeCell ref="B1661:D1661"/>
    <mergeCell ref="E1661:F1661"/>
    <mergeCell ref="G1661:I1661"/>
    <mergeCell ref="N1661:O1661"/>
    <mergeCell ref="P1661:R1661"/>
    <mergeCell ref="T1661:U1661"/>
    <mergeCell ref="Y1661:Z1661"/>
    <mergeCell ref="B1662:D1662"/>
    <mergeCell ref="E1662:F1662"/>
    <mergeCell ref="G1662:I1662"/>
    <mergeCell ref="N1662:O1662"/>
    <mergeCell ref="P1662:R1662"/>
    <mergeCell ref="T1662:U1662"/>
    <mergeCell ref="Y1662:Z1662"/>
    <mergeCell ref="B1663:D1663"/>
    <mergeCell ref="E1663:F1663"/>
    <mergeCell ref="G1663:I1663"/>
    <mergeCell ref="N1663:O1663"/>
    <mergeCell ref="P1663:R1663"/>
    <mergeCell ref="T1663:U1663"/>
    <mergeCell ref="Y1663:Z1663"/>
    <mergeCell ref="B1664:D1664"/>
    <mergeCell ref="E1664:F1664"/>
    <mergeCell ref="G1664:I1664"/>
    <mergeCell ref="N1664:O1664"/>
    <mergeCell ref="P1664:R1664"/>
    <mergeCell ref="T1664:U1664"/>
    <mergeCell ref="Y1664:Z1664"/>
    <mergeCell ref="B1665:D1665"/>
    <mergeCell ref="E1665:F1665"/>
    <mergeCell ref="G1665:I1665"/>
    <mergeCell ref="N1665:O1665"/>
    <mergeCell ref="P1665:R1665"/>
    <mergeCell ref="T1665:U1665"/>
    <mergeCell ref="Y1665:Z1665"/>
    <mergeCell ref="B1666:D1666"/>
    <mergeCell ref="E1666:F1666"/>
    <mergeCell ref="G1666:I1666"/>
    <mergeCell ref="N1666:O1666"/>
    <mergeCell ref="P1666:R1666"/>
    <mergeCell ref="T1666:U1666"/>
    <mergeCell ref="Y1666:Z1666"/>
    <mergeCell ref="B1667:D1667"/>
    <mergeCell ref="E1667:F1667"/>
    <mergeCell ref="G1667:I1667"/>
    <mergeCell ref="N1667:O1667"/>
    <mergeCell ref="P1667:R1667"/>
    <mergeCell ref="T1667:U1667"/>
    <mergeCell ref="Y1667:Z1667"/>
    <mergeCell ref="B1668:D1668"/>
    <mergeCell ref="E1668:F1668"/>
    <mergeCell ref="G1668:I1668"/>
    <mergeCell ref="N1668:O1668"/>
    <mergeCell ref="P1668:R1668"/>
    <mergeCell ref="T1668:U1668"/>
    <mergeCell ref="Y1668:Z1668"/>
    <mergeCell ref="B1669:D1669"/>
    <mergeCell ref="E1669:F1669"/>
    <mergeCell ref="G1669:I1669"/>
    <mergeCell ref="N1669:O1669"/>
    <mergeCell ref="P1669:R1669"/>
    <mergeCell ref="T1669:U1669"/>
    <mergeCell ref="Y1669:Z1669"/>
    <mergeCell ref="B1670:D1670"/>
    <mergeCell ref="E1670:F1670"/>
    <mergeCell ref="G1670:I1670"/>
    <mergeCell ref="N1670:O1670"/>
    <mergeCell ref="P1670:R1670"/>
    <mergeCell ref="T1670:U1670"/>
    <mergeCell ref="Y1670:Z1670"/>
    <mergeCell ref="B1671:D1671"/>
    <mergeCell ref="E1671:F1671"/>
    <mergeCell ref="G1671:I1671"/>
    <mergeCell ref="N1671:O1671"/>
    <mergeCell ref="P1671:R1671"/>
    <mergeCell ref="T1671:U1671"/>
    <mergeCell ref="Y1671:Z1671"/>
    <mergeCell ref="B1672:D1672"/>
    <mergeCell ref="E1672:F1672"/>
    <mergeCell ref="G1672:I1672"/>
    <mergeCell ref="N1672:O1672"/>
    <mergeCell ref="P1672:R1672"/>
    <mergeCell ref="T1672:U1672"/>
    <mergeCell ref="Y1672:Z1672"/>
    <mergeCell ref="B1673:D1673"/>
    <mergeCell ref="E1673:F1673"/>
    <mergeCell ref="G1673:I1673"/>
    <mergeCell ref="N1673:O1673"/>
    <mergeCell ref="P1673:R1673"/>
    <mergeCell ref="T1673:U1673"/>
    <mergeCell ref="Y1673:Z1673"/>
    <mergeCell ref="B1674:D1674"/>
    <mergeCell ref="E1674:F1674"/>
    <mergeCell ref="G1674:I1674"/>
    <mergeCell ref="N1674:O1674"/>
    <mergeCell ref="P1674:R1674"/>
    <mergeCell ref="T1674:U1674"/>
    <mergeCell ref="Y1674:Z1674"/>
    <mergeCell ref="B1675:D1675"/>
    <mergeCell ref="E1675:F1675"/>
    <mergeCell ref="G1675:I1675"/>
    <mergeCell ref="N1675:O1675"/>
    <mergeCell ref="P1675:R1675"/>
    <mergeCell ref="T1675:U1675"/>
    <mergeCell ref="Y1675:Z1675"/>
    <mergeCell ref="B1676:D1676"/>
    <mergeCell ref="E1676:F1676"/>
    <mergeCell ref="G1676:I1676"/>
    <mergeCell ref="N1676:O1676"/>
    <mergeCell ref="P1676:R1676"/>
    <mergeCell ref="T1676:U1676"/>
    <mergeCell ref="Y1676:Z1676"/>
    <mergeCell ref="B1677:D1677"/>
    <mergeCell ref="E1677:F1677"/>
    <mergeCell ref="G1677:I1677"/>
    <mergeCell ref="N1677:O1677"/>
    <mergeCell ref="P1677:R1677"/>
    <mergeCell ref="T1677:U1677"/>
    <mergeCell ref="Y1677:Z1677"/>
    <mergeCell ref="B1678:D1678"/>
    <mergeCell ref="E1678:F1678"/>
    <mergeCell ref="G1678:I1678"/>
    <mergeCell ref="N1678:O1678"/>
    <mergeCell ref="P1678:R1678"/>
    <mergeCell ref="T1678:U1678"/>
    <mergeCell ref="Y1678:Z1678"/>
    <mergeCell ref="B1679:D1679"/>
    <mergeCell ref="E1679:F1679"/>
    <mergeCell ref="G1679:I1679"/>
    <mergeCell ref="N1679:O1679"/>
    <mergeCell ref="P1679:R1679"/>
    <mergeCell ref="T1679:U1679"/>
    <mergeCell ref="Y1679:Z1679"/>
    <mergeCell ref="B1680:D1680"/>
    <mergeCell ref="E1680:F1680"/>
    <mergeCell ref="G1680:I1680"/>
    <mergeCell ref="N1680:O1680"/>
    <mergeCell ref="P1680:R1680"/>
    <mergeCell ref="T1680:U1680"/>
    <mergeCell ref="Y1680:Z1680"/>
    <mergeCell ref="B1681:D1681"/>
    <mergeCell ref="E1681:F1681"/>
    <mergeCell ref="G1681:I1681"/>
    <mergeCell ref="N1681:O1681"/>
    <mergeCell ref="P1681:R1681"/>
    <mergeCell ref="T1681:U1681"/>
    <mergeCell ref="Y1681:Z1681"/>
    <mergeCell ref="B1682:D1682"/>
    <mergeCell ref="E1682:F1682"/>
    <mergeCell ref="G1682:I1682"/>
    <mergeCell ref="N1682:O1682"/>
    <mergeCell ref="P1682:R1682"/>
    <mergeCell ref="T1682:U1682"/>
    <mergeCell ref="Y1682:Z1682"/>
    <mergeCell ref="B1683:D1683"/>
    <mergeCell ref="E1683:F1683"/>
    <mergeCell ref="G1683:I1683"/>
    <mergeCell ref="N1683:O1683"/>
    <mergeCell ref="P1683:R1683"/>
    <mergeCell ref="T1683:U1683"/>
    <mergeCell ref="Y1683:Z1683"/>
    <mergeCell ref="B1684:D1684"/>
    <mergeCell ref="E1684:F1684"/>
    <mergeCell ref="G1684:I1684"/>
    <mergeCell ref="N1684:O1684"/>
    <mergeCell ref="P1684:R1684"/>
    <mergeCell ref="T1684:U1684"/>
    <mergeCell ref="Y1684:Z1684"/>
    <mergeCell ref="B1685:D1685"/>
    <mergeCell ref="E1685:F1685"/>
    <mergeCell ref="G1685:I1685"/>
    <mergeCell ref="N1685:O1685"/>
    <mergeCell ref="P1685:R1685"/>
    <mergeCell ref="T1685:U1685"/>
    <mergeCell ref="Y1685:Z1685"/>
    <mergeCell ref="B1686:D1686"/>
    <mergeCell ref="E1686:F1686"/>
    <mergeCell ref="G1686:I1686"/>
    <mergeCell ref="N1686:O1686"/>
    <mergeCell ref="P1686:R1686"/>
    <mergeCell ref="T1686:U1686"/>
    <mergeCell ref="Y1686:Z1686"/>
    <mergeCell ref="B1687:D1687"/>
    <mergeCell ref="E1687:F1687"/>
    <mergeCell ref="G1687:I1687"/>
    <mergeCell ref="N1687:O1687"/>
    <mergeCell ref="P1687:R1687"/>
    <mergeCell ref="T1687:U1687"/>
    <mergeCell ref="Y1687:Z1687"/>
    <mergeCell ref="B1688:D1688"/>
    <mergeCell ref="E1688:F1688"/>
    <mergeCell ref="G1688:I1688"/>
    <mergeCell ref="N1688:O1688"/>
    <mergeCell ref="P1688:R1688"/>
    <mergeCell ref="T1688:U1688"/>
    <mergeCell ref="Y1688:Z1688"/>
    <mergeCell ref="B1689:D1689"/>
    <mergeCell ref="E1689:F1689"/>
    <mergeCell ref="G1689:I1689"/>
    <mergeCell ref="N1689:O1689"/>
    <mergeCell ref="P1689:R1689"/>
    <mergeCell ref="T1689:U1689"/>
    <mergeCell ref="Y1689:Z1689"/>
    <mergeCell ref="B1690:D1690"/>
    <mergeCell ref="E1690:F1690"/>
    <mergeCell ref="G1690:I1690"/>
    <mergeCell ref="N1690:O1690"/>
    <mergeCell ref="P1690:R1690"/>
    <mergeCell ref="T1690:U1690"/>
    <mergeCell ref="Y1690:Z1690"/>
    <mergeCell ref="B1691:D1691"/>
    <mergeCell ref="E1691:F1691"/>
    <mergeCell ref="G1691:I1691"/>
    <mergeCell ref="N1691:O1691"/>
    <mergeCell ref="P1691:R1691"/>
    <mergeCell ref="T1691:U1691"/>
    <mergeCell ref="Y1691:Z1691"/>
    <mergeCell ref="B1692:D1692"/>
    <mergeCell ref="E1692:F1692"/>
    <mergeCell ref="G1692:I1692"/>
    <mergeCell ref="N1692:O1692"/>
    <mergeCell ref="P1692:R1692"/>
    <mergeCell ref="T1692:U1692"/>
    <mergeCell ref="Y1692:Z1692"/>
    <mergeCell ref="B1693:D1693"/>
    <mergeCell ref="E1693:F1693"/>
    <mergeCell ref="G1693:I1693"/>
    <mergeCell ref="N1693:O1693"/>
    <mergeCell ref="P1693:R1693"/>
    <mergeCell ref="T1693:U1693"/>
    <mergeCell ref="Y1693:Z1693"/>
    <mergeCell ref="B1694:D1694"/>
    <mergeCell ref="E1694:F1694"/>
    <mergeCell ref="G1694:I1694"/>
    <mergeCell ref="N1694:O1694"/>
    <mergeCell ref="P1694:R1694"/>
    <mergeCell ref="T1694:U1694"/>
    <mergeCell ref="Y1694:Z1694"/>
    <mergeCell ref="B1695:D1695"/>
    <mergeCell ref="E1695:F1695"/>
    <mergeCell ref="G1695:I1695"/>
    <mergeCell ref="N1695:O1695"/>
    <mergeCell ref="P1695:R1695"/>
    <mergeCell ref="T1695:U1695"/>
    <mergeCell ref="Y1695:Z1695"/>
    <mergeCell ref="B1696:D1696"/>
    <mergeCell ref="E1696:F1696"/>
    <mergeCell ref="G1696:I1696"/>
    <mergeCell ref="N1696:O1696"/>
    <mergeCell ref="P1696:R1696"/>
    <mergeCell ref="T1696:U1696"/>
    <mergeCell ref="Y1696:Z1696"/>
    <mergeCell ref="B1697:D1697"/>
    <mergeCell ref="E1697:F1697"/>
    <mergeCell ref="G1697:I1697"/>
    <mergeCell ref="N1697:O1697"/>
    <mergeCell ref="P1697:R1697"/>
    <mergeCell ref="T1697:U1697"/>
    <mergeCell ref="Y1697:Z1697"/>
    <mergeCell ref="B1698:D1698"/>
    <mergeCell ref="E1698:F1698"/>
    <mergeCell ref="G1698:I1698"/>
    <mergeCell ref="N1698:O1698"/>
    <mergeCell ref="P1698:R1698"/>
    <mergeCell ref="T1698:U1698"/>
    <mergeCell ref="Y1698:Z1698"/>
    <mergeCell ref="B1699:D1699"/>
    <mergeCell ref="E1699:F1699"/>
    <mergeCell ref="G1699:I1699"/>
    <mergeCell ref="N1699:O1699"/>
    <mergeCell ref="P1699:R1699"/>
    <mergeCell ref="T1699:U1699"/>
    <mergeCell ref="Y1699:Z1699"/>
    <mergeCell ref="B1700:D1700"/>
    <mergeCell ref="E1700:F1700"/>
    <mergeCell ref="G1700:I1700"/>
    <mergeCell ref="N1700:O1700"/>
    <mergeCell ref="P1700:R1700"/>
    <mergeCell ref="T1700:U1700"/>
    <mergeCell ref="Y1700:Z1700"/>
    <mergeCell ref="B1701:D1701"/>
    <mergeCell ref="E1701:F1701"/>
    <mergeCell ref="G1701:I1701"/>
    <mergeCell ref="N1701:O1701"/>
    <mergeCell ref="P1701:R1701"/>
    <mergeCell ref="T1701:U1701"/>
    <mergeCell ref="Y1701:Z1701"/>
    <mergeCell ref="B1702:D1702"/>
    <mergeCell ref="E1702:F1702"/>
    <mergeCell ref="G1702:I1702"/>
    <mergeCell ref="N1702:O1702"/>
    <mergeCell ref="P1702:R1702"/>
    <mergeCell ref="T1702:U1702"/>
    <mergeCell ref="Y1702:Z1702"/>
    <mergeCell ref="B1703:D1703"/>
    <mergeCell ref="E1703:F1703"/>
    <mergeCell ref="G1703:I1703"/>
    <mergeCell ref="N1703:O1703"/>
    <mergeCell ref="P1703:R1703"/>
    <mergeCell ref="T1703:U1703"/>
    <mergeCell ref="Y1703:Z1703"/>
    <mergeCell ref="B1704:D1704"/>
    <mergeCell ref="E1704:F1704"/>
    <mergeCell ref="G1704:I1704"/>
    <mergeCell ref="N1704:O1704"/>
    <mergeCell ref="P1704:R1704"/>
    <mergeCell ref="T1704:U1704"/>
    <mergeCell ref="Y1704:Z1704"/>
    <mergeCell ref="B1705:D1705"/>
    <mergeCell ref="E1705:F1705"/>
    <mergeCell ref="G1705:I1705"/>
    <mergeCell ref="N1705:O1705"/>
    <mergeCell ref="P1705:R1705"/>
    <mergeCell ref="T1705:U1705"/>
    <mergeCell ref="Y1705:Z1705"/>
    <mergeCell ref="B1708:D1708"/>
    <mergeCell ref="E1708:F1708"/>
    <mergeCell ref="G1708:I1708"/>
    <mergeCell ref="N1708:O1708"/>
    <mergeCell ref="P1708:R1708"/>
    <mergeCell ref="T1708:U1708"/>
    <mergeCell ref="Y1708:Z1708"/>
    <mergeCell ref="B1709:D1709"/>
    <mergeCell ref="E1709:F1709"/>
    <mergeCell ref="G1709:I1709"/>
    <mergeCell ref="N1709:O1709"/>
    <mergeCell ref="P1709:R1709"/>
    <mergeCell ref="T1709:U1709"/>
    <mergeCell ref="Y1709:Z1709"/>
    <mergeCell ref="B1710:D1710"/>
    <mergeCell ref="E1710:F1710"/>
    <mergeCell ref="G1710:I1710"/>
    <mergeCell ref="N1710:O1710"/>
    <mergeCell ref="P1710:R1710"/>
    <mergeCell ref="T1710:U1710"/>
    <mergeCell ref="Y1710:Z1710"/>
    <mergeCell ref="B1711:D1711"/>
    <mergeCell ref="E1711:F1711"/>
    <mergeCell ref="G1711:I1711"/>
    <mergeCell ref="N1711:O1711"/>
    <mergeCell ref="P1711:R1711"/>
    <mergeCell ref="T1711:U1711"/>
    <mergeCell ref="Y1711:Z1711"/>
    <mergeCell ref="B1712:D1712"/>
    <mergeCell ref="E1712:F1712"/>
    <mergeCell ref="G1712:I1712"/>
    <mergeCell ref="N1712:O1712"/>
    <mergeCell ref="P1712:R1712"/>
    <mergeCell ref="T1712:U1712"/>
    <mergeCell ref="Y1712:Z1712"/>
    <mergeCell ref="B1713:D1713"/>
    <mergeCell ref="E1713:F1713"/>
    <mergeCell ref="G1713:I1713"/>
    <mergeCell ref="N1713:O1713"/>
    <mergeCell ref="P1713:R1713"/>
    <mergeCell ref="T1713:U1713"/>
    <mergeCell ref="Y1713:Z1713"/>
    <mergeCell ref="B1714:D1714"/>
    <mergeCell ref="E1714:F1714"/>
    <mergeCell ref="G1714:I1714"/>
    <mergeCell ref="N1714:O1714"/>
    <mergeCell ref="P1714:R1714"/>
    <mergeCell ref="T1714:U1714"/>
    <mergeCell ref="Y1714:Z1714"/>
    <mergeCell ref="B1715:D1715"/>
    <mergeCell ref="E1715:F1715"/>
    <mergeCell ref="G1715:I1715"/>
    <mergeCell ref="N1715:O1715"/>
    <mergeCell ref="P1715:R1715"/>
    <mergeCell ref="T1715:U1715"/>
    <mergeCell ref="Y1715:Z1715"/>
    <mergeCell ref="B1716:D1716"/>
    <mergeCell ref="E1716:F1716"/>
    <mergeCell ref="G1716:I1716"/>
    <mergeCell ref="N1716:O1716"/>
    <mergeCell ref="P1716:R1716"/>
    <mergeCell ref="T1716:U1716"/>
    <mergeCell ref="Y1716:Z1716"/>
    <mergeCell ref="B1717:D1717"/>
    <mergeCell ref="E1717:F1717"/>
    <mergeCell ref="G1717:I1717"/>
    <mergeCell ref="N1717:O1717"/>
    <mergeCell ref="P1717:R1717"/>
    <mergeCell ref="T1717:U1717"/>
    <mergeCell ref="Y1717:Z1717"/>
    <mergeCell ref="B1718:D1718"/>
    <mergeCell ref="E1718:F1718"/>
    <mergeCell ref="G1718:I1718"/>
    <mergeCell ref="N1718:O1718"/>
    <mergeCell ref="P1718:R1718"/>
    <mergeCell ref="T1718:U1718"/>
    <mergeCell ref="Y1718:Z1718"/>
    <mergeCell ref="B1719:D1719"/>
    <mergeCell ref="E1719:F1719"/>
    <mergeCell ref="G1719:I1719"/>
    <mergeCell ref="N1719:O1719"/>
    <mergeCell ref="P1719:R1719"/>
    <mergeCell ref="T1719:U1719"/>
    <mergeCell ref="Y1719:Z1719"/>
    <mergeCell ref="B1720:D1720"/>
    <mergeCell ref="E1720:F1720"/>
    <mergeCell ref="G1720:I1720"/>
    <mergeCell ref="N1720:O1720"/>
    <mergeCell ref="P1720:R1720"/>
    <mergeCell ref="T1720:U1720"/>
    <mergeCell ref="Y1720:Z1720"/>
    <mergeCell ref="B1721:D1721"/>
    <mergeCell ref="E1721:F1721"/>
    <mergeCell ref="G1721:I1721"/>
    <mergeCell ref="N1721:O1721"/>
    <mergeCell ref="P1721:R1721"/>
    <mergeCell ref="T1721:U1721"/>
    <mergeCell ref="Y1721:Z1721"/>
    <mergeCell ref="B1722:D1722"/>
    <mergeCell ref="E1722:F1722"/>
    <mergeCell ref="G1722:I1722"/>
    <mergeCell ref="N1722:O1722"/>
    <mergeCell ref="P1722:R1722"/>
    <mergeCell ref="T1722:U1722"/>
    <mergeCell ref="Y1722:Z1722"/>
    <mergeCell ref="B1723:D1723"/>
    <mergeCell ref="E1723:F1723"/>
    <mergeCell ref="G1723:I1723"/>
    <mergeCell ref="N1723:O1723"/>
    <mergeCell ref="P1723:R1723"/>
    <mergeCell ref="T1723:U1723"/>
    <mergeCell ref="Y1723:Z1723"/>
    <mergeCell ref="B1724:D1724"/>
    <mergeCell ref="E1724:F1724"/>
    <mergeCell ref="G1724:I1724"/>
    <mergeCell ref="N1724:O1724"/>
    <mergeCell ref="P1724:R1724"/>
    <mergeCell ref="T1724:U1724"/>
    <mergeCell ref="Y1724:Z1724"/>
    <mergeCell ref="B1725:D1725"/>
    <mergeCell ref="E1725:F1725"/>
    <mergeCell ref="G1725:I1725"/>
    <mergeCell ref="N1725:O1725"/>
    <mergeCell ref="P1725:R1725"/>
    <mergeCell ref="T1725:U1725"/>
    <mergeCell ref="Y1725:Z1725"/>
    <mergeCell ref="B1726:D1726"/>
    <mergeCell ref="E1726:F1726"/>
    <mergeCell ref="G1726:I1726"/>
    <mergeCell ref="N1726:O1726"/>
    <mergeCell ref="P1726:R1726"/>
    <mergeCell ref="T1726:U1726"/>
    <mergeCell ref="Y1726:Z1726"/>
    <mergeCell ref="B1727:D1727"/>
    <mergeCell ref="E1727:F1727"/>
    <mergeCell ref="G1727:I1727"/>
    <mergeCell ref="N1727:O1727"/>
    <mergeCell ref="P1727:R1727"/>
    <mergeCell ref="T1727:U1727"/>
    <mergeCell ref="Y1727:Z1727"/>
    <mergeCell ref="B1728:D1728"/>
    <mergeCell ref="E1728:F1728"/>
    <mergeCell ref="G1728:I1728"/>
    <mergeCell ref="N1728:O1728"/>
    <mergeCell ref="P1728:R1728"/>
    <mergeCell ref="T1728:U1728"/>
    <mergeCell ref="Y1728:Z1728"/>
    <mergeCell ref="B1729:D1729"/>
    <mergeCell ref="E1729:F1729"/>
    <mergeCell ref="G1729:I1729"/>
    <mergeCell ref="N1729:O1729"/>
    <mergeCell ref="P1729:R1729"/>
    <mergeCell ref="T1729:U1729"/>
    <mergeCell ref="Y1729:Z1729"/>
    <mergeCell ref="B1730:D1730"/>
    <mergeCell ref="E1730:F1730"/>
    <mergeCell ref="G1730:I1730"/>
    <mergeCell ref="N1730:O1730"/>
    <mergeCell ref="P1730:R1730"/>
    <mergeCell ref="T1730:U1730"/>
    <mergeCell ref="Y1730:Z1730"/>
    <mergeCell ref="B1731:D1731"/>
    <mergeCell ref="E1731:F1731"/>
    <mergeCell ref="G1731:I1731"/>
    <mergeCell ref="N1731:O1731"/>
    <mergeCell ref="P1731:R1731"/>
    <mergeCell ref="T1731:U1731"/>
    <mergeCell ref="Y1731:Z1731"/>
    <mergeCell ref="B1732:D1732"/>
    <mergeCell ref="E1732:F1732"/>
    <mergeCell ref="G1732:I1732"/>
    <mergeCell ref="N1732:O1732"/>
    <mergeCell ref="P1732:R1732"/>
    <mergeCell ref="T1732:U1732"/>
    <mergeCell ref="Y1732:Z1732"/>
    <mergeCell ref="B1733:D1733"/>
    <mergeCell ref="E1733:F1733"/>
    <mergeCell ref="G1733:I1733"/>
    <mergeCell ref="N1733:O1733"/>
    <mergeCell ref="P1733:R1733"/>
    <mergeCell ref="T1733:U1733"/>
    <mergeCell ref="Y1733:Z1733"/>
    <mergeCell ref="B1734:D1734"/>
    <mergeCell ref="E1734:F1734"/>
    <mergeCell ref="G1734:I1734"/>
    <mergeCell ref="N1734:O1734"/>
    <mergeCell ref="P1734:R1734"/>
    <mergeCell ref="T1734:U1734"/>
    <mergeCell ref="Y1734:Z1734"/>
    <mergeCell ref="B1735:D1735"/>
    <mergeCell ref="E1735:F1735"/>
    <mergeCell ref="G1735:I1735"/>
    <mergeCell ref="N1735:O1735"/>
    <mergeCell ref="P1735:R1735"/>
    <mergeCell ref="T1735:U1735"/>
    <mergeCell ref="Y1735:Z1735"/>
    <mergeCell ref="B1736:D1736"/>
    <mergeCell ref="E1736:F1736"/>
    <mergeCell ref="G1736:I1736"/>
    <mergeCell ref="N1736:O1736"/>
    <mergeCell ref="P1736:R1736"/>
    <mergeCell ref="T1736:U1736"/>
    <mergeCell ref="Y1736:Z1736"/>
    <mergeCell ref="B1737:D1737"/>
    <mergeCell ref="E1737:F1737"/>
    <mergeCell ref="G1737:I1737"/>
    <mergeCell ref="N1737:O1737"/>
    <mergeCell ref="P1737:R1737"/>
    <mergeCell ref="T1737:U1737"/>
    <mergeCell ref="Y1737:Z1737"/>
    <mergeCell ref="B1738:D1738"/>
    <mergeCell ref="E1738:F1738"/>
    <mergeCell ref="G1738:I1738"/>
    <mergeCell ref="N1738:O1738"/>
    <mergeCell ref="P1738:R1738"/>
    <mergeCell ref="T1738:U1738"/>
    <mergeCell ref="Y1738:Z1738"/>
    <mergeCell ref="B1739:D1739"/>
    <mergeCell ref="E1739:F1739"/>
    <mergeCell ref="G1739:I1739"/>
    <mergeCell ref="N1739:O1739"/>
    <mergeCell ref="P1739:R1739"/>
    <mergeCell ref="T1739:U1739"/>
    <mergeCell ref="Y1739:Z1739"/>
    <mergeCell ref="B1740:D1740"/>
    <mergeCell ref="E1740:F1740"/>
    <mergeCell ref="G1740:I1740"/>
    <mergeCell ref="N1740:O1740"/>
    <mergeCell ref="P1740:R1740"/>
    <mergeCell ref="T1740:U1740"/>
    <mergeCell ref="Y1740:Z1740"/>
    <mergeCell ref="B1741:D1741"/>
    <mergeCell ref="E1741:F1741"/>
    <mergeCell ref="G1741:I1741"/>
    <mergeCell ref="N1741:O1741"/>
    <mergeCell ref="P1741:R1741"/>
    <mergeCell ref="T1741:U1741"/>
    <mergeCell ref="Y1741:Z1741"/>
    <mergeCell ref="B1742:D1742"/>
    <mergeCell ref="E1742:F1742"/>
    <mergeCell ref="G1742:I1742"/>
    <mergeCell ref="N1742:O1742"/>
    <mergeCell ref="P1742:R1742"/>
    <mergeCell ref="T1742:U1742"/>
    <mergeCell ref="Y1742:Z1742"/>
    <mergeCell ref="B1743:D1743"/>
    <mergeCell ref="E1743:F1743"/>
    <mergeCell ref="G1743:I1743"/>
    <mergeCell ref="N1743:O1743"/>
    <mergeCell ref="P1743:R1743"/>
    <mergeCell ref="T1743:U1743"/>
    <mergeCell ref="Y1743:Z1743"/>
    <mergeCell ref="B1744:D1744"/>
    <mergeCell ref="E1744:F1744"/>
    <mergeCell ref="G1744:I1744"/>
    <mergeCell ref="N1744:O1744"/>
    <mergeCell ref="P1744:R1744"/>
    <mergeCell ref="T1744:U1744"/>
    <mergeCell ref="Y1744:Z1744"/>
    <mergeCell ref="B1745:D1745"/>
    <mergeCell ref="E1745:F1745"/>
    <mergeCell ref="G1745:I1745"/>
    <mergeCell ref="N1745:O1745"/>
    <mergeCell ref="P1745:R1745"/>
    <mergeCell ref="T1745:U1745"/>
    <mergeCell ref="Y1745:Z1745"/>
    <mergeCell ref="B1746:D1746"/>
    <mergeCell ref="E1746:F1746"/>
    <mergeCell ref="G1746:I1746"/>
    <mergeCell ref="N1746:O1746"/>
    <mergeCell ref="P1746:R1746"/>
    <mergeCell ref="T1746:U1746"/>
    <mergeCell ref="Y1746:Z1746"/>
    <mergeCell ref="B1747:D1747"/>
    <mergeCell ref="E1747:F1747"/>
    <mergeCell ref="G1747:I1747"/>
    <mergeCell ref="N1747:O1747"/>
    <mergeCell ref="P1747:R1747"/>
    <mergeCell ref="T1747:U1747"/>
    <mergeCell ref="Y1747:Z1747"/>
    <mergeCell ref="B1748:D1748"/>
    <mergeCell ref="E1748:F1748"/>
    <mergeCell ref="G1748:I1748"/>
    <mergeCell ref="N1748:O1748"/>
    <mergeCell ref="P1748:R1748"/>
    <mergeCell ref="T1748:U1748"/>
    <mergeCell ref="Y1748:Z1748"/>
    <mergeCell ref="B1749:D1749"/>
    <mergeCell ref="E1749:F1749"/>
    <mergeCell ref="G1749:I1749"/>
    <mergeCell ref="N1749:O1749"/>
    <mergeCell ref="P1749:R1749"/>
    <mergeCell ref="T1749:U1749"/>
    <mergeCell ref="Y1749:Z1749"/>
    <mergeCell ref="B1750:D1750"/>
    <mergeCell ref="E1750:F1750"/>
    <mergeCell ref="G1750:I1750"/>
    <mergeCell ref="N1750:O1750"/>
    <mergeCell ref="P1750:R1750"/>
    <mergeCell ref="T1750:U1750"/>
    <mergeCell ref="Y1750:Z1750"/>
    <mergeCell ref="B1751:D1751"/>
    <mergeCell ref="E1751:F1751"/>
    <mergeCell ref="G1751:I1751"/>
    <mergeCell ref="N1751:O1751"/>
    <mergeCell ref="P1751:R1751"/>
    <mergeCell ref="T1751:U1751"/>
    <mergeCell ref="Y1751:Z1751"/>
    <mergeCell ref="B1752:D1752"/>
    <mergeCell ref="E1752:F1752"/>
    <mergeCell ref="G1752:I1752"/>
    <mergeCell ref="N1752:O1752"/>
    <mergeCell ref="P1752:R1752"/>
    <mergeCell ref="T1752:U1752"/>
    <mergeCell ref="Y1752:Z1752"/>
    <mergeCell ref="B1753:D1753"/>
    <mergeCell ref="E1753:F1753"/>
    <mergeCell ref="G1753:I1753"/>
    <mergeCell ref="N1753:O1753"/>
    <mergeCell ref="P1753:R1753"/>
    <mergeCell ref="T1753:U1753"/>
    <mergeCell ref="Y1753:Z1753"/>
    <mergeCell ref="B1754:D1754"/>
    <mergeCell ref="E1754:F1754"/>
    <mergeCell ref="G1754:I1754"/>
    <mergeCell ref="N1754:O1754"/>
    <mergeCell ref="P1754:R1754"/>
    <mergeCell ref="T1754:U1754"/>
    <mergeCell ref="Y1754:Z1754"/>
    <mergeCell ref="B1755:D1755"/>
    <mergeCell ref="E1755:F1755"/>
    <mergeCell ref="G1755:I1755"/>
    <mergeCell ref="N1755:O1755"/>
    <mergeCell ref="P1755:R1755"/>
    <mergeCell ref="T1755:U1755"/>
    <mergeCell ref="Y1755:Z1755"/>
    <mergeCell ref="B1756:D1756"/>
    <mergeCell ref="E1756:F1756"/>
    <mergeCell ref="G1756:I1756"/>
    <mergeCell ref="N1756:O1756"/>
    <mergeCell ref="P1756:R1756"/>
    <mergeCell ref="T1756:U1756"/>
    <mergeCell ref="Y1756:Z1756"/>
    <mergeCell ref="B1757:D1757"/>
    <mergeCell ref="E1757:F1757"/>
    <mergeCell ref="G1757:I1757"/>
    <mergeCell ref="N1757:O1757"/>
    <mergeCell ref="P1757:R1757"/>
    <mergeCell ref="T1757:U1757"/>
    <mergeCell ref="Y1757:Z1757"/>
    <mergeCell ref="B1758:D1758"/>
    <mergeCell ref="E1758:F1758"/>
    <mergeCell ref="G1758:I1758"/>
    <mergeCell ref="N1758:O1758"/>
    <mergeCell ref="P1758:R1758"/>
    <mergeCell ref="T1758:U1758"/>
    <mergeCell ref="Y1758:Z1758"/>
    <mergeCell ref="B1759:D1759"/>
    <mergeCell ref="E1759:F1759"/>
    <mergeCell ref="G1759:I1759"/>
    <mergeCell ref="N1759:O1759"/>
    <mergeCell ref="P1759:R1759"/>
    <mergeCell ref="T1759:U1759"/>
    <mergeCell ref="Y1759:Z1759"/>
    <mergeCell ref="B1760:D1760"/>
    <mergeCell ref="E1760:F1760"/>
    <mergeCell ref="G1760:I1760"/>
    <mergeCell ref="N1760:O1760"/>
    <mergeCell ref="P1760:R1760"/>
    <mergeCell ref="T1760:U1760"/>
    <mergeCell ref="Y1760:Z1760"/>
    <mergeCell ref="B1761:D1761"/>
    <mergeCell ref="E1761:F1761"/>
    <mergeCell ref="G1761:I1761"/>
    <mergeCell ref="N1761:O1761"/>
    <mergeCell ref="P1761:R1761"/>
    <mergeCell ref="T1761:U1761"/>
    <mergeCell ref="Y1761:Z1761"/>
    <mergeCell ref="B1762:D1762"/>
    <mergeCell ref="E1762:F1762"/>
    <mergeCell ref="G1762:I1762"/>
    <mergeCell ref="N1762:O1762"/>
    <mergeCell ref="P1762:R1762"/>
    <mergeCell ref="T1762:U1762"/>
    <mergeCell ref="Y1762:Z1762"/>
    <mergeCell ref="B1763:D1763"/>
    <mergeCell ref="E1763:F1763"/>
    <mergeCell ref="G1763:I1763"/>
    <mergeCell ref="N1763:O1763"/>
    <mergeCell ref="P1763:R1763"/>
    <mergeCell ref="T1763:U1763"/>
    <mergeCell ref="Y1763:Z1763"/>
    <mergeCell ref="B1764:D1764"/>
    <mergeCell ref="E1764:F1764"/>
    <mergeCell ref="G1764:I1764"/>
    <mergeCell ref="N1764:O1764"/>
    <mergeCell ref="P1764:R1764"/>
    <mergeCell ref="T1764:U1764"/>
    <mergeCell ref="Y1764:Z1764"/>
    <mergeCell ref="B1765:D1765"/>
    <mergeCell ref="E1765:F1765"/>
    <mergeCell ref="G1765:I1765"/>
    <mergeCell ref="N1765:O1765"/>
    <mergeCell ref="P1765:R1765"/>
    <mergeCell ref="T1765:U1765"/>
    <mergeCell ref="Y1765:Z1765"/>
    <mergeCell ref="B1766:D1766"/>
    <mergeCell ref="E1766:F1766"/>
    <mergeCell ref="G1766:I1766"/>
    <mergeCell ref="N1766:O1766"/>
    <mergeCell ref="P1766:R1766"/>
    <mergeCell ref="T1766:U1766"/>
    <mergeCell ref="Y1766:Z1766"/>
    <mergeCell ref="B1767:D1767"/>
    <mergeCell ref="E1767:F1767"/>
    <mergeCell ref="G1767:I1767"/>
    <mergeCell ref="N1767:O1767"/>
    <mergeCell ref="P1767:R1767"/>
    <mergeCell ref="T1767:U1767"/>
    <mergeCell ref="Y1767:Z1767"/>
    <mergeCell ref="B1768:D1768"/>
    <mergeCell ref="E1768:F1768"/>
    <mergeCell ref="G1768:I1768"/>
    <mergeCell ref="N1768:O1768"/>
    <mergeCell ref="P1768:R1768"/>
    <mergeCell ref="T1768:U1768"/>
    <mergeCell ref="Y1768:Z1768"/>
    <mergeCell ref="B1769:D1769"/>
    <mergeCell ref="E1769:F1769"/>
    <mergeCell ref="G1769:I1769"/>
    <mergeCell ref="N1769:O1769"/>
    <mergeCell ref="P1769:R1769"/>
    <mergeCell ref="T1769:U1769"/>
    <mergeCell ref="Y1769:Z1769"/>
    <mergeCell ref="B1770:D1770"/>
    <mergeCell ref="E1770:F1770"/>
    <mergeCell ref="G1770:I1770"/>
    <mergeCell ref="N1770:O1770"/>
    <mergeCell ref="P1770:R1770"/>
    <mergeCell ref="T1770:U1770"/>
    <mergeCell ref="Y1770:Z1770"/>
    <mergeCell ref="B1771:D1771"/>
    <mergeCell ref="E1771:F1771"/>
    <mergeCell ref="G1771:I1771"/>
    <mergeCell ref="N1771:O1771"/>
    <mergeCell ref="P1771:R1771"/>
    <mergeCell ref="T1771:U1771"/>
    <mergeCell ref="Y1771:Z1771"/>
    <mergeCell ref="B1772:D1772"/>
    <mergeCell ref="E1772:F1772"/>
    <mergeCell ref="G1772:I1772"/>
    <mergeCell ref="N1772:O1772"/>
    <mergeCell ref="P1772:R1772"/>
    <mergeCell ref="T1772:U1772"/>
    <mergeCell ref="Y1772:Z1772"/>
    <mergeCell ref="B1773:D1773"/>
    <mergeCell ref="E1773:F1773"/>
    <mergeCell ref="G1773:I1773"/>
    <mergeCell ref="N1773:O1773"/>
    <mergeCell ref="P1773:R1773"/>
    <mergeCell ref="T1773:U1773"/>
    <mergeCell ref="Y1773:Z1773"/>
    <mergeCell ref="B1774:D1774"/>
    <mergeCell ref="E1774:F1774"/>
    <mergeCell ref="G1774:I1774"/>
    <mergeCell ref="N1774:O1774"/>
    <mergeCell ref="P1774:R1774"/>
    <mergeCell ref="T1774:U1774"/>
    <mergeCell ref="Y1774:Z1774"/>
    <mergeCell ref="B1775:D1775"/>
    <mergeCell ref="E1775:F1775"/>
    <mergeCell ref="G1775:I1775"/>
    <mergeCell ref="N1775:O1775"/>
    <mergeCell ref="P1775:R1775"/>
    <mergeCell ref="T1775:U1775"/>
    <mergeCell ref="Y1775:Z1775"/>
    <mergeCell ref="B1776:D1776"/>
    <mergeCell ref="E1776:F1776"/>
    <mergeCell ref="G1776:I1776"/>
    <mergeCell ref="N1776:O1776"/>
    <mergeCell ref="P1776:R1776"/>
    <mergeCell ref="T1776:U1776"/>
    <mergeCell ref="Y1776:Z1776"/>
    <mergeCell ref="B1777:D1777"/>
    <mergeCell ref="E1777:F1777"/>
    <mergeCell ref="G1777:I1777"/>
    <mergeCell ref="N1777:O1777"/>
    <mergeCell ref="P1777:R1777"/>
    <mergeCell ref="T1777:U1777"/>
    <mergeCell ref="Y1777:Z1777"/>
    <mergeCell ref="B1778:D1778"/>
    <mergeCell ref="E1778:F1778"/>
    <mergeCell ref="G1778:I1778"/>
    <mergeCell ref="N1778:O1778"/>
    <mergeCell ref="P1778:R1778"/>
    <mergeCell ref="T1778:U1778"/>
    <mergeCell ref="Y1778:Z1778"/>
    <mergeCell ref="B1779:D1779"/>
    <mergeCell ref="E1779:F1779"/>
    <mergeCell ref="G1779:I1779"/>
    <mergeCell ref="N1779:O1779"/>
    <mergeCell ref="P1779:R1779"/>
    <mergeCell ref="T1779:U1779"/>
    <mergeCell ref="Y1779:Z1779"/>
    <mergeCell ref="B1780:D1780"/>
    <mergeCell ref="E1780:F1780"/>
    <mergeCell ref="G1780:I1780"/>
    <mergeCell ref="N1780:O1780"/>
    <mergeCell ref="P1780:R1780"/>
    <mergeCell ref="T1780:U1780"/>
    <mergeCell ref="Y1780:Z1780"/>
    <mergeCell ref="B1781:D1781"/>
    <mergeCell ref="E1781:F1781"/>
    <mergeCell ref="G1781:I1781"/>
    <mergeCell ref="N1781:O1781"/>
    <mergeCell ref="P1781:R1781"/>
    <mergeCell ref="T1781:U1781"/>
    <mergeCell ref="Y1781:Z1781"/>
    <mergeCell ref="B1782:D1782"/>
    <mergeCell ref="E1782:F1782"/>
    <mergeCell ref="G1782:I1782"/>
    <mergeCell ref="N1782:O1782"/>
    <mergeCell ref="P1782:R1782"/>
    <mergeCell ref="T1782:U1782"/>
    <mergeCell ref="Y1782:Z1782"/>
    <mergeCell ref="B1783:D1783"/>
    <mergeCell ref="E1783:F1783"/>
    <mergeCell ref="G1783:I1783"/>
    <mergeCell ref="N1783:O1783"/>
    <mergeCell ref="P1783:R1783"/>
    <mergeCell ref="T1783:U1783"/>
    <mergeCell ref="Y1783:Z1783"/>
    <mergeCell ref="B1784:D1784"/>
    <mergeCell ref="E1784:F1784"/>
    <mergeCell ref="G1784:I1784"/>
    <mergeCell ref="N1784:O1784"/>
    <mergeCell ref="P1784:R1784"/>
    <mergeCell ref="T1784:U1784"/>
    <mergeCell ref="Y1784:Z1784"/>
    <mergeCell ref="B1785:D1785"/>
    <mergeCell ref="E1785:F1785"/>
    <mergeCell ref="G1785:I1785"/>
    <mergeCell ref="N1785:O1785"/>
    <mergeCell ref="P1785:R1785"/>
    <mergeCell ref="T1785:U1785"/>
    <mergeCell ref="Y1785:Z1785"/>
    <mergeCell ref="B1786:D1786"/>
    <mergeCell ref="E1786:F1786"/>
    <mergeCell ref="G1786:I1786"/>
    <mergeCell ref="N1786:O1786"/>
    <mergeCell ref="P1786:R1786"/>
    <mergeCell ref="T1786:U1786"/>
    <mergeCell ref="Y1786:Z1786"/>
    <mergeCell ref="B1789:D1789"/>
    <mergeCell ref="E1789:F1789"/>
    <mergeCell ref="G1789:I1789"/>
    <mergeCell ref="N1789:O1789"/>
    <mergeCell ref="P1789:R1789"/>
    <mergeCell ref="T1789:U1789"/>
    <mergeCell ref="Y1789:Z1789"/>
    <mergeCell ref="B1790:D1790"/>
    <mergeCell ref="E1790:F1790"/>
    <mergeCell ref="G1790:I1790"/>
    <mergeCell ref="N1790:O1790"/>
    <mergeCell ref="P1790:R1790"/>
    <mergeCell ref="T1790:U1790"/>
    <mergeCell ref="Y1790:Z1790"/>
    <mergeCell ref="B1791:D1791"/>
    <mergeCell ref="E1791:F1791"/>
    <mergeCell ref="G1791:I1791"/>
    <mergeCell ref="N1791:O1791"/>
    <mergeCell ref="P1791:R1791"/>
    <mergeCell ref="T1791:U1791"/>
    <mergeCell ref="Y1791:Z1791"/>
    <mergeCell ref="B1792:D1792"/>
    <mergeCell ref="E1792:F1792"/>
    <mergeCell ref="G1792:I1792"/>
    <mergeCell ref="N1792:O1792"/>
    <mergeCell ref="P1792:R1792"/>
    <mergeCell ref="T1792:U1792"/>
    <mergeCell ref="Y1792:Z1792"/>
    <mergeCell ref="B1793:D1793"/>
    <mergeCell ref="E1793:F1793"/>
    <mergeCell ref="G1793:I1793"/>
    <mergeCell ref="N1793:O1793"/>
    <mergeCell ref="P1793:R1793"/>
    <mergeCell ref="T1793:U1793"/>
    <mergeCell ref="Y1793:Z1793"/>
    <mergeCell ref="B1794:D1794"/>
    <mergeCell ref="E1794:F1794"/>
    <mergeCell ref="G1794:I1794"/>
    <mergeCell ref="N1794:O1794"/>
    <mergeCell ref="P1794:R1794"/>
    <mergeCell ref="T1794:U1794"/>
    <mergeCell ref="Y1794:Z1794"/>
    <mergeCell ref="B1795:D1795"/>
    <mergeCell ref="E1795:F1795"/>
    <mergeCell ref="G1795:I1795"/>
    <mergeCell ref="N1795:O1795"/>
    <mergeCell ref="P1795:R1795"/>
    <mergeCell ref="T1795:U1795"/>
    <mergeCell ref="Y1795:Z1795"/>
    <mergeCell ref="B1796:D1796"/>
    <mergeCell ref="E1796:F1796"/>
    <mergeCell ref="G1796:I1796"/>
    <mergeCell ref="N1796:O1796"/>
    <mergeCell ref="P1796:R1796"/>
    <mergeCell ref="T1796:U1796"/>
    <mergeCell ref="Y1796:Z1796"/>
    <mergeCell ref="B1797:D1797"/>
    <mergeCell ref="E1797:F1797"/>
    <mergeCell ref="G1797:I1797"/>
    <mergeCell ref="N1797:O1797"/>
    <mergeCell ref="P1797:R1797"/>
    <mergeCell ref="T1797:U1797"/>
    <mergeCell ref="Y1797:Z1797"/>
    <mergeCell ref="B1798:D1798"/>
    <mergeCell ref="E1798:F1798"/>
    <mergeCell ref="G1798:I1798"/>
    <mergeCell ref="N1798:O1798"/>
    <mergeCell ref="P1798:R1798"/>
    <mergeCell ref="T1798:U1798"/>
    <mergeCell ref="Y1798:Z1798"/>
    <mergeCell ref="B1799:D1799"/>
    <mergeCell ref="E1799:F1799"/>
    <mergeCell ref="G1799:I1799"/>
    <mergeCell ref="N1799:O1799"/>
    <mergeCell ref="P1799:R1799"/>
    <mergeCell ref="T1799:U1799"/>
    <mergeCell ref="Y1799:Z1799"/>
    <mergeCell ref="B1800:D1800"/>
    <mergeCell ref="E1800:F1800"/>
    <mergeCell ref="G1800:I1800"/>
    <mergeCell ref="N1800:O1800"/>
    <mergeCell ref="P1800:R1800"/>
    <mergeCell ref="T1800:U1800"/>
    <mergeCell ref="Y1800:Z1800"/>
    <mergeCell ref="B1801:D1801"/>
    <mergeCell ref="E1801:F1801"/>
    <mergeCell ref="G1801:I1801"/>
    <mergeCell ref="N1801:O1801"/>
    <mergeCell ref="P1801:R1801"/>
    <mergeCell ref="T1801:U1801"/>
    <mergeCell ref="Y1801:Z1801"/>
    <mergeCell ref="B1802:D1802"/>
    <mergeCell ref="E1802:F1802"/>
    <mergeCell ref="G1802:I1802"/>
    <mergeCell ref="N1802:O1802"/>
    <mergeCell ref="P1802:R1802"/>
    <mergeCell ref="T1802:U1802"/>
    <mergeCell ref="Y1802:Z1802"/>
    <mergeCell ref="B1803:D1803"/>
    <mergeCell ref="E1803:F1803"/>
    <mergeCell ref="G1803:I1803"/>
    <mergeCell ref="N1803:O1803"/>
    <mergeCell ref="P1803:R1803"/>
    <mergeCell ref="T1803:U1803"/>
    <mergeCell ref="Y1803:Z1803"/>
    <mergeCell ref="B1804:D1804"/>
    <mergeCell ref="E1804:F1804"/>
    <mergeCell ref="G1804:I1804"/>
    <mergeCell ref="N1804:O1804"/>
    <mergeCell ref="P1804:R1804"/>
    <mergeCell ref="T1804:U1804"/>
    <mergeCell ref="Y1804:Z1804"/>
    <mergeCell ref="B1805:D1805"/>
    <mergeCell ref="E1805:F1805"/>
    <mergeCell ref="G1805:I1805"/>
    <mergeCell ref="N1805:O1805"/>
    <mergeCell ref="P1805:R1805"/>
    <mergeCell ref="T1805:U1805"/>
    <mergeCell ref="Y1805:Z1805"/>
    <mergeCell ref="B1806:D1806"/>
    <mergeCell ref="E1806:F1806"/>
    <mergeCell ref="G1806:I1806"/>
    <mergeCell ref="N1806:O1806"/>
    <mergeCell ref="P1806:R1806"/>
    <mergeCell ref="T1806:U1806"/>
    <mergeCell ref="Y1806:Z1806"/>
    <mergeCell ref="B1807:D1807"/>
    <mergeCell ref="E1807:F1807"/>
    <mergeCell ref="G1807:I1807"/>
    <mergeCell ref="N1807:O1807"/>
    <mergeCell ref="P1807:R1807"/>
    <mergeCell ref="T1807:U1807"/>
    <mergeCell ref="Y1807:Z1807"/>
    <mergeCell ref="B1808:D1808"/>
    <mergeCell ref="E1808:F1808"/>
    <mergeCell ref="G1808:I1808"/>
    <mergeCell ref="N1808:O1808"/>
    <mergeCell ref="P1808:R1808"/>
    <mergeCell ref="T1808:U1808"/>
    <mergeCell ref="Y1808:Z1808"/>
    <mergeCell ref="B1809:D1809"/>
    <mergeCell ref="E1809:F1809"/>
    <mergeCell ref="G1809:I1809"/>
    <mergeCell ref="N1809:O1809"/>
    <mergeCell ref="P1809:R1809"/>
    <mergeCell ref="T1809:U1809"/>
    <mergeCell ref="Y1809:Z1809"/>
    <mergeCell ref="B1810:D1810"/>
    <mergeCell ref="E1810:F1810"/>
    <mergeCell ref="G1810:I1810"/>
    <mergeCell ref="N1810:O1810"/>
    <mergeCell ref="P1810:R1810"/>
    <mergeCell ref="T1810:U1810"/>
    <mergeCell ref="Y1810:Z1810"/>
    <mergeCell ref="B1811:D1811"/>
    <mergeCell ref="E1811:F1811"/>
    <mergeCell ref="G1811:I1811"/>
    <mergeCell ref="N1811:O1811"/>
    <mergeCell ref="P1811:R1811"/>
    <mergeCell ref="T1811:U1811"/>
    <mergeCell ref="Y1811:Z1811"/>
    <mergeCell ref="B1817:D1817"/>
    <mergeCell ref="E1817:F1817"/>
    <mergeCell ref="G1817:I1817"/>
    <mergeCell ref="N1817:O1817"/>
    <mergeCell ref="P1817:R1817"/>
    <mergeCell ref="T1817:U1817"/>
    <mergeCell ref="Y1817:Z1817"/>
    <mergeCell ref="B1812:D1812"/>
    <mergeCell ref="E1812:F1812"/>
    <mergeCell ref="G1812:I1812"/>
    <mergeCell ref="N1812:O1812"/>
    <mergeCell ref="P1812:R1812"/>
    <mergeCell ref="T1812:U1812"/>
    <mergeCell ref="Y1812:Z1812"/>
    <mergeCell ref="B1813:D1813"/>
    <mergeCell ref="E1813:F1813"/>
    <mergeCell ref="G1813:I1813"/>
    <mergeCell ref="N1813:O1813"/>
    <mergeCell ref="P1813:R1813"/>
    <mergeCell ref="T1813:U1813"/>
    <mergeCell ref="Y1813:Z1813"/>
    <mergeCell ref="B1814:D1814"/>
    <mergeCell ref="E1814:F1814"/>
    <mergeCell ref="G1814:I1814"/>
    <mergeCell ref="N1814:O1814"/>
    <mergeCell ref="P1814:R1814"/>
    <mergeCell ref="T1814:U1814"/>
    <mergeCell ref="Y1814:Z1814"/>
    <mergeCell ref="B1815:D1815"/>
    <mergeCell ref="E1815:F1815"/>
    <mergeCell ref="G1815:I1815"/>
    <mergeCell ref="N1815:O1815"/>
    <mergeCell ref="P1815:R1815"/>
    <mergeCell ref="T1815:U1815"/>
    <mergeCell ref="Y1815:Z1815"/>
    <mergeCell ref="B1816:D1816"/>
    <mergeCell ref="E1816:F1816"/>
    <mergeCell ref="G1816:I1816"/>
    <mergeCell ref="N1816:O1816"/>
    <mergeCell ref="P1816:R1816"/>
    <mergeCell ref="T1816:U1816"/>
    <mergeCell ref="Y1816:Z1816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ECE3-B2FA-4A68-B714-0882C2405FE8}">
  <dimension ref="A1:AK1644"/>
  <sheetViews>
    <sheetView workbookViewId="0">
      <selection sqref="A1:XFD1"/>
    </sheetView>
  </sheetViews>
  <sheetFormatPr defaultColWidth="6.85546875" defaultRowHeight="15" customHeight="1" x14ac:dyDescent="0.2"/>
  <cols>
    <col min="1" max="1" width="45.42578125" style="6" bestFit="1" customWidth="1"/>
    <col min="2" max="2" width="18.140625" style="6" customWidth="1"/>
    <col min="3" max="3" width="10.5703125" style="6" customWidth="1"/>
    <col min="4" max="4" width="13.140625" style="6" bestFit="1" customWidth="1"/>
    <col min="5" max="5" width="13.140625" style="6" customWidth="1"/>
    <col min="6" max="6" width="20.7109375" style="6" customWidth="1"/>
    <col min="7" max="7" width="15.85546875" style="6" bestFit="1" customWidth="1"/>
    <col min="8" max="9" width="13.140625" style="6" customWidth="1"/>
    <col min="10" max="11" width="14.140625" style="6" customWidth="1"/>
    <col min="12" max="12" width="16.5703125" style="6" bestFit="1" customWidth="1"/>
    <col min="13" max="13" width="13.42578125" style="6" customWidth="1"/>
    <col min="14" max="14" width="13.5703125" style="6" customWidth="1"/>
    <col min="15" max="15" width="34.85546875" style="6" customWidth="1"/>
    <col min="16" max="16" width="10" style="6" bestFit="1" customWidth="1"/>
    <col min="17" max="16384" width="6.85546875" style="6"/>
  </cols>
  <sheetData>
    <row r="1" spans="1:36" ht="15" customHeight="1" x14ac:dyDescent="0.2">
      <c r="A1" s="5"/>
      <c r="B1" s="5"/>
      <c r="C1" s="5" t="s">
        <v>15</v>
      </c>
      <c r="D1" s="5" t="s">
        <v>16</v>
      </c>
      <c r="E1" s="5"/>
      <c r="F1" s="5" t="s">
        <v>17</v>
      </c>
      <c r="G1" s="5" t="s">
        <v>19</v>
      </c>
      <c r="H1" s="5" t="s">
        <v>20</v>
      </c>
      <c r="I1" s="5"/>
      <c r="J1" s="5" t="s">
        <v>21</v>
      </c>
      <c r="K1" s="5"/>
      <c r="L1" s="5" t="s">
        <v>23</v>
      </c>
      <c r="M1" s="5" t="s">
        <v>26</v>
      </c>
      <c r="N1" s="5" t="s">
        <v>27</v>
      </c>
    </row>
    <row r="2" spans="1:36" ht="15" customHeight="1" x14ac:dyDescent="0.2">
      <c r="A2" s="7" t="s">
        <v>3934</v>
      </c>
      <c r="B2" s="7">
        <v>18775576</v>
      </c>
      <c r="C2" s="8">
        <v>2</v>
      </c>
      <c r="D2" s="8">
        <v>921632632</v>
      </c>
      <c r="E2" s="8" t="str">
        <f>CONCATENATE(D2,22)</f>
        <v>92163263222</v>
      </c>
      <c r="F2" s="8" t="s">
        <v>3582</v>
      </c>
      <c r="G2" s="8">
        <v>1</v>
      </c>
      <c r="H2" s="8">
        <v>20250401</v>
      </c>
      <c r="I2" s="8" t="str">
        <f>TEXT(DATE(LEFT(H2,4), MID(H2,5,2), RIGHT(H2,2)), "M/d/yyyy")</f>
        <v>4/1/2025</v>
      </c>
      <c r="J2" s="8">
        <v>20230101</v>
      </c>
      <c r="K2" s="8" t="str">
        <f>TEXT(DATE(LEFT(J2,4), MID(J2,5,2), RIGHT(J2,2)), "M/d/yyyy")</f>
        <v>1/1/2023</v>
      </c>
      <c r="L2" s="8" t="s">
        <v>56</v>
      </c>
      <c r="M2" s="8">
        <v>20</v>
      </c>
      <c r="N2" s="8">
        <v>40</v>
      </c>
      <c r="O2" s="6" t="s">
        <v>3947</v>
      </c>
      <c r="P2" s="6" t="s">
        <v>3952</v>
      </c>
    </row>
    <row r="3" spans="1:36" ht="15" customHeight="1" x14ac:dyDescent="0.2">
      <c r="A3" s="7" t="s">
        <v>3934</v>
      </c>
      <c r="B3" s="7">
        <v>18775576</v>
      </c>
      <c r="C3" s="8">
        <v>4</v>
      </c>
      <c r="D3" s="8">
        <v>921629663</v>
      </c>
      <c r="E3" s="8" t="str">
        <f>CONCATENATE(D3,22)</f>
        <v>92162966322</v>
      </c>
      <c r="F3" s="8" t="s">
        <v>3579</v>
      </c>
      <c r="G3" s="8">
        <v>1</v>
      </c>
      <c r="H3" s="8">
        <v>20250401</v>
      </c>
      <c r="I3" s="8" t="str">
        <f t="shared" ref="I3:I66" si="0">TEXT(DATE(LEFT(H3,4), MID(H3,5,2), RIGHT(H3,2)), "M/d/yyyy")</f>
        <v>4/1/2025</v>
      </c>
      <c r="J3" s="8">
        <v>20230101</v>
      </c>
      <c r="K3" s="8" t="str">
        <f t="shared" ref="K3:K66" si="1">TEXT(DATE(LEFT(J3,4), MID(J3,5,2), RIGHT(J3,2)), "M/d/yyyy")</f>
        <v>1/1/2023</v>
      </c>
      <c r="L3" s="8" t="s">
        <v>56</v>
      </c>
      <c r="M3" s="8">
        <v>20</v>
      </c>
      <c r="N3" s="8">
        <v>80</v>
      </c>
      <c r="O3" s="6" t="s">
        <v>3947</v>
      </c>
      <c r="P3" s="6" t="s">
        <v>3954</v>
      </c>
    </row>
    <row r="4" spans="1:36" ht="15" customHeight="1" x14ac:dyDescent="0.2">
      <c r="A4" s="10" t="s">
        <v>3908</v>
      </c>
      <c r="B4" s="10">
        <v>16912722</v>
      </c>
      <c r="C4" s="11">
        <v>1</v>
      </c>
      <c r="D4" s="11">
        <v>921748438</v>
      </c>
      <c r="E4" s="8" t="str">
        <f>CONCATENATE(D4,22)</f>
        <v>92174843822</v>
      </c>
      <c r="F4" s="11" t="s">
        <v>2544</v>
      </c>
      <c r="G4" s="8">
        <v>1</v>
      </c>
      <c r="H4" s="11">
        <v>20250401</v>
      </c>
      <c r="I4" s="8" t="str">
        <f t="shared" si="0"/>
        <v>4/1/2025</v>
      </c>
      <c r="J4" s="11">
        <v>20250101</v>
      </c>
      <c r="K4" s="8" t="str">
        <f t="shared" si="1"/>
        <v>1/1/2025</v>
      </c>
      <c r="L4" s="11" t="s">
        <v>56</v>
      </c>
      <c r="M4" s="11">
        <v>25</v>
      </c>
      <c r="N4" s="11">
        <v>25</v>
      </c>
      <c r="O4" s="6" t="s">
        <v>3947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ht="15" customHeight="1" x14ac:dyDescent="0.2">
      <c r="A5" s="10" t="s">
        <v>3908</v>
      </c>
      <c r="B5" s="10">
        <v>16912722</v>
      </c>
      <c r="C5" s="11">
        <v>1</v>
      </c>
      <c r="D5" s="11">
        <v>921779244</v>
      </c>
      <c r="E5" s="8" t="str">
        <f>CONCATENATE(D5,22)</f>
        <v>92177924422</v>
      </c>
      <c r="F5" s="11" t="s">
        <v>2558</v>
      </c>
      <c r="G5" s="8">
        <v>1</v>
      </c>
      <c r="H5" s="11">
        <v>20250401</v>
      </c>
      <c r="I5" s="8" t="str">
        <f t="shared" si="0"/>
        <v>4/1/2025</v>
      </c>
      <c r="J5" s="11">
        <v>20250301</v>
      </c>
      <c r="K5" s="8" t="str">
        <f t="shared" si="1"/>
        <v>3/1/2025</v>
      </c>
      <c r="L5" s="11" t="s">
        <v>56</v>
      </c>
      <c r="M5" s="11">
        <v>25</v>
      </c>
      <c r="N5" s="11">
        <v>25</v>
      </c>
      <c r="O5" s="6" t="s">
        <v>3947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spans="1:36" ht="15" customHeight="1" x14ac:dyDescent="0.2">
      <c r="A6" s="7" t="s">
        <v>3908</v>
      </c>
      <c r="B6" s="7">
        <v>16912722</v>
      </c>
      <c r="C6" s="8">
        <v>1</v>
      </c>
      <c r="D6" s="8">
        <v>921382321</v>
      </c>
      <c r="E6" s="8" t="str">
        <f t="shared" ref="E6:E12" si="2">CONCATENATE(D6,33)</f>
        <v>92138232133</v>
      </c>
      <c r="F6" s="8" t="s">
        <v>2540</v>
      </c>
      <c r="G6" s="8">
        <v>1</v>
      </c>
      <c r="H6" s="8">
        <v>20250401</v>
      </c>
      <c r="I6" s="8" t="str">
        <f t="shared" si="0"/>
        <v>4/1/2025</v>
      </c>
      <c r="J6" s="8">
        <v>20180101</v>
      </c>
      <c r="K6" s="8" t="str">
        <f t="shared" si="1"/>
        <v>1/1/2018</v>
      </c>
      <c r="L6" s="8" t="s">
        <v>198</v>
      </c>
      <c r="M6" s="8">
        <v>15</v>
      </c>
      <c r="N6" s="8">
        <v>15</v>
      </c>
      <c r="O6" s="6" t="s">
        <v>3950</v>
      </c>
    </row>
    <row r="7" spans="1:36" ht="15" customHeight="1" x14ac:dyDescent="0.2">
      <c r="A7" s="7" t="s">
        <v>3908</v>
      </c>
      <c r="B7" s="7">
        <v>16912722</v>
      </c>
      <c r="C7" s="8">
        <v>4</v>
      </c>
      <c r="D7" s="8">
        <v>921042801</v>
      </c>
      <c r="E7" s="8" t="str">
        <f t="shared" si="2"/>
        <v>92104280133</v>
      </c>
      <c r="F7" s="8" t="s">
        <v>2537</v>
      </c>
      <c r="G7" s="8">
        <v>1</v>
      </c>
      <c r="H7" s="8">
        <v>20250401</v>
      </c>
      <c r="I7" s="8" t="str">
        <f t="shared" si="0"/>
        <v>4/1/2025</v>
      </c>
      <c r="J7" s="8">
        <v>20230101</v>
      </c>
      <c r="K7" s="8" t="str">
        <f t="shared" si="1"/>
        <v>1/1/2023</v>
      </c>
      <c r="L7" s="8" t="s">
        <v>198</v>
      </c>
      <c r="M7" s="8">
        <v>15</v>
      </c>
      <c r="N7" s="8">
        <v>60</v>
      </c>
      <c r="O7" s="6" t="s">
        <v>3950</v>
      </c>
      <c r="P7" s="6" t="s">
        <v>3954</v>
      </c>
    </row>
    <row r="8" spans="1:36" ht="15" customHeight="1" x14ac:dyDescent="0.2">
      <c r="A8" s="7" t="s">
        <v>3908</v>
      </c>
      <c r="B8" s="7">
        <v>16912722</v>
      </c>
      <c r="C8" s="8">
        <v>4</v>
      </c>
      <c r="D8" s="8">
        <v>921042801</v>
      </c>
      <c r="E8" s="8" t="str">
        <f t="shared" si="2"/>
        <v>92104280133</v>
      </c>
      <c r="F8" s="8" t="s">
        <v>2537</v>
      </c>
      <c r="G8" s="8">
        <v>1</v>
      </c>
      <c r="H8" s="8">
        <v>20250301</v>
      </c>
      <c r="I8" s="8" t="str">
        <f t="shared" si="0"/>
        <v>3/1/2025</v>
      </c>
      <c r="J8" s="8">
        <v>20230101</v>
      </c>
      <c r="K8" s="8" t="str">
        <f t="shared" si="1"/>
        <v>1/1/2023</v>
      </c>
      <c r="L8" s="8" t="s">
        <v>198</v>
      </c>
      <c r="M8" s="8">
        <v>15</v>
      </c>
      <c r="N8" s="8">
        <v>60</v>
      </c>
      <c r="O8" s="6" t="s">
        <v>3950</v>
      </c>
      <c r="P8" s="6" t="s">
        <v>3954</v>
      </c>
    </row>
    <row r="9" spans="1:36" ht="15" customHeight="1" x14ac:dyDescent="0.2">
      <c r="A9" s="10" t="s">
        <v>3908</v>
      </c>
      <c r="B9" s="10">
        <v>16912722</v>
      </c>
      <c r="C9" s="11">
        <v>1</v>
      </c>
      <c r="D9" s="11">
        <v>921759663</v>
      </c>
      <c r="E9" s="8" t="str">
        <f t="shared" si="2"/>
        <v>92175966333</v>
      </c>
      <c r="F9" s="11" t="s">
        <v>2550</v>
      </c>
      <c r="G9" s="8">
        <v>1</v>
      </c>
      <c r="H9" s="11">
        <v>20250401</v>
      </c>
      <c r="I9" s="8" t="str">
        <f t="shared" si="0"/>
        <v>4/1/2025</v>
      </c>
      <c r="J9" s="11">
        <v>20250101</v>
      </c>
      <c r="K9" s="8" t="str">
        <f t="shared" si="1"/>
        <v>1/1/2025</v>
      </c>
      <c r="L9" s="11" t="s">
        <v>198</v>
      </c>
      <c r="M9" s="11">
        <v>20</v>
      </c>
      <c r="N9" s="11">
        <v>20</v>
      </c>
      <c r="O9" s="6" t="s">
        <v>3950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1:36" ht="15" customHeight="1" x14ac:dyDescent="0.2">
      <c r="A10" s="10" t="s">
        <v>3908</v>
      </c>
      <c r="B10" s="10">
        <v>16912722</v>
      </c>
      <c r="C10" s="11">
        <v>1</v>
      </c>
      <c r="D10" s="11">
        <v>921764777</v>
      </c>
      <c r="E10" s="8" t="str">
        <f t="shared" si="2"/>
        <v>92176477733</v>
      </c>
      <c r="F10" s="11" t="s">
        <v>2552</v>
      </c>
      <c r="G10" s="8">
        <v>1</v>
      </c>
      <c r="H10" s="11">
        <v>20250401</v>
      </c>
      <c r="I10" s="8" t="str">
        <f t="shared" si="0"/>
        <v>4/1/2025</v>
      </c>
      <c r="J10" s="11">
        <v>20250101</v>
      </c>
      <c r="K10" s="8" t="str">
        <f t="shared" si="1"/>
        <v>1/1/2025</v>
      </c>
      <c r="L10" s="11" t="s">
        <v>198</v>
      </c>
      <c r="M10" s="11">
        <v>20</v>
      </c>
      <c r="N10" s="11">
        <v>20</v>
      </c>
      <c r="O10" s="6" t="s">
        <v>3950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36" ht="15" customHeight="1" x14ac:dyDescent="0.2">
      <c r="A11" s="10" t="s">
        <v>3908</v>
      </c>
      <c r="B11" s="10">
        <v>16912722</v>
      </c>
      <c r="C11" s="11">
        <v>1</v>
      </c>
      <c r="D11" s="11">
        <v>921765101</v>
      </c>
      <c r="E11" s="8" t="str">
        <f t="shared" si="2"/>
        <v>92176510133</v>
      </c>
      <c r="F11" s="11" t="s">
        <v>2554</v>
      </c>
      <c r="G11" s="8">
        <v>1</v>
      </c>
      <c r="H11" s="11">
        <v>20250401</v>
      </c>
      <c r="I11" s="8" t="str">
        <f t="shared" si="0"/>
        <v>4/1/2025</v>
      </c>
      <c r="J11" s="11">
        <v>20250101</v>
      </c>
      <c r="K11" s="8" t="str">
        <f t="shared" si="1"/>
        <v>1/1/2025</v>
      </c>
      <c r="L11" s="11" t="s">
        <v>198</v>
      </c>
      <c r="M11" s="11">
        <v>20</v>
      </c>
      <c r="N11" s="11">
        <v>20</v>
      </c>
      <c r="O11" s="6" t="s">
        <v>3950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1:36" ht="15" customHeight="1" x14ac:dyDescent="0.2">
      <c r="A12" s="10" t="s">
        <v>3908</v>
      </c>
      <c r="B12" s="10">
        <v>16912722</v>
      </c>
      <c r="C12" s="11">
        <v>3</v>
      </c>
      <c r="D12" s="11">
        <v>921776147</v>
      </c>
      <c r="E12" s="8" t="str">
        <f t="shared" si="2"/>
        <v>92177614733</v>
      </c>
      <c r="F12" s="11" t="s">
        <v>2556</v>
      </c>
      <c r="G12" s="8">
        <v>1</v>
      </c>
      <c r="H12" s="11">
        <v>20250401</v>
      </c>
      <c r="I12" s="8" t="str">
        <f t="shared" si="0"/>
        <v>4/1/2025</v>
      </c>
      <c r="J12" s="11">
        <v>20250201</v>
      </c>
      <c r="K12" s="8" t="str">
        <f t="shared" si="1"/>
        <v>2/1/2025</v>
      </c>
      <c r="L12" s="11" t="s">
        <v>198</v>
      </c>
      <c r="M12" s="11">
        <v>20</v>
      </c>
      <c r="N12" s="11">
        <v>60</v>
      </c>
      <c r="O12" s="6" t="s">
        <v>3950</v>
      </c>
      <c r="P12" s="6" t="s">
        <v>3953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36" ht="15" customHeight="1" x14ac:dyDescent="0.3">
      <c r="A13" s="7" t="s">
        <v>3908</v>
      </c>
      <c r="B13" s="7">
        <v>16912722</v>
      </c>
      <c r="C13" s="8">
        <v>1</v>
      </c>
      <c r="D13" s="8">
        <v>921637697</v>
      </c>
      <c r="E13" s="8" t="str">
        <f>CONCATENATE(D13,44)</f>
        <v>92163769744</v>
      </c>
      <c r="F13" s="8" t="s">
        <v>2542</v>
      </c>
      <c r="G13" s="8">
        <v>1</v>
      </c>
      <c r="H13" s="8">
        <v>20250401</v>
      </c>
      <c r="I13" s="8" t="str">
        <f t="shared" si="0"/>
        <v>4/1/2025</v>
      </c>
      <c r="J13" s="8">
        <v>20230101</v>
      </c>
      <c r="K13" s="8" t="str">
        <f t="shared" si="1"/>
        <v>1/1/2023</v>
      </c>
      <c r="L13" s="8" t="s">
        <v>65</v>
      </c>
      <c r="M13" s="8">
        <v>25</v>
      </c>
      <c r="N13" s="8">
        <v>25</v>
      </c>
      <c r="O13" s="14" t="s">
        <v>3948</v>
      </c>
    </row>
    <row r="14" spans="1:36" ht="15" customHeight="1" x14ac:dyDescent="0.3">
      <c r="A14" s="10" t="s">
        <v>3908</v>
      </c>
      <c r="B14" s="10">
        <v>16912722</v>
      </c>
      <c r="C14" s="11">
        <v>1</v>
      </c>
      <c r="D14" s="11">
        <v>921751940</v>
      </c>
      <c r="E14" s="8" t="str">
        <f>CONCATENATE(D14,44)</f>
        <v>92175194044</v>
      </c>
      <c r="F14" s="11" t="s">
        <v>2546</v>
      </c>
      <c r="G14" s="8">
        <v>1</v>
      </c>
      <c r="H14" s="11">
        <v>20250401</v>
      </c>
      <c r="I14" s="8" t="str">
        <f t="shared" si="0"/>
        <v>4/1/2025</v>
      </c>
      <c r="J14" s="11">
        <v>20250101</v>
      </c>
      <c r="K14" s="8" t="str">
        <f t="shared" si="1"/>
        <v>1/1/2025</v>
      </c>
      <c r="L14" s="11" t="s">
        <v>65</v>
      </c>
      <c r="M14" s="11">
        <v>30</v>
      </c>
      <c r="N14" s="11">
        <v>30</v>
      </c>
      <c r="O14" s="14" t="s">
        <v>3948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spans="1:36" ht="15" customHeight="1" x14ac:dyDescent="0.3">
      <c r="A15" s="10" t="s">
        <v>3908</v>
      </c>
      <c r="B15" s="10">
        <v>16912722</v>
      </c>
      <c r="C15" s="11">
        <v>1</v>
      </c>
      <c r="D15" s="11">
        <v>921758504</v>
      </c>
      <c r="E15" s="8" t="str">
        <f>CONCATENATE(D15,44)</f>
        <v>92175850444</v>
      </c>
      <c r="F15" s="11" t="s">
        <v>2548</v>
      </c>
      <c r="G15" s="8">
        <v>1</v>
      </c>
      <c r="H15" s="11">
        <v>20250401</v>
      </c>
      <c r="I15" s="8" t="str">
        <f t="shared" si="0"/>
        <v>4/1/2025</v>
      </c>
      <c r="J15" s="11">
        <v>20250101</v>
      </c>
      <c r="K15" s="8" t="str">
        <f t="shared" si="1"/>
        <v>1/1/2025</v>
      </c>
      <c r="L15" s="11" t="s">
        <v>65</v>
      </c>
      <c r="M15" s="11">
        <v>30</v>
      </c>
      <c r="N15" s="11">
        <v>30</v>
      </c>
      <c r="O15" s="14" t="s">
        <v>3948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spans="1:36" ht="15" customHeight="1" x14ac:dyDescent="0.3">
      <c r="A16" s="10" t="s">
        <v>3908</v>
      </c>
      <c r="B16" s="10">
        <v>16912722</v>
      </c>
      <c r="C16" s="11">
        <v>1</v>
      </c>
      <c r="D16" s="11">
        <v>921758504</v>
      </c>
      <c r="E16" s="8" t="str">
        <f>CONCATENATE(D16,44)</f>
        <v>92175850444</v>
      </c>
      <c r="F16" s="11" t="s">
        <v>2548</v>
      </c>
      <c r="G16" s="8">
        <v>1</v>
      </c>
      <c r="H16" s="11">
        <v>20250301</v>
      </c>
      <c r="I16" s="8" t="str">
        <f t="shared" si="0"/>
        <v>3/1/2025</v>
      </c>
      <c r="J16" s="11">
        <v>20250101</v>
      </c>
      <c r="K16" s="8" t="str">
        <f t="shared" si="1"/>
        <v>1/1/2025</v>
      </c>
      <c r="L16" s="11" t="s">
        <v>65</v>
      </c>
      <c r="M16" s="11">
        <v>30</v>
      </c>
      <c r="N16" s="11">
        <v>30</v>
      </c>
      <c r="O16" s="14" t="s">
        <v>3948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spans="1:15" ht="15" customHeight="1" x14ac:dyDescent="0.2">
      <c r="A17" s="7" t="s">
        <v>3898</v>
      </c>
      <c r="B17" s="7">
        <v>7470776</v>
      </c>
      <c r="C17" s="8">
        <v>1</v>
      </c>
      <c r="D17" s="8">
        <v>920718654</v>
      </c>
      <c r="E17" s="8" t="str">
        <f t="shared" ref="E17:E48" si="3">CONCATENATE(D17,22)</f>
        <v>92071865422</v>
      </c>
      <c r="F17" s="8" t="s">
        <v>992</v>
      </c>
      <c r="G17" s="8">
        <v>1</v>
      </c>
      <c r="H17" s="8">
        <v>20250401</v>
      </c>
      <c r="I17" s="8" t="str">
        <f t="shared" si="0"/>
        <v>4/1/2025</v>
      </c>
      <c r="J17" s="8">
        <v>20221001</v>
      </c>
      <c r="K17" s="8" t="str">
        <f t="shared" si="1"/>
        <v>10/1/2022</v>
      </c>
      <c r="L17" s="8" t="s">
        <v>56</v>
      </c>
      <c r="M17" s="8">
        <v>20</v>
      </c>
      <c r="N17" s="8">
        <v>20</v>
      </c>
      <c r="O17" s="6" t="s">
        <v>3947</v>
      </c>
    </row>
    <row r="18" spans="1:15" ht="15" customHeight="1" x14ac:dyDescent="0.2">
      <c r="A18" s="7" t="s">
        <v>3898</v>
      </c>
      <c r="B18" s="7">
        <v>7470776</v>
      </c>
      <c r="C18" s="8">
        <v>1</v>
      </c>
      <c r="D18" s="8">
        <v>920738743</v>
      </c>
      <c r="E18" s="8" t="str">
        <f t="shared" si="3"/>
        <v>92073874322</v>
      </c>
      <c r="F18" s="8" t="s">
        <v>997</v>
      </c>
      <c r="G18" s="8">
        <v>1</v>
      </c>
      <c r="H18" s="8">
        <v>20250401</v>
      </c>
      <c r="I18" s="8" t="str">
        <f t="shared" si="0"/>
        <v>4/1/2025</v>
      </c>
      <c r="J18" s="8">
        <v>20170101</v>
      </c>
      <c r="K18" s="8" t="str">
        <f t="shared" si="1"/>
        <v>1/1/2017</v>
      </c>
      <c r="L18" s="8" t="s">
        <v>56</v>
      </c>
      <c r="M18" s="8">
        <v>20</v>
      </c>
      <c r="N18" s="8">
        <v>20</v>
      </c>
      <c r="O18" s="6" t="s">
        <v>3947</v>
      </c>
    </row>
    <row r="19" spans="1:15" ht="15" customHeight="1" x14ac:dyDescent="0.2">
      <c r="A19" s="7" t="s">
        <v>3898</v>
      </c>
      <c r="B19" s="7">
        <v>7470776</v>
      </c>
      <c r="C19" s="8">
        <v>1</v>
      </c>
      <c r="D19" s="8">
        <v>920802168</v>
      </c>
      <c r="E19" s="8" t="str">
        <f t="shared" si="3"/>
        <v>92080216822</v>
      </c>
      <c r="F19" s="8" t="s">
        <v>1004</v>
      </c>
      <c r="G19" s="8">
        <v>1</v>
      </c>
      <c r="H19" s="8">
        <v>20250401</v>
      </c>
      <c r="I19" s="8" t="str">
        <f t="shared" si="0"/>
        <v>4/1/2025</v>
      </c>
      <c r="J19" s="8">
        <v>20210401</v>
      </c>
      <c r="K19" s="8" t="str">
        <f t="shared" si="1"/>
        <v>4/1/2021</v>
      </c>
      <c r="L19" s="8" t="s">
        <v>56</v>
      </c>
      <c r="M19" s="8">
        <v>20</v>
      </c>
      <c r="N19" s="8">
        <v>20</v>
      </c>
      <c r="O19" s="6" t="s">
        <v>3947</v>
      </c>
    </row>
    <row r="20" spans="1:15" ht="15" customHeight="1" x14ac:dyDescent="0.2">
      <c r="A20" s="7" t="s">
        <v>3898</v>
      </c>
      <c r="B20" s="7">
        <v>7470776</v>
      </c>
      <c r="C20" s="8">
        <v>1</v>
      </c>
      <c r="D20" s="8">
        <v>920806107</v>
      </c>
      <c r="E20" s="8" t="str">
        <f t="shared" si="3"/>
        <v>92080610722</v>
      </c>
      <c r="F20" s="8" t="s">
        <v>1007</v>
      </c>
      <c r="G20" s="8">
        <v>1</v>
      </c>
      <c r="H20" s="8">
        <v>20250401</v>
      </c>
      <c r="I20" s="8" t="str">
        <f t="shared" si="0"/>
        <v>4/1/2025</v>
      </c>
      <c r="J20" s="8">
        <v>20230401</v>
      </c>
      <c r="K20" s="8" t="str">
        <f t="shared" si="1"/>
        <v>4/1/2023</v>
      </c>
      <c r="L20" s="8" t="s">
        <v>56</v>
      </c>
      <c r="M20" s="8">
        <v>20</v>
      </c>
      <c r="N20" s="8">
        <v>20</v>
      </c>
      <c r="O20" s="6" t="s">
        <v>3947</v>
      </c>
    </row>
    <row r="21" spans="1:15" ht="15" customHeight="1" x14ac:dyDescent="0.2">
      <c r="A21" s="7" t="s">
        <v>3898</v>
      </c>
      <c r="B21" s="7">
        <v>7470776</v>
      </c>
      <c r="C21" s="8">
        <v>1</v>
      </c>
      <c r="D21" s="8">
        <v>920807657</v>
      </c>
      <c r="E21" s="8" t="str">
        <f t="shared" si="3"/>
        <v>92080765722</v>
      </c>
      <c r="F21" s="8" t="s">
        <v>1011</v>
      </c>
      <c r="G21" s="8">
        <v>1</v>
      </c>
      <c r="H21" s="8">
        <v>20250401</v>
      </c>
      <c r="I21" s="8" t="str">
        <f t="shared" si="0"/>
        <v>4/1/2025</v>
      </c>
      <c r="J21" s="8">
        <v>20231001</v>
      </c>
      <c r="K21" s="8" t="str">
        <f t="shared" si="1"/>
        <v>10/1/2023</v>
      </c>
      <c r="L21" s="8" t="s">
        <v>56</v>
      </c>
      <c r="M21" s="8">
        <v>20</v>
      </c>
      <c r="N21" s="8">
        <v>20</v>
      </c>
      <c r="O21" s="6" t="s">
        <v>3947</v>
      </c>
    </row>
    <row r="22" spans="1:15" ht="15" customHeight="1" x14ac:dyDescent="0.2">
      <c r="A22" s="7" t="s">
        <v>3898</v>
      </c>
      <c r="B22" s="7">
        <v>7470776</v>
      </c>
      <c r="C22" s="8">
        <v>1</v>
      </c>
      <c r="D22" s="8">
        <v>921014688</v>
      </c>
      <c r="E22" s="8" t="str">
        <f t="shared" si="3"/>
        <v>92101468822</v>
      </c>
      <c r="F22" s="8" t="s">
        <v>1031</v>
      </c>
      <c r="G22" s="8">
        <v>1</v>
      </c>
      <c r="H22" s="8">
        <v>20250401</v>
      </c>
      <c r="I22" s="8" t="str">
        <f t="shared" si="0"/>
        <v>4/1/2025</v>
      </c>
      <c r="J22" s="8">
        <v>20150101</v>
      </c>
      <c r="K22" s="8" t="str">
        <f t="shared" si="1"/>
        <v>1/1/2015</v>
      </c>
      <c r="L22" s="8" t="s">
        <v>56</v>
      </c>
      <c r="M22" s="8">
        <v>20</v>
      </c>
      <c r="N22" s="8">
        <v>20</v>
      </c>
      <c r="O22" s="6" t="s">
        <v>3947</v>
      </c>
    </row>
    <row r="23" spans="1:15" ht="15" customHeight="1" x14ac:dyDescent="0.2">
      <c r="A23" s="7" t="s">
        <v>3898</v>
      </c>
      <c r="B23" s="7">
        <v>7470776</v>
      </c>
      <c r="C23" s="8">
        <v>1</v>
      </c>
      <c r="D23" s="8">
        <v>921044357</v>
      </c>
      <c r="E23" s="8" t="str">
        <f t="shared" si="3"/>
        <v>92104435722</v>
      </c>
      <c r="F23" s="8" t="s">
        <v>1044</v>
      </c>
      <c r="G23" s="8">
        <v>1</v>
      </c>
      <c r="H23" s="8">
        <v>20250401</v>
      </c>
      <c r="I23" s="8" t="str">
        <f t="shared" si="0"/>
        <v>4/1/2025</v>
      </c>
      <c r="J23" s="8">
        <v>20220601</v>
      </c>
      <c r="K23" s="8" t="str">
        <f t="shared" si="1"/>
        <v>6/1/2022</v>
      </c>
      <c r="L23" s="8" t="s">
        <v>56</v>
      </c>
      <c r="M23" s="8">
        <v>20</v>
      </c>
      <c r="N23" s="8">
        <v>20</v>
      </c>
      <c r="O23" s="6" t="s">
        <v>3947</v>
      </c>
    </row>
    <row r="24" spans="1:15" ht="15" customHeight="1" x14ac:dyDescent="0.2">
      <c r="A24" s="7" t="s">
        <v>3898</v>
      </c>
      <c r="B24" s="7">
        <v>7470776</v>
      </c>
      <c r="C24" s="8">
        <v>1</v>
      </c>
      <c r="D24" s="8">
        <v>921309629</v>
      </c>
      <c r="E24" s="8" t="str">
        <f t="shared" si="3"/>
        <v>92130962922</v>
      </c>
      <c r="F24" s="8" t="s">
        <v>1064</v>
      </c>
      <c r="G24" s="8">
        <v>1</v>
      </c>
      <c r="H24" s="8">
        <v>20250401</v>
      </c>
      <c r="I24" s="8" t="str">
        <f t="shared" si="0"/>
        <v>4/1/2025</v>
      </c>
      <c r="J24" s="8">
        <v>20230101</v>
      </c>
      <c r="K24" s="8" t="str">
        <f t="shared" si="1"/>
        <v>1/1/2023</v>
      </c>
      <c r="L24" s="8" t="s">
        <v>56</v>
      </c>
      <c r="M24" s="8">
        <v>20</v>
      </c>
      <c r="N24" s="8">
        <v>20</v>
      </c>
      <c r="O24" s="6" t="s">
        <v>3947</v>
      </c>
    </row>
    <row r="25" spans="1:15" ht="15" customHeight="1" x14ac:dyDescent="0.2">
      <c r="A25" s="7" t="s">
        <v>3898</v>
      </c>
      <c r="B25" s="7">
        <v>7470776</v>
      </c>
      <c r="C25" s="8">
        <v>1</v>
      </c>
      <c r="D25" s="8">
        <v>921354467</v>
      </c>
      <c r="E25" s="8" t="str">
        <f t="shared" si="3"/>
        <v>92135446722</v>
      </c>
      <c r="F25" s="8" t="s">
        <v>1068</v>
      </c>
      <c r="G25" s="8">
        <v>1</v>
      </c>
      <c r="H25" s="8">
        <v>20250401</v>
      </c>
      <c r="I25" s="8" t="str">
        <f t="shared" si="0"/>
        <v>4/1/2025</v>
      </c>
      <c r="J25" s="8">
        <v>20210921</v>
      </c>
      <c r="K25" s="8" t="str">
        <f t="shared" si="1"/>
        <v>9/21/2021</v>
      </c>
      <c r="L25" s="8" t="s">
        <v>56</v>
      </c>
      <c r="M25" s="8">
        <v>20</v>
      </c>
      <c r="N25" s="8">
        <v>20</v>
      </c>
      <c r="O25" s="6" t="s">
        <v>3947</v>
      </c>
    </row>
    <row r="26" spans="1:15" ht="15" customHeight="1" x14ac:dyDescent="0.2">
      <c r="A26" s="7" t="s">
        <v>3898</v>
      </c>
      <c r="B26" s="7">
        <v>7470776</v>
      </c>
      <c r="C26" s="8">
        <v>1</v>
      </c>
      <c r="D26" s="8">
        <v>921477927</v>
      </c>
      <c r="E26" s="8" t="str">
        <f t="shared" si="3"/>
        <v>92147792722</v>
      </c>
      <c r="F26" s="8" t="s">
        <v>1087</v>
      </c>
      <c r="G26" s="8">
        <v>1</v>
      </c>
      <c r="H26" s="8">
        <v>20250401</v>
      </c>
      <c r="I26" s="8" t="str">
        <f t="shared" si="0"/>
        <v>4/1/2025</v>
      </c>
      <c r="J26" s="8">
        <v>20190701</v>
      </c>
      <c r="K26" s="8" t="str">
        <f t="shared" si="1"/>
        <v>7/1/2019</v>
      </c>
      <c r="L26" s="8" t="s">
        <v>56</v>
      </c>
      <c r="M26" s="8">
        <v>20</v>
      </c>
      <c r="N26" s="8">
        <v>20</v>
      </c>
      <c r="O26" s="6" t="s">
        <v>3947</v>
      </c>
    </row>
    <row r="27" spans="1:15" ht="15" customHeight="1" x14ac:dyDescent="0.2">
      <c r="A27" s="7" t="s">
        <v>3898</v>
      </c>
      <c r="B27" s="7">
        <v>7470776</v>
      </c>
      <c r="C27" s="8">
        <v>1</v>
      </c>
      <c r="D27" s="8">
        <v>921496655</v>
      </c>
      <c r="E27" s="8" t="str">
        <f t="shared" si="3"/>
        <v>92149665522</v>
      </c>
      <c r="F27" s="8" t="s">
        <v>1093</v>
      </c>
      <c r="G27" s="8">
        <v>1</v>
      </c>
      <c r="H27" s="8">
        <v>20250401</v>
      </c>
      <c r="I27" s="8" t="str">
        <f t="shared" si="0"/>
        <v>4/1/2025</v>
      </c>
      <c r="J27" s="8">
        <v>20200101</v>
      </c>
      <c r="K27" s="8" t="str">
        <f t="shared" si="1"/>
        <v>1/1/2020</v>
      </c>
      <c r="L27" s="8" t="s">
        <v>56</v>
      </c>
      <c r="M27" s="8">
        <v>20</v>
      </c>
      <c r="N27" s="8">
        <v>20</v>
      </c>
      <c r="O27" s="6" t="s">
        <v>3947</v>
      </c>
    </row>
    <row r="28" spans="1:15" ht="15" customHeight="1" x14ac:dyDescent="0.2">
      <c r="A28" s="7" t="s">
        <v>3898</v>
      </c>
      <c r="B28" s="7">
        <v>7470776</v>
      </c>
      <c r="C28" s="8">
        <v>1</v>
      </c>
      <c r="D28" s="8">
        <v>921584687</v>
      </c>
      <c r="E28" s="8" t="str">
        <f t="shared" si="3"/>
        <v>92158468722</v>
      </c>
      <c r="F28" s="8" t="s">
        <v>1102</v>
      </c>
      <c r="G28" s="8">
        <v>1</v>
      </c>
      <c r="H28" s="8">
        <v>20250401</v>
      </c>
      <c r="I28" s="8" t="str">
        <f t="shared" si="0"/>
        <v>4/1/2025</v>
      </c>
      <c r="J28" s="8">
        <v>20211001</v>
      </c>
      <c r="K28" s="8" t="str">
        <f t="shared" si="1"/>
        <v>10/1/2021</v>
      </c>
      <c r="L28" s="8" t="s">
        <v>56</v>
      </c>
      <c r="M28" s="8">
        <v>20</v>
      </c>
      <c r="N28" s="8">
        <v>20</v>
      </c>
      <c r="O28" s="6" t="s">
        <v>3947</v>
      </c>
    </row>
    <row r="29" spans="1:15" ht="15" customHeight="1" x14ac:dyDescent="0.2">
      <c r="A29" s="7" t="s">
        <v>3898</v>
      </c>
      <c r="B29" s="7">
        <v>7470776</v>
      </c>
      <c r="C29" s="8">
        <v>1</v>
      </c>
      <c r="D29" s="8">
        <v>921586066</v>
      </c>
      <c r="E29" s="8" t="str">
        <f t="shared" si="3"/>
        <v>92158606622</v>
      </c>
      <c r="F29" s="8" t="s">
        <v>1106</v>
      </c>
      <c r="G29" s="8">
        <v>1</v>
      </c>
      <c r="H29" s="8">
        <v>20250401</v>
      </c>
      <c r="I29" s="8" t="str">
        <f t="shared" si="0"/>
        <v>4/1/2025</v>
      </c>
      <c r="J29" s="8">
        <v>20211201</v>
      </c>
      <c r="K29" s="8" t="str">
        <f t="shared" si="1"/>
        <v>12/1/2021</v>
      </c>
      <c r="L29" s="8" t="s">
        <v>56</v>
      </c>
      <c r="M29" s="8">
        <v>20</v>
      </c>
      <c r="N29" s="8">
        <v>20</v>
      </c>
      <c r="O29" s="6" t="s">
        <v>3947</v>
      </c>
    </row>
    <row r="30" spans="1:15" ht="15" customHeight="1" x14ac:dyDescent="0.2">
      <c r="A30" s="7" t="s">
        <v>3898</v>
      </c>
      <c r="B30" s="7">
        <v>7470776</v>
      </c>
      <c r="C30" s="8">
        <v>1</v>
      </c>
      <c r="D30" s="8">
        <v>921601561</v>
      </c>
      <c r="E30" s="8" t="str">
        <f t="shared" si="3"/>
        <v>92160156122</v>
      </c>
      <c r="F30" s="8" t="s">
        <v>1114</v>
      </c>
      <c r="G30" s="8">
        <v>1</v>
      </c>
      <c r="H30" s="8">
        <v>20250401</v>
      </c>
      <c r="I30" s="8" t="str">
        <f t="shared" si="0"/>
        <v>4/1/2025</v>
      </c>
      <c r="J30" s="8">
        <v>20220201</v>
      </c>
      <c r="K30" s="8" t="str">
        <f t="shared" si="1"/>
        <v>2/1/2022</v>
      </c>
      <c r="L30" s="8" t="s">
        <v>56</v>
      </c>
      <c r="M30" s="8">
        <v>20</v>
      </c>
      <c r="N30" s="8">
        <v>20</v>
      </c>
      <c r="O30" s="6" t="s">
        <v>3947</v>
      </c>
    </row>
    <row r="31" spans="1:15" ht="15" customHeight="1" x14ac:dyDescent="0.2">
      <c r="A31" s="7" t="s">
        <v>3898</v>
      </c>
      <c r="B31" s="7">
        <v>7470776</v>
      </c>
      <c r="C31" s="8">
        <v>1</v>
      </c>
      <c r="D31" s="8">
        <v>921618660</v>
      </c>
      <c r="E31" s="8" t="str">
        <f t="shared" si="3"/>
        <v>92161866022</v>
      </c>
      <c r="F31" s="8" t="s">
        <v>1118</v>
      </c>
      <c r="G31" s="8">
        <v>1</v>
      </c>
      <c r="H31" s="8">
        <v>20250401</v>
      </c>
      <c r="I31" s="8" t="str">
        <f t="shared" si="0"/>
        <v>4/1/2025</v>
      </c>
      <c r="J31" s="8">
        <v>20220801</v>
      </c>
      <c r="K31" s="8" t="str">
        <f t="shared" si="1"/>
        <v>8/1/2022</v>
      </c>
      <c r="L31" s="8" t="s">
        <v>56</v>
      </c>
      <c r="M31" s="8">
        <v>20</v>
      </c>
      <c r="N31" s="8">
        <v>20</v>
      </c>
      <c r="O31" s="6" t="s">
        <v>3947</v>
      </c>
    </row>
    <row r="32" spans="1:15" ht="15" customHeight="1" x14ac:dyDescent="0.2">
      <c r="A32" s="7" t="s">
        <v>3898</v>
      </c>
      <c r="B32" s="7">
        <v>7470776</v>
      </c>
      <c r="C32" s="8">
        <v>1</v>
      </c>
      <c r="D32" s="8">
        <v>921626735</v>
      </c>
      <c r="E32" s="8" t="str">
        <f t="shared" si="3"/>
        <v>92162673522</v>
      </c>
      <c r="F32" s="8" t="s">
        <v>1128</v>
      </c>
      <c r="G32" s="8">
        <v>1</v>
      </c>
      <c r="H32" s="8">
        <v>20250401</v>
      </c>
      <c r="I32" s="8" t="str">
        <f t="shared" si="0"/>
        <v>4/1/2025</v>
      </c>
      <c r="J32" s="8">
        <v>20230101</v>
      </c>
      <c r="K32" s="8" t="str">
        <f t="shared" si="1"/>
        <v>1/1/2023</v>
      </c>
      <c r="L32" s="8" t="s">
        <v>56</v>
      </c>
      <c r="M32" s="8">
        <v>20</v>
      </c>
      <c r="N32" s="8">
        <v>20</v>
      </c>
      <c r="O32" s="6" t="s">
        <v>3947</v>
      </c>
    </row>
    <row r="33" spans="1:16" ht="15" customHeight="1" x14ac:dyDescent="0.2">
      <c r="A33" s="7" t="s">
        <v>3898</v>
      </c>
      <c r="B33" s="7">
        <v>7470776</v>
      </c>
      <c r="C33" s="8">
        <v>1</v>
      </c>
      <c r="D33" s="8">
        <v>921626814</v>
      </c>
      <c r="E33" s="8" t="str">
        <f t="shared" si="3"/>
        <v>92162681422</v>
      </c>
      <c r="F33" s="8" t="s">
        <v>1134</v>
      </c>
      <c r="G33" s="8">
        <v>1</v>
      </c>
      <c r="H33" s="8">
        <v>20250401</v>
      </c>
      <c r="I33" s="8" t="str">
        <f t="shared" si="0"/>
        <v>4/1/2025</v>
      </c>
      <c r="J33" s="8">
        <v>20230101</v>
      </c>
      <c r="K33" s="8" t="str">
        <f t="shared" si="1"/>
        <v>1/1/2023</v>
      </c>
      <c r="L33" s="8" t="s">
        <v>56</v>
      </c>
      <c r="M33" s="8">
        <v>20</v>
      </c>
      <c r="N33" s="8">
        <v>20</v>
      </c>
      <c r="O33" s="6" t="s">
        <v>3947</v>
      </c>
    </row>
    <row r="34" spans="1:16" ht="15" customHeight="1" x14ac:dyDescent="0.2">
      <c r="A34" s="7" t="s">
        <v>3898</v>
      </c>
      <c r="B34" s="7">
        <v>7470776</v>
      </c>
      <c r="C34" s="8">
        <v>1</v>
      </c>
      <c r="D34" s="8">
        <v>921627905</v>
      </c>
      <c r="E34" s="8" t="str">
        <f t="shared" si="3"/>
        <v>92162790522</v>
      </c>
      <c r="F34" s="8" t="s">
        <v>1138</v>
      </c>
      <c r="G34" s="8">
        <v>1</v>
      </c>
      <c r="H34" s="8">
        <v>20250401</v>
      </c>
      <c r="I34" s="8" t="str">
        <f t="shared" si="0"/>
        <v>4/1/2025</v>
      </c>
      <c r="J34" s="8">
        <v>20230101</v>
      </c>
      <c r="K34" s="8" t="str">
        <f t="shared" si="1"/>
        <v>1/1/2023</v>
      </c>
      <c r="L34" s="8" t="s">
        <v>56</v>
      </c>
      <c r="M34" s="8">
        <v>20</v>
      </c>
      <c r="N34" s="8">
        <v>20</v>
      </c>
      <c r="O34" s="6" t="s">
        <v>3947</v>
      </c>
    </row>
    <row r="35" spans="1:16" ht="15" customHeight="1" x14ac:dyDescent="0.2">
      <c r="A35" s="7" t="s">
        <v>3898</v>
      </c>
      <c r="B35" s="7">
        <v>7470776</v>
      </c>
      <c r="C35" s="8">
        <v>1</v>
      </c>
      <c r="D35" s="8">
        <v>921638023</v>
      </c>
      <c r="E35" s="8" t="str">
        <f t="shared" si="3"/>
        <v>92163802322</v>
      </c>
      <c r="F35" s="8" t="s">
        <v>1140</v>
      </c>
      <c r="G35" s="8">
        <v>1</v>
      </c>
      <c r="H35" s="8">
        <v>20250401</v>
      </c>
      <c r="I35" s="8" t="str">
        <f t="shared" si="0"/>
        <v>4/1/2025</v>
      </c>
      <c r="J35" s="8">
        <v>20230101</v>
      </c>
      <c r="K35" s="8" t="str">
        <f t="shared" si="1"/>
        <v>1/1/2023</v>
      </c>
      <c r="L35" s="8" t="s">
        <v>56</v>
      </c>
      <c r="M35" s="8">
        <v>20</v>
      </c>
      <c r="N35" s="8">
        <v>20</v>
      </c>
      <c r="O35" s="6" t="s">
        <v>3947</v>
      </c>
    </row>
    <row r="36" spans="1:16" ht="15" customHeight="1" x14ac:dyDescent="0.2">
      <c r="A36" s="7" t="s">
        <v>3898</v>
      </c>
      <c r="B36" s="7">
        <v>7470776</v>
      </c>
      <c r="C36" s="8">
        <v>1</v>
      </c>
      <c r="D36" s="8">
        <v>921665213</v>
      </c>
      <c r="E36" s="8" t="str">
        <f t="shared" si="3"/>
        <v>92166521322</v>
      </c>
      <c r="F36" s="8" t="s">
        <v>1142</v>
      </c>
      <c r="G36" s="8">
        <v>1</v>
      </c>
      <c r="H36" s="8">
        <v>20250401</v>
      </c>
      <c r="I36" s="8" t="str">
        <f t="shared" si="0"/>
        <v>4/1/2025</v>
      </c>
      <c r="J36" s="8">
        <v>20230801</v>
      </c>
      <c r="K36" s="8" t="str">
        <f t="shared" si="1"/>
        <v>8/1/2023</v>
      </c>
      <c r="L36" s="8" t="s">
        <v>56</v>
      </c>
      <c r="M36" s="8">
        <v>20</v>
      </c>
      <c r="N36" s="8">
        <v>20</v>
      </c>
      <c r="O36" s="6" t="s">
        <v>3947</v>
      </c>
    </row>
    <row r="37" spans="1:16" ht="15" customHeight="1" x14ac:dyDescent="0.2">
      <c r="A37" s="7" t="s">
        <v>3898</v>
      </c>
      <c r="B37" s="7">
        <v>7470776</v>
      </c>
      <c r="C37" s="8">
        <v>1</v>
      </c>
      <c r="D37" s="8">
        <v>921688055</v>
      </c>
      <c r="E37" s="8" t="str">
        <f t="shared" si="3"/>
        <v>92168805522</v>
      </c>
      <c r="F37" s="8" t="s">
        <v>1166</v>
      </c>
      <c r="G37" s="8">
        <v>1</v>
      </c>
      <c r="H37" s="8">
        <v>20250401</v>
      </c>
      <c r="I37" s="8" t="str">
        <f t="shared" si="0"/>
        <v>4/1/2025</v>
      </c>
      <c r="J37" s="8">
        <v>20240101</v>
      </c>
      <c r="K37" s="8" t="str">
        <f t="shared" si="1"/>
        <v>1/1/2024</v>
      </c>
      <c r="L37" s="8" t="s">
        <v>56</v>
      </c>
      <c r="M37" s="8">
        <v>20</v>
      </c>
      <c r="N37" s="8">
        <v>20</v>
      </c>
      <c r="O37" s="6" t="s">
        <v>3947</v>
      </c>
    </row>
    <row r="38" spans="1:16" ht="15" customHeight="1" x14ac:dyDescent="0.2">
      <c r="A38" s="7" t="s">
        <v>3898</v>
      </c>
      <c r="B38" s="7">
        <v>7470776</v>
      </c>
      <c r="C38" s="8">
        <v>1</v>
      </c>
      <c r="D38" s="8">
        <v>925427510</v>
      </c>
      <c r="E38" s="8" t="str">
        <f t="shared" si="3"/>
        <v>92542751022</v>
      </c>
      <c r="F38" s="8" t="s">
        <v>1279</v>
      </c>
      <c r="G38" s="8">
        <v>1</v>
      </c>
      <c r="H38" s="8">
        <v>20250401</v>
      </c>
      <c r="I38" s="8" t="str">
        <f t="shared" si="0"/>
        <v>4/1/2025</v>
      </c>
      <c r="J38" s="8">
        <v>20211101</v>
      </c>
      <c r="K38" s="8" t="str">
        <f t="shared" si="1"/>
        <v>11/1/2021</v>
      </c>
      <c r="L38" s="8" t="s">
        <v>56</v>
      </c>
      <c r="M38" s="8">
        <v>20</v>
      </c>
      <c r="N38" s="8">
        <v>20</v>
      </c>
      <c r="O38" s="6" t="s">
        <v>3947</v>
      </c>
    </row>
    <row r="39" spans="1:16" ht="15" customHeight="1" x14ac:dyDescent="0.2">
      <c r="A39" s="7" t="s">
        <v>3898</v>
      </c>
      <c r="B39" s="7">
        <v>7470776</v>
      </c>
      <c r="C39" s="8">
        <v>2</v>
      </c>
      <c r="D39" s="8">
        <v>920838667</v>
      </c>
      <c r="E39" s="8" t="str">
        <f t="shared" si="3"/>
        <v>92083866722</v>
      </c>
      <c r="F39" s="8" t="s">
        <v>1019</v>
      </c>
      <c r="G39" s="8">
        <v>1</v>
      </c>
      <c r="H39" s="8">
        <v>20250401</v>
      </c>
      <c r="I39" s="8" t="str">
        <f t="shared" si="0"/>
        <v>4/1/2025</v>
      </c>
      <c r="J39" s="8">
        <v>20210701</v>
      </c>
      <c r="K39" s="8" t="str">
        <f t="shared" si="1"/>
        <v>7/1/2021</v>
      </c>
      <c r="L39" s="8" t="s">
        <v>56</v>
      </c>
      <c r="M39" s="8">
        <v>20</v>
      </c>
      <c r="N39" s="8">
        <v>40</v>
      </c>
      <c r="O39" s="6" t="s">
        <v>3947</v>
      </c>
      <c r="P39" s="6" t="s">
        <v>3952</v>
      </c>
    </row>
    <row r="40" spans="1:16" ht="15" customHeight="1" x14ac:dyDescent="0.2">
      <c r="A40" s="7" t="s">
        <v>3898</v>
      </c>
      <c r="B40" s="7">
        <v>7470776</v>
      </c>
      <c r="C40" s="8">
        <v>2</v>
      </c>
      <c r="D40" s="8">
        <v>921595571</v>
      </c>
      <c r="E40" s="8" t="str">
        <f t="shared" si="3"/>
        <v>92159557122</v>
      </c>
      <c r="F40" s="8" t="s">
        <v>1110</v>
      </c>
      <c r="G40" s="8">
        <v>1</v>
      </c>
      <c r="H40" s="8">
        <v>20250401</v>
      </c>
      <c r="I40" s="8" t="str">
        <f t="shared" si="0"/>
        <v>4/1/2025</v>
      </c>
      <c r="J40" s="8">
        <v>20220101</v>
      </c>
      <c r="K40" s="8" t="str">
        <f t="shared" si="1"/>
        <v>1/1/2022</v>
      </c>
      <c r="L40" s="8" t="s">
        <v>56</v>
      </c>
      <c r="M40" s="8">
        <v>20</v>
      </c>
      <c r="N40" s="8">
        <v>40</v>
      </c>
      <c r="O40" s="6" t="s">
        <v>3947</v>
      </c>
      <c r="P40" s="6" t="s">
        <v>3952</v>
      </c>
    </row>
    <row r="41" spans="1:16" ht="15" customHeight="1" x14ac:dyDescent="0.2">
      <c r="A41" s="7" t="s">
        <v>3898</v>
      </c>
      <c r="B41" s="7">
        <v>7470776</v>
      </c>
      <c r="C41" s="8">
        <v>2</v>
      </c>
      <c r="D41" s="8">
        <v>921597719</v>
      </c>
      <c r="E41" s="8" t="str">
        <f t="shared" si="3"/>
        <v>92159771922</v>
      </c>
      <c r="F41" s="8" t="s">
        <v>1112</v>
      </c>
      <c r="G41" s="8">
        <v>1</v>
      </c>
      <c r="H41" s="8">
        <v>20250401</v>
      </c>
      <c r="I41" s="8" t="str">
        <f t="shared" si="0"/>
        <v>4/1/2025</v>
      </c>
      <c r="J41" s="8">
        <v>20220101</v>
      </c>
      <c r="K41" s="8" t="str">
        <f t="shared" si="1"/>
        <v>1/1/2022</v>
      </c>
      <c r="L41" s="8" t="s">
        <v>56</v>
      </c>
      <c r="M41" s="8">
        <v>20</v>
      </c>
      <c r="N41" s="8">
        <v>40</v>
      </c>
      <c r="O41" s="6" t="s">
        <v>3947</v>
      </c>
      <c r="P41" s="6" t="s">
        <v>3952</v>
      </c>
    </row>
    <row r="42" spans="1:16" ht="15" customHeight="1" x14ac:dyDescent="0.2">
      <c r="A42" s="7" t="s">
        <v>3898</v>
      </c>
      <c r="B42" s="7">
        <v>7470776</v>
      </c>
      <c r="C42" s="8">
        <v>2</v>
      </c>
      <c r="D42" s="8">
        <v>921626778</v>
      </c>
      <c r="E42" s="8" t="str">
        <f t="shared" si="3"/>
        <v>92162677822</v>
      </c>
      <c r="F42" s="8" t="s">
        <v>1130</v>
      </c>
      <c r="G42" s="8">
        <v>1</v>
      </c>
      <c r="H42" s="8">
        <v>20250401</v>
      </c>
      <c r="I42" s="8" t="str">
        <f t="shared" si="0"/>
        <v>4/1/2025</v>
      </c>
      <c r="J42" s="8">
        <v>20230101</v>
      </c>
      <c r="K42" s="8" t="str">
        <f t="shared" si="1"/>
        <v>1/1/2023</v>
      </c>
      <c r="L42" s="8" t="s">
        <v>56</v>
      </c>
      <c r="M42" s="8">
        <v>20</v>
      </c>
      <c r="N42" s="8">
        <v>40</v>
      </c>
      <c r="O42" s="6" t="s">
        <v>3947</v>
      </c>
      <c r="P42" s="6" t="s">
        <v>3952</v>
      </c>
    </row>
    <row r="43" spans="1:16" ht="15" customHeight="1" x14ac:dyDescent="0.2">
      <c r="A43" s="7" t="s">
        <v>3898</v>
      </c>
      <c r="B43" s="7">
        <v>7470776</v>
      </c>
      <c r="C43" s="8">
        <v>2</v>
      </c>
      <c r="D43" s="8">
        <v>921678612</v>
      </c>
      <c r="E43" s="8" t="str">
        <f t="shared" si="3"/>
        <v>92167861222</v>
      </c>
      <c r="F43" s="8" t="s">
        <v>1154</v>
      </c>
      <c r="G43" s="8">
        <v>1</v>
      </c>
      <c r="H43" s="8">
        <v>20250401</v>
      </c>
      <c r="I43" s="8" t="str">
        <f t="shared" si="0"/>
        <v>4/1/2025</v>
      </c>
      <c r="J43" s="8">
        <v>20240101</v>
      </c>
      <c r="K43" s="8" t="str">
        <f t="shared" si="1"/>
        <v>1/1/2024</v>
      </c>
      <c r="L43" s="8" t="s">
        <v>56</v>
      </c>
      <c r="M43" s="8">
        <v>20</v>
      </c>
      <c r="N43" s="8">
        <v>40</v>
      </c>
      <c r="O43" s="6" t="s">
        <v>3947</v>
      </c>
      <c r="P43" s="6" t="s">
        <v>3952</v>
      </c>
    </row>
    <row r="44" spans="1:16" ht="15" customHeight="1" x14ac:dyDescent="0.2">
      <c r="A44" s="7" t="s">
        <v>3898</v>
      </c>
      <c r="B44" s="7">
        <v>7470776</v>
      </c>
      <c r="C44" s="8">
        <v>3</v>
      </c>
      <c r="D44" s="8">
        <v>920799638</v>
      </c>
      <c r="E44" s="8" t="str">
        <f t="shared" si="3"/>
        <v>92079963822</v>
      </c>
      <c r="F44" s="8" t="s">
        <v>1001</v>
      </c>
      <c r="G44" s="8">
        <v>1</v>
      </c>
      <c r="H44" s="8">
        <v>20250401</v>
      </c>
      <c r="I44" s="8" t="str">
        <f t="shared" si="0"/>
        <v>4/1/2025</v>
      </c>
      <c r="J44" s="8">
        <v>20140301</v>
      </c>
      <c r="K44" s="8" t="str">
        <f t="shared" si="1"/>
        <v>3/1/2014</v>
      </c>
      <c r="L44" s="8" t="s">
        <v>56</v>
      </c>
      <c r="M44" s="8">
        <v>20</v>
      </c>
      <c r="N44" s="8">
        <v>60</v>
      </c>
      <c r="O44" s="6" t="s">
        <v>3947</v>
      </c>
      <c r="P44" s="6" t="s">
        <v>3953</v>
      </c>
    </row>
    <row r="45" spans="1:16" ht="15" customHeight="1" x14ac:dyDescent="0.2">
      <c r="A45" s="7" t="s">
        <v>3898</v>
      </c>
      <c r="B45" s="7">
        <v>7470776</v>
      </c>
      <c r="C45" s="8">
        <v>4</v>
      </c>
      <c r="D45" s="8">
        <v>921626795</v>
      </c>
      <c r="E45" s="8" t="str">
        <f t="shared" si="3"/>
        <v>92162679522</v>
      </c>
      <c r="F45" s="8" t="s">
        <v>1132</v>
      </c>
      <c r="G45" s="8">
        <v>1</v>
      </c>
      <c r="H45" s="8">
        <v>20250401</v>
      </c>
      <c r="I45" s="8" t="str">
        <f t="shared" si="0"/>
        <v>4/1/2025</v>
      </c>
      <c r="J45" s="8">
        <v>20230101</v>
      </c>
      <c r="K45" s="8" t="str">
        <f t="shared" si="1"/>
        <v>1/1/2023</v>
      </c>
      <c r="L45" s="8" t="s">
        <v>56</v>
      </c>
      <c r="M45" s="8">
        <v>20</v>
      </c>
      <c r="N45" s="8">
        <v>80</v>
      </c>
      <c r="O45" s="6" t="s">
        <v>3947</v>
      </c>
      <c r="P45" s="6" t="s">
        <v>3954</v>
      </c>
    </row>
    <row r="46" spans="1:16" ht="15" customHeight="1" x14ac:dyDescent="0.2">
      <c r="A46" s="7" t="s">
        <v>3898</v>
      </c>
      <c r="B46" s="7">
        <v>7470776</v>
      </c>
      <c r="C46" s="8">
        <v>1</v>
      </c>
      <c r="D46" s="8">
        <v>920747374</v>
      </c>
      <c r="E46" s="8" t="str">
        <f t="shared" si="3"/>
        <v>92074737422</v>
      </c>
      <c r="F46" s="8" t="s">
        <v>999</v>
      </c>
      <c r="G46" s="8">
        <v>1</v>
      </c>
      <c r="H46" s="8">
        <v>20250401</v>
      </c>
      <c r="I46" s="8" t="str">
        <f t="shared" si="0"/>
        <v>4/1/2025</v>
      </c>
      <c r="J46" s="8">
        <v>20250201</v>
      </c>
      <c r="K46" s="8" t="str">
        <f t="shared" si="1"/>
        <v>2/1/2025</v>
      </c>
      <c r="L46" s="8" t="s">
        <v>56</v>
      </c>
      <c r="M46" s="8">
        <v>25</v>
      </c>
      <c r="N46" s="8">
        <v>25</v>
      </c>
      <c r="O46" s="6" t="s">
        <v>3947</v>
      </c>
    </row>
    <row r="47" spans="1:16" ht="15" customHeight="1" x14ac:dyDescent="0.2">
      <c r="A47" s="7" t="s">
        <v>3898</v>
      </c>
      <c r="B47" s="7">
        <v>7470776</v>
      </c>
      <c r="C47" s="8">
        <v>1</v>
      </c>
      <c r="D47" s="8">
        <v>921020388</v>
      </c>
      <c r="E47" s="8" t="str">
        <f t="shared" si="3"/>
        <v>92102038822</v>
      </c>
      <c r="F47" s="8" t="s">
        <v>1034</v>
      </c>
      <c r="G47" s="8">
        <v>1</v>
      </c>
      <c r="H47" s="8">
        <v>20250401</v>
      </c>
      <c r="I47" s="8" t="str">
        <f t="shared" si="0"/>
        <v>4/1/2025</v>
      </c>
      <c r="J47" s="8">
        <v>20240901</v>
      </c>
      <c r="K47" s="8" t="str">
        <f t="shared" si="1"/>
        <v>9/1/2024</v>
      </c>
      <c r="L47" s="8" t="s">
        <v>56</v>
      </c>
      <c r="M47" s="8">
        <v>25</v>
      </c>
      <c r="N47" s="8">
        <v>25</v>
      </c>
      <c r="O47" s="6" t="s">
        <v>3947</v>
      </c>
    </row>
    <row r="48" spans="1:16" ht="15" customHeight="1" x14ac:dyDescent="0.2">
      <c r="A48" s="7" t="s">
        <v>3898</v>
      </c>
      <c r="B48" s="7">
        <v>7470776</v>
      </c>
      <c r="C48" s="8">
        <v>1</v>
      </c>
      <c r="D48" s="8">
        <v>921307815</v>
      </c>
      <c r="E48" s="8" t="str">
        <f t="shared" si="3"/>
        <v>92130781522</v>
      </c>
      <c r="F48" s="8" t="s">
        <v>1062</v>
      </c>
      <c r="G48" s="8">
        <v>1</v>
      </c>
      <c r="H48" s="8">
        <v>20250401</v>
      </c>
      <c r="I48" s="8" t="str">
        <f t="shared" si="0"/>
        <v>4/1/2025</v>
      </c>
      <c r="J48" s="8">
        <v>20240701</v>
      </c>
      <c r="K48" s="8" t="str">
        <f t="shared" si="1"/>
        <v>7/1/2024</v>
      </c>
      <c r="L48" s="8" t="s">
        <v>56</v>
      </c>
      <c r="M48" s="8">
        <v>25</v>
      </c>
      <c r="N48" s="8">
        <v>25</v>
      </c>
      <c r="O48" s="6" t="s">
        <v>3947</v>
      </c>
    </row>
    <row r="49" spans="1:16" ht="15" customHeight="1" x14ac:dyDescent="0.2">
      <c r="A49" s="7" t="s">
        <v>3898</v>
      </c>
      <c r="B49" s="7">
        <v>7470776</v>
      </c>
      <c r="C49" s="8">
        <v>1</v>
      </c>
      <c r="D49" s="8">
        <v>921717400</v>
      </c>
      <c r="E49" s="8" t="str">
        <f t="shared" ref="E49:E71" si="4">CONCATENATE(D49,22)</f>
        <v>92171740022</v>
      </c>
      <c r="F49" s="8" t="s">
        <v>1182</v>
      </c>
      <c r="G49" s="8">
        <v>1</v>
      </c>
      <c r="H49" s="8">
        <v>20250401</v>
      </c>
      <c r="I49" s="8" t="str">
        <f t="shared" si="0"/>
        <v>4/1/2025</v>
      </c>
      <c r="J49" s="8">
        <v>20240501</v>
      </c>
      <c r="K49" s="8" t="str">
        <f t="shared" si="1"/>
        <v>5/1/2024</v>
      </c>
      <c r="L49" s="8" t="s">
        <v>56</v>
      </c>
      <c r="M49" s="8">
        <v>25</v>
      </c>
      <c r="N49" s="8">
        <v>25</v>
      </c>
      <c r="O49" s="6" t="s">
        <v>3947</v>
      </c>
    </row>
    <row r="50" spans="1:16" ht="15" customHeight="1" x14ac:dyDescent="0.2">
      <c r="A50" s="7" t="s">
        <v>3898</v>
      </c>
      <c r="B50" s="7">
        <v>7470776</v>
      </c>
      <c r="C50" s="8">
        <v>1</v>
      </c>
      <c r="D50" s="8">
        <v>921720934</v>
      </c>
      <c r="E50" s="8" t="str">
        <f t="shared" si="4"/>
        <v>92172093422</v>
      </c>
      <c r="F50" s="8" t="s">
        <v>1186</v>
      </c>
      <c r="G50" s="8">
        <v>1</v>
      </c>
      <c r="H50" s="8">
        <v>20250401</v>
      </c>
      <c r="I50" s="8" t="str">
        <f t="shared" si="0"/>
        <v>4/1/2025</v>
      </c>
      <c r="J50" s="8">
        <v>20240601</v>
      </c>
      <c r="K50" s="8" t="str">
        <f t="shared" si="1"/>
        <v>6/1/2024</v>
      </c>
      <c r="L50" s="8" t="s">
        <v>56</v>
      </c>
      <c r="M50" s="8">
        <v>25</v>
      </c>
      <c r="N50" s="8">
        <v>25</v>
      </c>
      <c r="O50" s="6" t="s">
        <v>3947</v>
      </c>
    </row>
    <row r="51" spans="1:16" ht="15" customHeight="1" x14ac:dyDescent="0.2">
      <c r="A51" s="7" t="s">
        <v>3898</v>
      </c>
      <c r="B51" s="7">
        <v>7470776</v>
      </c>
      <c r="C51" s="8">
        <v>1</v>
      </c>
      <c r="D51" s="8">
        <v>921723282</v>
      </c>
      <c r="E51" s="8" t="str">
        <f t="shared" si="4"/>
        <v>92172328222</v>
      </c>
      <c r="F51" s="8" t="s">
        <v>1188</v>
      </c>
      <c r="G51" s="8">
        <v>1</v>
      </c>
      <c r="H51" s="8">
        <v>20250401</v>
      </c>
      <c r="I51" s="8" t="str">
        <f t="shared" si="0"/>
        <v>4/1/2025</v>
      </c>
      <c r="J51" s="8">
        <v>20240601</v>
      </c>
      <c r="K51" s="8" t="str">
        <f t="shared" si="1"/>
        <v>6/1/2024</v>
      </c>
      <c r="L51" s="8" t="s">
        <v>56</v>
      </c>
      <c r="M51" s="8">
        <v>25</v>
      </c>
      <c r="N51" s="8">
        <v>25</v>
      </c>
      <c r="O51" s="6" t="s">
        <v>3947</v>
      </c>
    </row>
    <row r="52" spans="1:16" ht="15" customHeight="1" x14ac:dyDescent="0.2">
      <c r="A52" s="7" t="s">
        <v>3898</v>
      </c>
      <c r="B52" s="7">
        <v>7470776</v>
      </c>
      <c r="C52" s="8">
        <v>1</v>
      </c>
      <c r="D52" s="8">
        <v>921726220</v>
      </c>
      <c r="E52" s="8" t="str">
        <f t="shared" si="4"/>
        <v>92172622022</v>
      </c>
      <c r="F52" s="8" t="s">
        <v>1192</v>
      </c>
      <c r="G52" s="8">
        <v>1</v>
      </c>
      <c r="H52" s="8">
        <v>20250401</v>
      </c>
      <c r="I52" s="8" t="str">
        <f t="shared" si="0"/>
        <v>4/1/2025</v>
      </c>
      <c r="J52" s="8">
        <v>20240701</v>
      </c>
      <c r="K52" s="8" t="str">
        <f t="shared" si="1"/>
        <v>7/1/2024</v>
      </c>
      <c r="L52" s="8" t="s">
        <v>56</v>
      </c>
      <c r="M52" s="8">
        <v>25</v>
      </c>
      <c r="N52" s="8">
        <v>25</v>
      </c>
      <c r="O52" s="6" t="s">
        <v>3947</v>
      </c>
    </row>
    <row r="53" spans="1:16" ht="15" customHeight="1" x14ac:dyDescent="0.2">
      <c r="A53" s="7" t="s">
        <v>3898</v>
      </c>
      <c r="B53" s="7">
        <v>7470776</v>
      </c>
      <c r="C53" s="8">
        <v>1</v>
      </c>
      <c r="D53" s="8">
        <v>921728986</v>
      </c>
      <c r="E53" s="8" t="str">
        <f t="shared" si="4"/>
        <v>92172898622</v>
      </c>
      <c r="F53" s="8" t="s">
        <v>1200</v>
      </c>
      <c r="G53" s="8">
        <v>1</v>
      </c>
      <c r="H53" s="8">
        <v>20250401</v>
      </c>
      <c r="I53" s="8" t="str">
        <f t="shared" si="0"/>
        <v>4/1/2025</v>
      </c>
      <c r="J53" s="8">
        <v>20240701</v>
      </c>
      <c r="K53" s="8" t="str">
        <f t="shared" si="1"/>
        <v>7/1/2024</v>
      </c>
      <c r="L53" s="8" t="s">
        <v>56</v>
      </c>
      <c r="M53" s="8">
        <v>25</v>
      </c>
      <c r="N53" s="8">
        <v>25</v>
      </c>
      <c r="O53" s="6" t="s">
        <v>3947</v>
      </c>
    </row>
    <row r="54" spans="1:16" ht="15" customHeight="1" x14ac:dyDescent="0.2">
      <c r="A54" s="7" t="s">
        <v>3898</v>
      </c>
      <c r="B54" s="7">
        <v>7470776</v>
      </c>
      <c r="C54" s="8">
        <v>1</v>
      </c>
      <c r="D54" s="8">
        <v>921737247</v>
      </c>
      <c r="E54" s="8" t="str">
        <f t="shared" si="4"/>
        <v>92173724722</v>
      </c>
      <c r="F54" s="8" t="s">
        <v>1211</v>
      </c>
      <c r="G54" s="8">
        <v>1</v>
      </c>
      <c r="H54" s="8">
        <v>20250401</v>
      </c>
      <c r="I54" s="8" t="str">
        <f t="shared" si="0"/>
        <v>4/1/2025</v>
      </c>
      <c r="J54" s="8">
        <v>20240901</v>
      </c>
      <c r="K54" s="8" t="str">
        <f t="shared" si="1"/>
        <v>9/1/2024</v>
      </c>
      <c r="L54" s="8" t="s">
        <v>56</v>
      </c>
      <c r="M54" s="8">
        <v>25</v>
      </c>
      <c r="N54" s="8">
        <v>25</v>
      </c>
      <c r="O54" s="6" t="s">
        <v>3947</v>
      </c>
    </row>
    <row r="55" spans="1:16" ht="15" customHeight="1" x14ac:dyDescent="0.2">
      <c r="A55" s="7" t="s">
        <v>3898</v>
      </c>
      <c r="B55" s="7">
        <v>7470776</v>
      </c>
      <c r="C55" s="8">
        <v>1</v>
      </c>
      <c r="D55" s="8">
        <v>921738469</v>
      </c>
      <c r="E55" s="8" t="str">
        <f t="shared" si="4"/>
        <v>92173846922</v>
      </c>
      <c r="F55" s="8" t="s">
        <v>1213</v>
      </c>
      <c r="G55" s="8">
        <v>1</v>
      </c>
      <c r="H55" s="8">
        <v>20250401</v>
      </c>
      <c r="I55" s="8" t="str">
        <f t="shared" si="0"/>
        <v>4/1/2025</v>
      </c>
      <c r="J55" s="8">
        <v>20241001</v>
      </c>
      <c r="K55" s="8" t="str">
        <f t="shared" si="1"/>
        <v>10/1/2024</v>
      </c>
      <c r="L55" s="8" t="s">
        <v>56</v>
      </c>
      <c r="M55" s="8">
        <v>25</v>
      </c>
      <c r="N55" s="8">
        <v>25</v>
      </c>
      <c r="O55" s="6" t="s">
        <v>3947</v>
      </c>
    </row>
    <row r="56" spans="1:16" ht="15" customHeight="1" x14ac:dyDescent="0.2">
      <c r="A56" s="7" t="s">
        <v>3898</v>
      </c>
      <c r="B56" s="7">
        <v>7470776</v>
      </c>
      <c r="C56" s="8">
        <v>1</v>
      </c>
      <c r="D56" s="8">
        <v>921741159</v>
      </c>
      <c r="E56" s="8" t="str">
        <f t="shared" si="4"/>
        <v>92174115922</v>
      </c>
      <c r="F56" s="8" t="s">
        <v>1221</v>
      </c>
      <c r="G56" s="8">
        <v>1</v>
      </c>
      <c r="H56" s="8">
        <v>20250401</v>
      </c>
      <c r="I56" s="8" t="str">
        <f t="shared" si="0"/>
        <v>4/1/2025</v>
      </c>
      <c r="J56" s="8">
        <v>20241001</v>
      </c>
      <c r="K56" s="8" t="str">
        <f t="shared" si="1"/>
        <v>10/1/2024</v>
      </c>
      <c r="L56" s="8" t="s">
        <v>56</v>
      </c>
      <c r="M56" s="8">
        <v>25</v>
      </c>
      <c r="N56" s="8">
        <v>25</v>
      </c>
      <c r="O56" s="6" t="s">
        <v>3947</v>
      </c>
    </row>
    <row r="57" spans="1:16" ht="15" customHeight="1" x14ac:dyDescent="0.2">
      <c r="A57" s="7" t="s">
        <v>3898</v>
      </c>
      <c r="B57" s="7">
        <v>7470776</v>
      </c>
      <c r="C57" s="8">
        <v>1</v>
      </c>
      <c r="D57" s="8">
        <v>921741159</v>
      </c>
      <c r="E57" s="8" t="str">
        <f t="shared" si="4"/>
        <v>92174115922</v>
      </c>
      <c r="F57" s="8" t="s">
        <v>1221</v>
      </c>
      <c r="G57" s="8">
        <v>1</v>
      </c>
      <c r="H57" s="8">
        <v>20250301</v>
      </c>
      <c r="I57" s="8" t="str">
        <f t="shared" si="0"/>
        <v>3/1/2025</v>
      </c>
      <c r="J57" s="8">
        <v>20241001</v>
      </c>
      <c r="K57" s="8" t="str">
        <f t="shared" si="1"/>
        <v>10/1/2024</v>
      </c>
      <c r="L57" s="8" t="s">
        <v>56</v>
      </c>
      <c r="M57" s="8">
        <v>25</v>
      </c>
      <c r="N57" s="8">
        <v>25</v>
      </c>
      <c r="O57" s="6" t="s">
        <v>3947</v>
      </c>
    </row>
    <row r="58" spans="1:16" ht="15" customHeight="1" x14ac:dyDescent="0.2">
      <c r="A58" s="7" t="s">
        <v>3898</v>
      </c>
      <c r="B58" s="7">
        <v>7470776</v>
      </c>
      <c r="C58" s="8">
        <v>1</v>
      </c>
      <c r="D58" s="8">
        <v>921745063</v>
      </c>
      <c r="E58" s="8" t="str">
        <f t="shared" si="4"/>
        <v>92174506322</v>
      </c>
      <c r="F58" s="8" t="s">
        <v>1227</v>
      </c>
      <c r="G58" s="8">
        <v>1</v>
      </c>
      <c r="H58" s="8">
        <v>20250401</v>
      </c>
      <c r="I58" s="8" t="str">
        <f t="shared" si="0"/>
        <v>4/1/2025</v>
      </c>
      <c r="J58" s="8">
        <v>20250101</v>
      </c>
      <c r="K58" s="8" t="str">
        <f t="shared" si="1"/>
        <v>1/1/2025</v>
      </c>
      <c r="L58" s="8" t="s">
        <v>56</v>
      </c>
      <c r="M58" s="8">
        <v>25</v>
      </c>
      <c r="N58" s="8">
        <v>25</v>
      </c>
      <c r="O58" s="6" t="s">
        <v>3947</v>
      </c>
    </row>
    <row r="59" spans="1:16" ht="15" customHeight="1" x14ac:dyDescent="0.2">
      <c r="A59" s="7" t="s">
        <v>3898</v>
      </c>
      <c r="B59" s="7">
        <v>7470776</v>
      </c>
      <c r="C59" s="8">
        <v>1</v>
      </c>
      <c r="D59" s="8">
        <v>921746887</v>
      </c>
      <c r="E59" s="8" t="str">
        <f t="shared" si="4"/>
        <v>92174688722</v>
      </c>
      <c r="F59" s="8" t="s">
        <v>1231</v>
      </c>
      <c r="G59" s="8">
        <v>1</v>
      </c>
      <c r="H59" s="8">
        <v>20250401</v>
      </c>
      <c r="I59" s="8" t="str">
        <f t="shared" si="0"/>
        <v>4/1/2025</v>
      </c>
      <c r="J59" s="8">
        <v>20250101</v>
      </c>
      <c r="K59" s="8" t="str">
        <f t="shared" si="1"/>
        <v>1/1/2025</v>
      </c>
      <c r="L59" s="8" t="s">
        <v>56</v>
      </c>
      <c r="M59" s="8">
        <v>25</v>
      </c>
      <c r="N59" s="8">
        <v>25</v>
      </c>
      <c r="O59" s="6" t="s">
        <v>3947</v>
      </c>
    </row>
    <row r="60" spans="1:16" ht="15" customHeight="1" x14ac:dyDescent="0.2">
      <c r="A60" s="7" t="s">
        <v>3898</v>
      </c>
      <c r="B60" s="7">
        <v>7470776</v>
      </c>
      <c r="C60" s="8">
        <v>1</v>
      </c>
      <c r="D60" s="8">
        <v>921750721</v>
      </c>
      <c r="E60" s="8" t="str">
        <f t="shared" si="4"/>
        <v>92175072122</v>
      </c>
      <c r="F60" s="8" t="s">
        <v>1246</v>
      </c>
      <c r="G60" s="8">
        <v>1</v>
      </c>
      <c r="H60" s="8">
        <v>20250401</v>
      </c>
      <c r="I60" s="8" t="str">
        <f t="shared" si="0"/>
        <v>4/1/2025</v>
      </c>
      <c r="J60" s="8">
        <v>20250101</v>
      </c>
      <c r="K60" s="8" t="str">
        <f t="shared" si="1"/>
        <v>1/1/2025</v>
      </c>
      <c r="L60" s="8" t="s">
        <v>56</v>
      </c>
      <c r="M60" s="8">
        <v>25</v>
      </c>
      <c r="N60" s="8">
        <v>25</v>
      </c>
      <c r="O60" s="6" t="s">
        <v>3947</v>
      </c>
    </row>
    <row r="61" spans="1:16" ht="15" customHeight="1" x14ac:dyDescent="0.2">
      <c r="A61" s="7" t="s">
        <v>3898</v>
      </c>
      <c r="B61" s="7">
        <v>7470776</v>
      </c>
      <c r="C61" s="8">
        <v>1</v>
      </c>
      <c r="D61" s="8">
        <v>921765814</v>
      </c>
      <c r="E61" s="8" t="str">
        <f t="shared" si="4"/>
        <v>92176581422</v>
      </c>
      <c r="F61" s="8" t="s">
        <v>1262</v>
      </c>
      <c r="G61" s="8">
        <v>1</v>
      </c>
      <c r="H61" s="8">
        <v>20250401</v>
      </c>
      <c r="I61" s="8" t="str">
        <f t="shared" si="0"/>
        <v>4/1/2025</v>
      </c>
      <c r="J61" s="8">
        <v>20250101</v>
      </c>
      <c r="K61" s="8" t="str">
        <f t="shared" si="1"/>
        <v>1/1/2025</v>
      </c>
      <c r="L61" s="8" t="s">
        <v>56</v>
      </c>
      <c r="M61" s="8">
        <v>25</v>
      </c>
      <c r="N61" s="8">
        <v>25</v>
      </c>
      <c r="O61" s="6" t="s">
        <v>3947</v>
      </c>
    </row>
    <row r="62" spans="1:16" ht="15" customHeight="1" x14ac:dyDescent="0.2">
      <c r="A62" s="7" t="s">
        <v>3898</v>
      </c>
      <c r="B62" s="7">
        <v>7470776</v>
      </c>
      <c r="C62" s="8">
        <v>1</v>
      </c>
      <c r="D62" s="8">
        <v>921774027</v>
      </c>
      <c r="E62" s="8" t="str">
        <f t="shared" si="4"/>
        <v>92177402722</v>
      </c>
      <c r="F62" s="8" t="s">
        <v>1268</v>
      </c>
      <c r="G62" s="8">
        <v>1</v>
      </c>
      <c r="H62" s="8">
        <v>20250401</v>
      </c>
      <c r="I62" s="8" t="str">
        <f t="shared" si="0"/>
        <v>4/1/2025</v>
      </c>
      <c r="J62" s="8">
        <v>20250201</v>
      </c>
      <c r="K62" s="8" t="str">
        <f t="shared" si="1"/>
        <v>2/1/2025</v>
      </c>
      <c r="L62" s="8" t="s">
        <v>56</v>
      </c>
      <c r="M62" s="8">
        <v>25</v>
      </c>
      <c r="N62" s="8">
        <v>25</v>
      </c>
      <c r="O62" s="6" t="s">
        <v>3947</v>
      </c>
    </row>
    <row r="63" spans="1:16" ht="15" customHeight="1" x14ac:dyDescent="0.2">
      <c r="A63" s="7" t="s">
        <v>3898</v>
      </c>
      <c r="B63" s="7">
        <v>7470776</v>
      </c>
      <c r="C63" s="8">
        <v>1</v>
      </c>
      <c r="D63" s="8">
        <v>921779030</v>
      </c>
      <c r="E63" s="8" t="str">
        <f t="shared" si="4"/>
        <v>92177903022</v>
      </c>
      <c r="F63" s="8" t="s">
        <v>1275</v>
      </c>
      <c r="G63" s="8">
        <v>1</v>
      </c>
      <c r="H63" s="8">
        <v>20250401</v>
      </c>
      <c r="I63" s="8" t="str">
        <f t="shared" si="0"/>
        <v>4/1/2025</v>
      </c>
      <c r="J63" s="8">
        <v>20250301</v>
      </c>
      <c r="K63" s="8" t="str">
        <f t="shared" si="1"/>
        <v>3/1/2025</v>
      </c>
      <c r="L63" s="8" t="s">
        <v>56</v>
      </c>
      <c r="M63" s="8">
        <v>25</v>
      </c>
      <c r="N63" s="8">
        <v>25</v>
      </c>
      <c r="O63" s="6" t="s">
        <v>3947</v>
      </c>
    </row>
    <row r="64" spans="1:16" ht="15" customHeight="1" x14ac:dyDescent="0.2">
      <c r="A64" s="7" t="s">
        <v>3898</v>
      </c>
      <c r="B64" s="7">
        <v>7470776</v>
      </c>
      <c r="C64" s="8">
        <v>2</v>
      </c>
      <c r="D64" s="8">
        <v>921738512</v>
      </c>
      <c r="E64" s="8" t="str">
        <f t="shared" si="4"/>
        <v>92173851222</v>
      </c>
      <c r="F64" s="8" t="s">
        <v>1215</v>
      </c>
      <c r="G64" s="8">
        <v>1</v>
      </c>
      <c r="H64" s="8">
        <v>20250401</v>
      </c>
      <c r="I64" s="8" t="str">
        <f t="shared" si="0"/>
        <v>4/1/2025</v>
      </c>
      <c r="J64" s="8">
        <v>20241001</v>
      </c>
      <c r="K64" s="8" t="str">
        <f t="shared" si="1"/>
        <v>10/1/2024</v>
      </c>
      <c r="L64" s="8" t="s">
        <v>56</v>
      </c>
      <c r="M64" s="8">
        <v>25</v>
      </c>
      <c r="N64" s="8">
        <v>50</v>
      </c>
      <c r="O64" s="6" t="s">
        <v>3947</v>
      </c>
      <c r="P64" s="6" t="s">
        <v>3952</v>
      </c>
    </row>
    <row r="65" spans="1:37" ht="15" customHeight="1" x14ac:dyDescent="0.2">
      <c r="A65" s="7" t="s">
        <v>3898</v>
      </c>
      <c r="B65" s="7">
        <v>7470776</v>
      </c>
      <c r="C65" s="8">
        <v>2</v>
      </c>
      <c r="D65" s="8">
        <v>921743354</v>
      </c>
      <c r="E65" s="8" t="str">
        <f t="shared" si="4"/>
        <v>92174335422</v>
      </c>
      <c r="F65" s="8" t="s">
        <v>1223</v>
      </c>
      <c r="G65" s="8">
        <v>1</v>
      </c>
      <c r="H65" s="8">
        <v>20250401</v>
      </c>
      <c r="I65" s="8" t="str">
        <f t="shared" si="0"/>
        <v>4/1/2025</v>
      </c>
      <c r="J65" s="8">
        <v>20241101</v>
      </c>
      <c r="K65" s="8" t="str">
        <f t="shared" si="1"/>
        <v>11/1/2024</v>
      </c>
      <c r="L65" s="8" t="s">
        <v>56</v>
      </c>
      <c r="M65" s="8">
        <v>25</v>
      </c>
      <c r="N65" s="8">
        <v>50</v>
      </c>
      <c r="O65" s="6" t="s">
        <v>3947</v>
      </c>
      <c r="P65" s="6" t="s">
        <v>3952</v>
      </c>
    </row>
    <row r="66" spans="1:37" ht="15" customHeight="1" x14ac:dyDescent="0.2">
      <c r="A66" s="7" t="s">
        <v>3898</v>
      </c>
      <c r="B66" s="7">
        <v>7470776</v>
      </c>
      <c r="C66" s="8">
        <v>2</v>
      </c>
      <c r="D66" s="8">
        <v>921749489</v>
      </c>
      <c r="E66" s="8" t="str">
        <f t="shared" si="4"/>
        <v>92174948922</v>
      </c>
      <c r="F66" s="8" t="s">
        <v>1244</v>
      </c>
      <c r="G66" s="8">
        <v>1</v>
      </c>
      <c r="H66" s="8">
        <v>20250401</v>
      </c>
      <c r="I66" s="8" t="str">
        <f t="shared" si="0"/>
        <v>4/1/2025</v>
      </c>
      <c r="J66" s="8">
        <v>20250101</v>
      </c>
      <c r="K66" s="8" t="str">
        <f t="shared" si="1"/>
        <v>1/1/2025</v>
      </c>
      <c r="L66" s="8" t="s">
        <v>56</v>
      </c>
      <c r="M66" s="8">
        <v>25</v>
      </c>
      <c r="N66" s="8">
        <v>50</v>
      </c>
      <c r="O66" s="6" t="s">
        <v>3947</v>
      </c>
      <c r="P66" s="6" t="s">
        <v>3952</v>
      </c>
    </row>
    <row r="67" spans="1:37" ht="15" customHeight="1" x14ac:dyDescent="0.2">
      <c r="A67" s="7" t="s">
        <v>3898</v>
      </c>
      <c r="B67" s="7">
        <v>7470776</v>
      </c>
      <c r="C67" s="8">
        <v>2</v>
      </c>
      <c r="D67" s="8">
        <v>921751168</v>
      </c>
      <c r="E67" s="8" t="str">
        <f t="shared" si="4"/>
        <v>92175116822</v>
      </c>
      <c r="F67" s="8" t="s">
        <v>1248</v>
      </c>
      <c r="G67" s="8">
        <v>1</v>
      </c>
      <c r="H67" s="8">
        <v>20250401</v>
      </c>
      <c r="I67" s="8" t="str">
        <f t="shared" ref="I67:I130" si="5">TEXT(DATE(LEFT(H67,4), MID(H67,5,2), RIGHT(H67,2)), "M/d/yyyy")</f>
        <v>4/1/2025</v>
      </c>
      <c r="J67" s="8">
        <v>20250101</v>
      </c>
      <c r="K67" s="8" t="str">
        <f t="shared" ref="K67:K130" si="6">TEXT(DATE(LEFT(J67,4), MID(J67,5,2), RIGHT(J67,2)), "M/d/yyyy")</f>
        <v>1/1/2025</v>
      </c>
      <c r="L67" s="8" t="s">
        <v>56</v>
      </c>
      <c r="M67" s="8">
        <v>25</v>
      </c>
      <c r="N67" s="8">
        <v>50</v>
      </c>
      <c r="O67" s="6" t="s">
        <v>3947</v>
      </c>
      <c r="P67" s="6" t="s">
        <v>3952</v>
      </c>
    </row>
    <row r="68" spans="1:37" ht="15" customHeight="1" x14ac:dyDescent="0.2">
      <c r="A68" s="7" t="s">
        <v>3898</v>
      </c>
      <c r="B68" s="7">
        <v>7470776</v>
      </c>
      <c r="C68" s="8">
        <v>2</v>
      </c>
      <c r="D68" s="8">
        <v>921751992</v>
      </c>
      <c r="E68" s="8" t="str">
        <f t="shared" si="4"/>
        <v>92175199222</v>
      </c>
      <c r="F68" s="8" t="s">
        <v>1250</v>
      </c>
      <c r="G68" s="8">
        <v>1</v>
      </c>
      <c r="H68" s="8">
        <v>20250401</v>
      </c>
      <c r="I68" s="8" t="str">
        <f t="shared" si="5"/>
        <v>4/1/2025</v>
      </c>
      <c r="J68" s="8">
        <v>20250101</v>
      </c>
      <c r="K68" s="8" t="str">
        <f t="shared" si="6"/>
        <v>1/1/2025</v>
      </c>
      <c r="L68" s="8" t="s">
        <v>56</v>
      </c>
      <c r="M68" s="8">
        <v>25</v>
      </c>
      <c r="N68" s="8">
        <v>50</v>
      </c>
      <c r="O68" s="6" t="s">
        <v>3947</v>
      </c>
      <c r="P68" s="6" t="s">
        <v>3952</v>
      </c>
    </row>
    <row r="69" spans="1:37" ht="15" customHeight="1" x14ac:dyDescent="0.2">
      <c r="A69" s="7" t="s">
        <v>3898</v>
      </c>
      <c r="B69" s="7">
        <v>7470776</v>
      </c>
      <c r="C69" s="8">
        <v>2</v>
      </c>
      <c r="D69" s="8">
        <v>921777266</v>
      </c>
      <c r="E69" s="8" t="str">
        <f t="shared" si="4"/>
        <v>92177726622</v>
      </c>
      <c r="F69" s="8" t="s">
        <v>362</v>
      </c>
      <c r="G69" s="8">
        <v>1</v>
      </c>
      <c r="H69" s="8">
        <v>20250401</v>
      </c>
      <c r="I69" s="8" t="str">
        <f t="shared" si="5"/>
        <v>4/1/2025</v>
      </c>
      <c r="J69" s="8">
        <v>20250301</v>
      </c>
      <c r="K69" s="8" t="str">
        <f t="shared" si="6"/>
        <v>3/1/2025</v>
      </c>
      <c r="L69" s="8" t="s">
        <v>56</v>
      </c>
      <c r="M69" s="8">
        <v>25</v>
      </c>
      <c r="N69" s="8">
        <v>50</v>
      </c>
      <c r="O69" s="6" t="s">
        <v>3947</v>
      </c>
      <c r="P69" s="6" t="s">
        <v>3952</v>
      </c>
    </row>
    <row r="70" spans="1:37" ht="15" customHeight="1" x14ac:dyDescent="0.2">
      <c r="A70" s="7" t="s">
        <v>3898</v>
      </c>
      <c r="B70" s="7">
        <v>7470776</v>
      </c>
      <c r="C70" s="8">
        <v>3</v>
      </c>
      <c r="D70" s="8">
        <v>921580384</v>
      </c>
      <c r="E70" s="8" t="str">
        <f t="shared" si="4"/>
        <v>92158038422</v>
      </c>
      <c r="F70" s="8" t="s">
        <v>1100</v>
      </c>
      <c r="G70" s="8">
        <v>1</v>
      </c>
      <c r="H70" s="8">
        <v>20250401</v>
      </c>
      <c r="I70" s="8" t="str">
        <f t="shared" si="5"/>
        <v>4/1/2025</v>
      </c>
      <c r="J70" s="8">
        <v>20250101</v>
      </c>
      <c r="K70" s="8" t="str">
        <f t="shared" si="6"/>
        <v>1/1/2025</v>
      </c>
      <c r="L70" s="8" t="s">
        <v>56</v>
      </c>
      <c r="M70" s="8">
        <v>25</v>
      </c>
      <c r="N70" s="8">
        <v>75</v>
      </c>
      <c r="O70" s="6" t="s">
        <v>3947</v>
      </c>
      <c r="P70" s="6" t="s">
        <v>3953</v>
      </c>
    </row>
    <row r="71" spans="1:37" ht="15" customHeight="1" x14ac:dyDescent="0.2">
      <c r="A71" s="7" t="s">
        <v>3898</v>
      </c>
      <c r="B71" s="7">
        <v>7470776</v>
      </c>
      <c r="C71" s="8">
        <v>4</v>
      </c>
      <c r="D71" s="8">
        <v>921777467</v>
      </c>
      <c r="E71" s="8" t="str">
        <f t="shared" si="4"/>
        <v>92177746722</v>
      </c>
      <c r="F71" s="8" t="s">
        <v>1273</v>
      </c>
      <c r="G71" s="8">
        <v>1</v>
      </c>
      <c r="H71" s="8">
        <v>20250401</v>
      </c>
      <c r="I71" s="8" t="str">
        <f t="shared" si="5"/>
        <v>4/1/2025</v>
      </c>
      <c r="J71" s="8">
        <v>20250301</v>
      </c>
      <c r="K71" s="8" t="str">
        <f t="shared" si="6"/>
        <v>3/1/2025</v>
      </c>
      <c r="L71" s="8" t="s">
        <v>56</v>
      </c>
      <c r="M71" s="8">
        <v>25</v>
      </c>
      <c r="N71" s="8">
        <v>100</v>
      </c>
      <c r="O71" s="6" t="s">
        <v>3947</v>
      </c>
      <c r="P71" s="6" t="s">
        <v>3954</v>
      </c>
    </row>
    <row r="72" spans="1:37" ht="15" customHeight="1" x14ac:dyDescent="0.2">
      <c r="A72" s="7" t="s">
        <v>3898</v>
      </c>
      <c r="B72" s="7">
        <v>7470776</v>
      </c>
      <c r="C72" s="8">
        <v>1</v>
      </c>
      <c r="D72" s="8">
        <v>890162118</v>
      </c>
      <c r="E72" s="8" t="str">
        <f t="shared" ref="E72:E98" si="7">CONCATENATE(D72,33)</f>
        <v>89016211833</v>
      </c>
      <c r="F72" s="8" t="s">
        <v>988</v>
      </c>
      <c r="G72" s="8">
        <v>1</v>
      </c>
      <c r="H72" s="8">
        <v>20250401</v>
      </c>
      <c r="I72" s="8" t="str">
        <f t="shared" si="5"/>
        <v>4/1/2025</v>
      </c>
      <c r="J72" s="8">
        <v>20240101</v>
      </c>
      <c r="K72" s="8" t="str">
        <f t="shared" si="6"/>
        <v>1/1/2024</v>
      </c>
      <c r="L72" s="8" t="s">
        <v>198</v>
      </c>
      <c r="M72" s="8">
        <v>15</v>
      </c>
      <c r="N72" s="8">
        <v>15</v>
      </c>
      <c r="O72" s="6" t="s">
        <v>3950</v>
      </c>
      <c r="AK72" s="12"/>
    </row>
    <row r="73" spans="1:37" ht="15" customHeight="1" x14ac:dyDescent="0.2">
      <c r="A73" s="7" t="s">
        <v>3898</v>
      </c>
      <c r="B73" s="7">
        <v>7470776</v>
      </c>
      <c r="C73" s="8">
        <v>1</v>
      </c>
      <c r="D73" s="8">
        <v>890162118</v>
      </c>
      <c r="E73" s="8" t="str">
        <f t="shared" si="7"/>
        <v>89016211833</v>
      </c>
      <c r="F73" s="8" t="s">
        <v>988</v>
      </c>
      <c r="G73" s="8">
        <v>1</v>
      </c>
      <c r="H73" s="8">
        <v>20250301</v>
      </c>
      <c r="I73" s="8" t="str">
        <f t="shared" si="5"/>
        <v>3/1/2025</v>
      </c>
      <c r="J73" s="8">
        <v>20240101</v>
      </c>
      <c r="K73" s="8" t="str">
        <f t="shared" si="6"/>
        <v>1/1/2024</v>
      </c>
      <c r="L73" s="8" t="s">
        <v>198</v>
      </c>
      <c r="M73" s="8">
        <v>15</v>
      </c>
      <c r="N73" s="8">
        <v>15</v>
      </c>
      <c r="O73" s="6" t="s">
        <v>3950</v>
      </c>
    </row>
    <row r="74" spans="1:37" ht="15" customHeight="1" x14ac:dyDescent="0.2">
      <c r="A74" s="7" t="s">
        <v>3898</v>
      </c>
      <c r="B74" s="7">
        <v>7470776</v>
      </c>
      <c r="C74" s="8">
        <v>1</v>
      </c>
      <c r="D74" s="8">
        <v>920858983</v>
      </c>
      <c r="E74" s="8" t="str">
        <f t="shared" si="7"/>
        <v>92085898333</v>
      </c>
      <c r="F74" s="8" t="s">
        <v>1021</v>
      </c>
      <c r="G74" s="8">
        <v>1</v>
      </c>
      <c r="H74" s="8">
        <v>20250401</v>
      </c>
      <c r="I74" s="8" t="str">
        <f t="shared" si="5"/>
        <v>4/1/2025</v>
      </c>
      <c r="J74" s="8">
        <v>20240101</v>
      </c>
      <c r="K74" s="8" t="str">
        <f t="shared" si="6"/>
        <v>1/1/2024</v>
      </c>
      <c r="L74" s="8" t="s">
        <v>198</v>
      </c>
      <c r="M74" s="8">
        <v>15</v>
      </c>
      <c r="N74" s="8">
        <v>15</v>
      </c>
      <c r="O74" s="6" t="s">
        <v>3950</v>
      </c>
    </row>
    <row r="75" spans="1:37" ht="15" customHeight="1" x14ac:dyDescent="0.2">
      <c r="A75" s="7" t="s">
        <v>3898</v>
      </c>
      <c r="B75" s="7">
        <v>7470776</v>
      </c>
      <c r="C75" s="8">
        <v>1</v>
      </c>
      <c r="D75" s="8">
        <v>921027219</v>
      </c>
      <c r="E75" s="8" t="str">
        <f t="shared" si="7"/>
        <v>92102721933</v>
      </c>
      <c r="F75" s="8" t="s">
        <v>1036</v>
      </c>
      <c r="G75" s="8">
        <v>1</v>
      </c>
      <c r="H75" s="8">
        <v>20250401</v>
      </c>
      <c r="I75" s="8" t="str">
        <f t="shared" si="5"/>
        <v>4/1/2025</v>
      </c>
      <c r="J75" s="8">
        <v>20170101</v>
      </c>
      <c r="K75" s="8" t="str">
        <f t="shared" si="6"/>
        <v>1/1/2017</v>
      </c>
      <c r="L75" s="8" t="s">
        <v>198</v>
      </c>
      <c r="M75" s="8">
        <v>15</v>
      </c>
      <c r="N75" s="8">
        <v>15</v>
      </c>
      <c r="O75" s="6" t="s">
        <v>3950</v>
      </c>
    </row>
    <row r="76" spans="1:37" ht="15" customHeight="1" x14ac:dyDescent="0.2">
      <c r="A76" s="7" t="s">
        <v>3898</v>
      </c>
      <c r="B76" s="7">
        <v>7470776</v>
      </c>
      <c r="C76" s="8">
        <v>1</v>
      </c>
      <c r="D76" s="8">
        <v>921034873</v>
      </c>
      <c r="E76" s="8" t="str">
        <f t="shared" si="7"/>
        <v>92103487333</v>
      </c>
      <c r="F76" s="8" t="s">
        <v>1040</v>
      </c>
      <c r="G76" s="8">
        <v>1</v>
      </c>
      <c r="H76" s="8">
        <v>20250401</v>
      </c>
      <c r="I76" s="8" t="str">
        <f t="shared" si="5"/>
        <v>4/1/2025</v>
      </c>
      <c r="J76" s="8">
        <v>20170101</v>
      </c>
      <c r="K76" s="8" t="str">
        <f t="shared" si="6"/>
        <v>1/1/2017</v>
      </c>
      <c r="L76" s="8" t="s">
        <v>198</v>
      </c>
      <c r="M76" s="8">
        <v>15</v>
      </c>
      <c r="N76" s="8">
        <v>15</v>
      </c>
      <c r="O76" s="6" t="s">
        <v>3950</v>
      </c>
    </row>
    <row r="77" spans="1:37" ht="15" customHeight="1" x14ac:dyDescent="0.2">
      <c r="A77" s="7" t="s">
        <v>3898</v>
      </c>
      <c r="B77" s="7">
        <v>7470776</v>
      </c>
      <c r="C77" s="8">
        <v>1</v>
      </c>
      <c r="D77" s="8">
        <v>921285702</v>
      </c>
      <c r="E77" s="8" t="str">
        <f t="shared" si="7"/>
        <v>92128570233</v>
      </c>
      <c r="F77" s="8" t="s">
        <v>1058</v>
      </c>
      <c r="G77" s="8">
        <v>1</v>
      </c>
      <c r="H77" s="8">
        <v>20250401</v>
      </c>
      <c r="I77" s="8" t="str">
        <f t="shared" si="5"/>
        <v>4/1/2025</v>
      </c>
      <c r="J77" s="8">
        <v>20240201</v>
      </c>
      <c r="K77" s="8" t="str">
        <f t="shared" si="6"/>
        <v>2/1/2024</v>
      </c>
      <c r="L77" s="8" t="s">
        <v>198</v>
      </c>
      <c r="M77" s="8">
        <v>15</v>
      </c>
      <c r="N77" s="8">
        <v>15</v>
      </c>
      <c r="O77" s="6" t="s">
        <v>3950</v>
      </c>
    </row>
    <row r="78" spans="1:37" ht="15" customHeight="1" x14ac:dyDescent="0.2">
      <c r="A78" s="7" t="s">
        <v>3898</v>
      </c>
      <c r="B78" s="7">
        <v>7470776</v>
      </c>
      <c r="C78" s="8">
        <v>1</v>
      </c>
      <c r="D78" s="8">
        <v>921409379</v>
      </c>
      <c r="E78" s="8" t="str">
        <f t="shared" si="7"/>
        <v>92140937933</v>
      </c>
      <c r="F78" s="8" t="s">
        <v>1076</v>
      </c>
      <c r="G78" s="8">
        <v>1</v>
      </c>
      <c r="H78" s="8">
        <v>20250401</v>
      </c>
      <c r="I78" s="8" t="str">
        <f t="shared" si="5"/>
        <v>4/1/2025</v>
      </c>
      <c r="J78" s="8">
        <v>20180201</v>
      </c>
      <c r="K78" s="8" t="str">
        <f t="shared" si="6"/>
        <v>2/1/2018</v>
      </c>
      <c r="L78" s="8" t="s">
        <v>198</v>
      </c>
      <c r="M78" s="8">
        <v>15</v>
      </c>
      <c r="N78" s="8">
        <v>15</v>
      </c>
      <c r="O78" s="6" t="s">
        <v>3950</v>
      </c>
    </row>
    <row r="79" spans="1:37" ht="15" customHeight="1" x14ac:dyDescent="0.2">
      <c r="A79" s="7" t="s">
        <v>3898</v>
      </c>
      <c r="B79" s="7">
        <v>7470776</v>
      </c>
      <c r="C79" s="8">
        <v>1</v>
      </c>
      <c r="D79" s="8">
        <v>921689866</v>
      </c>
      <c r="E79" s="8" t="str">
        <f t="shared" si="7"/>
        <v>92168986633</v>
      </c>
      <c r="F79" s="8" t="s">
        <v>1170</v>
      </c>
      <c r="G79" s="8">
        <v>1</v>
      </c>
      <c r="H79" s="8">
        <v>20250401</v>
      </c>
      <c r="I79" s="8" t="str">
        <f t="shared" si="5"/>
        <v>4/1/2025</v>
      </c>
      <c r="J79" s="8">
        <v>20240101</v>
      </c>
      <c r="K79" s="8" t="str">
        <f t="shared" si="6"/>
        <v>1/1/2024</v>
      </c>
      <c r="L79" s="8" t="s">
        <v>198</v>
      </c>
      <c r="M79" s="8">
        <v>15</v>
      </c>
      <c r="N79" s="8">
        <v>15</v>
      </c>
      <c r="O79" s="6" t="s">
        <v>3950</v>
      </c>
    </row>
    <row r="80" spans="1:37" ht="15" customHeight="1" x14ac:dyDescent="0.2">
      <c r="A80" s="7" t="s">
        <v>3898</v>
      </c>
      <c r="B80" s="7">
        <v>7470776</v>
      </c>
      <c r="C80" s="8">
        <v>1</v>
      </c>
      <c r="D80" s="8">
        <v>921702424</v>
      </c>
      <c r="E80" s="8" t="str">
        <f t="shared" si="7"/>
        <v>92170242433</v>
      </c>
      <c r="F80" s="8" t="s">
        <v>1176</v>
      </c>
      <c r="G80" s="8">
        <v>1</v>
      </c>
      <c r="H80" s="8">
        <v>20250401</v>
      </c>
      <c r="I80" s="8" t="str">
        <f t="shared" si="5"/>
        <v>4/1/2025</v>
      </c>
      <c r="J80" s="8">
        <v>20240201</v>
      </c>
      <c r="K80" s="8" t="str">
        <f t="shared" si="6"/>
        <v>2/1/2024</v>
      </c>
      <c r="L80" s="8" t="s">
        <v>198</v>
      </c>
      <c r="M80" s="8">
        <v>15</v>
      </c>
      <c r="N80" s="8">
        <v>15</v>
      </c>
      <c r="O80" s="6" t="s">
        <v>3950</v>
      </c>
    </row>
    <row r="81" spans="1:37" ht="15" customHeight="1" x14ac:dyDescent="0.2">
      <c r="A81" s="7" t="s">
        <v>3898</v>
      </c>
      <c r="B81" s="7">
        <v>7470776</v>
      </c>
      <c r="C81" s="8">
        <v>2</v>
      </c>
      <c r="D81" s="8">
        <v>921184910</v>
      </c>
      <c r="E81" s="8" t="str">
        <f t="shared" si="7"/>
        <v>92118491033</v>
      </c>
      <c r="F81" s="8" t="s">
        <v>1054</v>
      </c>
      <c r="G81" s="8">
        <v>1</v>
      </c>
      <c r="H81" s="8">
        <v>20250401</v>
      </c>
      <c r="I81" s="8" t="str">
        <f t="shared" si="5"/>
        <v>4/1/2025</v>
      </c>
      <c r="J81" s="8">
        <v>20240101</v>
      </c>
      <c r="K81" s="8" t="str">
        <f t="shared" si="6"/>
        <v>1/1/2024</v>
      </c>
      <c r="L81" s="8" t="s">
        <v>198</v>
      </c>
      <c r="M81" s="8">
        <v>15</v>
      </c>
      <c r="N81" s="8">
        <v>30</v>
      </c>
      <c r="O81" s="6" t="s">
        <v>3950</v>
      </c>
      <c r="P81" s="6" t="s">
        <v>3952</v>
      </c>
    </row>
    <row r="82" spans="1:37" ht="15" customHeight="1" x14ac:dyDescent="0.2">
      <c r="A82" s="7" t="s">
        <v>3898</v>
      </c>
      <c r="B82" s="7">
        <v>7470776</v>
      </c>
      <c r="C82" s="8">
        <v>3</v>
      </c>
      <c r="D82" s="8">
        <v>921373822</v>
      </c>
      <c r="E82" s="8" t="str">
        <f t="shared" si="7"/>
        <v>92137382233</v>
      </c>
      <c r="F82" s="8" t="s">
        <v>1071</v>
      </c>
      <c r="G82" s="8">
        <v>1</v>
      </c>
      <c r="H82" s="8">
        <v>20250401</v>
      </c>
      <c r="I82" s="8" t="str">
        <f t="shared" si="5"/>
        <v>4/1/2025</v>
      </c>
      <c r="J82" s="8">
        <v>20240101</v>
      </c>
      <c r="K82" s="8" t="str">
        <f t="shared" si="6"/>
        <v>1/1/2024</v>
      </c>
      <c r="L82" s="8" t="s">
        <v>198</v>
      </c>
      <c r="M82" s="8">
        <v>15</v>
      </c>
      <c r="N82" s="8">
        <v>45</v>
      </c>
      <c r="O82" s="6" t="s">
        <v>3950</v>
      </c>
      <c r="P82" s="6" t="s">
        <v>3953</v>
      </c>
    </row>
    <row r="83" spans="1:37" ht="15" customHeight="1" x14ac:dyDescent="0.2">
      <c r="A83" s="7" t="s">
        <v>3898</v>
      </c>
      <c r="B83" s="7">
        <v>7470776</v>
      </c>
      <c r="C83" s="8">
        <v>1</v>
      </c>
      <c r="D83" s="8">
        <v>920981538</v>
      </c>
      <c r="E83" s="8" t="str">
        <f t="shared" si="7"/>
        <v>92098153833</v>
      </c>
      <c r="F83" s="8" t="s">
        <v>1027</v>
      </c>
      <c r="G83" s="8">
        <v>1</v>
      </c>
      <c r="H83" s="8">
        <v>20250401</v>
      </c>
      <c r="I83" s="8" t="str">
        <f t="shared" si="5"/>
        <v>4/1/2025</v>
      </c>
      <c r="J83" s="8">
        <v>20250101</v>
      </c>
      <c r="K83" s="8" t="str">
        <f t="shared" si="6"/>
        <v>1/1/2025</v>
      </c>
      <c r="L83" s="8" t="s">
        <v>198</v>
      </c>
      <c r="M83" s="8">
        <v>20</v>
      </c>
      <c r="N83" s="8">
        <v>20</v>
      </c>
      <c r="O83" s="6" t="s">
        <v>3950</v>
      </c>
      <c r="AK83" s="12"/>
    </row>
    <row r="84" spans="1:37" ht="15" customHeight="1" x14ac:dyDescent="0.2">
      <c r="A84" s="7" t="s">
        <v>3898</v>
      </c>
      <c r="B84" s="7">
        <v>7470776</v>
      </c>
      <c r="C84" s="8">
        <v>1</v>
      </c>
      <c r="D84" s="8">
        <v>921395518</v>
      </c>
      <c r="E84" s="8" t="str">
        <f t="shared" si="7"/>
        <v>92139551833</v>
      </c>
      <c r="F84" s="8" t="s">
        <v>1074</v>
      </c>
      <c r="G84" s="8">
        <v>1</v>
      </c>
      <c r="H84" s="8">
        <v>20250401</v>
      </c>
      <c r="I84" s="8" t="str">
        <f t="shared" si="5"/>
        <v>4/1/2025</v>
      </c>
      <c r="J84" s="8">
        <v>20250101</v>
      </c>
      <c r="K84" s="8" t="str">
        <f t="shared" si="6"/>
        <v>1/1/2025</v>
      </c>
      <c r="L84" s="8" t="s">
        <v>198</v>
      </c>
      <c r="M84" s="8">
        <v>20</v>
      </c>
      <c r="N84" s="8">
        <v>20</v>
      </c>
      <c r="O84" s="6" t="s">
        <v>3950</v>
      </c>
      <c r="AK84" s="12"/>
    </row>
    <row r="85" spans="1:37" ht="15" customHeight="1" x14ac:dyDescent="0.2">
      <c r="A85" s="7" t="s">
        <v>3898</v>
      </c>
      <c r="B85" s="7">
        <v>7470776</v>
      </c>
      <c r="C85" s="8">
        <v>1</v>
      </c>
      <c r="D85" s="8">
        <v>921727315</v>
      </c>
      <c r="E85" s="8" t="str">
        <f t="shared" si="7"/>
        <v>92172731533</v>
      </c>
      <c r="F85" s="8" t="s">
        <v>1194</v>
      </c>
      <c r="G85" s="8">
        <v>1</v>
      </c>
      <c r="H85" s="8">
        <v>20250401</v>
      </c>
      <c r="I85" s="8" t="str">
        <f t="shared" si="5"/>
        <v>4/1/2025</v>
      </c>
      <c r="J85" s="8">
        <v>20240701</v>
      </c>
      <c r="K85" s="8" t="str">
        <f t="shared" si="6"/>
        <v>7/1/2024</v>
      </c>
      <c r="L85" s="8" t="s">
        <v>198</v>
      </c>
      <c r="M85" s="8">
        <v>20</v>
      </c>
      <c r="N85" s="8">
        <v>20</v>
      </c>
      <c r="O85" s="6" t="s">
        <v>3950</v>
      </c>
      <c r="AK85" s="12"/>
    </row>
    <row r="86" spans="1:37" ht="15" customHeight="1" x14ac:dyDescent="0.2">
      <c r="A86" s="7" t="s">
        <v>3898</v>
      </c>
      <c r="B86" s="7">
        <v>7470776</v>
      </c>
      <c r="C86" s="8">
        <v>1</v>
      </c>
      <c r="D86" s="8">
        <v>921735744</v>
      </c>
      <c r="E86" s="8" t="str">
        <f t="shared" si="7"/>
        <v>92173574433</v>
      </c>
      <c r="F86" s="8" t="s">
        <v>1207</v>
      </c>
      <c r="G86" s="8">
        <v>1</v>
      </c>
      <c r="H86" s="8">
        <v>20250401</v>
      </c>
      <c r="I86" s="8" t="str">
        <f t="shared" si="5"/>
        <v>4/1/2025</v>
      </c>
      <c r="J86" s="8">
        <v>20240901</v>
      </c>
      <c r="K86" s="8" t="str">
        <f t="shared" si="6"/>
        <v>9/1/2024</v>
      </c>
      <c r="L86" s="8" t="s">
        <v>198</v>
      </c>
      <c r="M86" s="8">
        <v>20</v>
      </c>
      <c r="N86" s="8">
        <v>20</v>
      </c>
      <c r="O86" s="6" t="s">
        <v>3950</v>
      </c>
    </row>
    <row r="87" spans="1:37" ht="15" customHeight="1" x14ac:dyDescent="0.2">
      <c r="A87" s="7" t="s">
        <v>3898</v>
      </c>
      <c r="B87" s="7">
        <v>7470776</v>
      </c>
      <c r="C87" s="8">
        <v>1</v>
      </c>
      <c r="D87" s="8">
        <v>921747803</v>
      </c>
      <c r="E87" s="8" t="str">
        <f t="shared" si="7"/>
        <v>92174780333</v>
      </c>
      <c r="F87" s="8" t="s">
        <v>1236</v>
      </c>
      <c r="G87" s="8">
        <v>1</v>
      </c>
      <c r="H87" s="8">
        <v>20250401</v>
      </c>
      <c r="I87" s="8" t="str">
        <f t="shared" si="5"/>
        <v>4/1/2025</v>
      </c>
      <c r="J87" s="8">
        <v>20250101</v>
      </c>
      <c r="K87" s="8" t="str">
        <f t="shared" si="6"/>
        <v>1/1/2025</v>
      </c>
      <c r="L87" s="8" t="s">
        <v>198</v>
      </c>
      <c r="M87" s="8">
        <v>20</v>
      </c>
      <c r="N87" s="8">
        <v>20</v>
      </c>
      <c r="O87" s="6" t="s">
        <v>3950</v>
      </c>
    </row>
    <row r="88" spans="1:37" ht="15" customHeight="1" x14ac:dyDescent="0.2">
      <c r="A88" s="7" t="s">
        <v>3898</v>
      </c>
      <c r="B88" s="7">
        <v>7470776</v>
      </c>
      <c r="C88" s="8">
        <v>1</v>
      </c>
      <c r="D88" s="8">
        <v>921748118</v>
      </c>
      <c r="E88" s="8" t="str">
        <f t="shared" si="7"/>
        <v>92174811833</v>
      </c>
      <c r="F88" s="8" t="s">
        <v>1238</v>
      </c>
      <c r="G88" s="8">
        <v>1</v>
      </c>
      <c r="H88" s="8">
        <v>20250401</v>
      </c>
      <c r="I88" s="8" t="str">
        <f t="shared" si="5"/>
        <v>4/1/2025</v>
      </c>
      <c r="J88" s="8">
        <v>20250101</v>
      </c>
      <c r="K88" s="8" t="str">
        <f t="shared" si="6"/>
        <v>1/1/2025</v>
      </c>
      <c r="L88" s="8" t="s">
        <v>198</v>
      </c>
      <c r="M88" s="8">
        <v>20</v>
      </c>
      <c r="N88" s="8">
        <v>20</v>
      </c>
      <c r="O88" s="6" t="s">
        <v>3950</v>
      </c>
      <c r="AK88" s="12"/>
    </row>
    <row r="89" spans="1:37" ht="15" customHeight="1" x14ac:dyDescent="0.2">
      <c r="A89" s="7" t="s">
        <v>3898</v>
      </c>
      <c r="B89" s="7">
        <v>7470776</v>
      </c>
      <c r="C89" s="8">
        <v>1</v>
      </c>
      <c r="D89" s="8">
        <v>921749422</v>
      </c>
      <c r="E89" s="8" t="str">
        <f t="shared" si="7"/>
        <v>92174942233</v>
      </c>
      <c r="F89" s="8" t="s">
        <v>1242</v>
      </c>
      <c r="G89" s="8">
        <v>1</v>
      </c>
      <c r="H89" s="8">
        <v>20250401</v>
      </c>
      <c r="I89" s="8" t="str">
        <f t="shared" si="5"/>
        <v>4/1/2025</v>
      </c>
      <c r="J89" s="8">
        <v>20250101</v>
      </c>
      <c r="K89" s="8" t="str">
        <f t="shared" si="6"/>
        <v>1/1/2025</v>
      </c>
      <c r="L89" s="8" t="s">
        <v>198</v>
      </c>
      <c r="M89" s="8">
        <v>20</v>
      </c>
      <c r="N89" s="8">
        <v>20</v>
      </c>
      <c r="O89" s="6" t="s">
        <v>3950</v>
      </c>
      <c r="AK89" s="12"/>
    </row>
    <row r="90" spans="1:37" ht="15" customHeight="1" x14ac:dyDescent="0.2">
      <c r="A90" s="7" t="s">
        <v>3898</v>
      </c>
      <c r="B90" s="7">
        <v>7470776</v>
      </c>
      <c r="C90" s="8">
        <v>1</v>
      </c>
      <c r="D90" s="8">
        <v>921758961</v>
      </c>
      <c r="E90" s="8" t="str">
        <f t="shared" si="7"/>
        <v>92175896133</v>
      </c>
      <c r="F90" s="8" t="s">
        <v>1258</v>
      </c>
      <c r="G90" s="8">
        <v>1</v>
      </c>
      <c r="H90" s="8">
        <v>20250401</v>
      </c>
      <c r="I90" s="8" t="str">
        <f t="shared" si="5"/>
        <v>4/1/2025</v>
      </c>
      <c r="J90" s="8">
        <v>20250101</v>
      </c>
      <c r="K90" s="8" t="str">
        <f t="shared" si="6"/>
        <v>1/1/2025</v>
      </c>
      <c r="L90" s="8" t="s">
        <v>198</v>
      </c>
      <c r="M90" s="8">
        <v>20</v>
      </c>
      <c r="N90" s="8">
        <v>20</v>
      </c>
      <c r="O90" s="6" t="s">
        <v>3950</v>
      </c>
    </row>
    <row r="91" spans="1:37" ht="15" customHeight="1" x14ac:dyDescent="0.2">
      <c r="A91" s="7" t="s">
        <v>3898</v>
      </c>
      <c r="B91" s="7">
        <v>7470776</v>
      </c>
      <c r="C91" s="8">
        <v>1</v>
      </c>
      <c r="D91" s="8">
        <v>921759094</v>
      </c>
      <c r="E91" s="8" t="str">
        <f t="shared" si="7"/>
        <v>92175909433</v>
      </c>
      <c r="F91" s="8" t="s">
        <v>1260</v>
      </c>
      <c r="G91" s="8">
        <v>1</v>
      </c>
      <c r="H91" s="8">
        <v>20250401</v>
      </c>
      <c r="I91" s="8" t="str">
        <f t="shared" si="5"/>
        <v>4/1/2025</v>
      </c>
      <c r="J91" s="8">
        <v>20250101</v>
      </c>
      <c r="K91" s="8" t="str">
        <f t="shared" si="6"/>
        <v>1/1/2025</v>
      </c>
      <c r="L91" s="8" t="s">
        <v>198</v>
      </c>
      <c r="M91" s="8">
        <v>20</v>
      </c>
      <c r="N91" s="8">
        <v>20</v>
      </c>
      <c r="O91" s="6" t="s">
        <v>3950</v>
      </c>
    </row>
    <row r="92" spans="1:37" ht="15" customHeight="1" x14ac:dyDescent="0.2">
      <c r="A92" s="7" t="s">
        <v>3898</v>
      </c>
      <c r="B92" s="7">
        <v>7470776</v>
      </c>
      <c r="C92" s="8">
        <v>2</v>
      </c>
      <c r="D92" s="8">
        <v>921172606</v>
      </c>
      <c r="E92" s="8" t="str">
        <f t="shared" si="7"/>
        <v>92117260633</v>
      </c>
      <c r="F92" s="8" t="s">
        <v>1050</v>
      </c>
      <c r="G92" s="8">
        <v>1</v>
      </c>
      <c r="H92" s="8">
        <v>20250401</v>
      </c>
      <c r="I92" s="8" t="str">
        <f t="shared" si="5"/>
        <v>4/1/2025</v>
      </c>
      <c r="J92" s="8">
        <v>20250101</v>
      </c>
      <c r="K92" s="8" t="str">
        <f t="shared" si="6"/>
        <v>1/1/2025</v>
      </c>
      <c r="L92" s="8" t="s">
        <v>198</v>
      </c>
      <c r="M92" s="8">
        <v>20</v>
      </c>
      <c r="N92" s="8">
        <v>40</v>
      </c>
      <c r="O92" s="6" t="s">
        <v>3950</v>
      </c>
      <c r="P92" s="6" t="s">
        <v>3952</v>
      </c>
    </row>
    <row r="93" spans="1:37" ht="15" customHeight="1" x14ac:dyDescent="0.2">
      <c r="A93" s="7" t="s">
        <v>3898</v>
      </c>
      <c r="B93" s="7">
        <v>7470776</v>
      </c>
      <c r="C93" s="8">
        <v>2</v>
      </c>
      <c r="D93" s="8">
        <v>921179348</v>
      </c>
      <c r="E93" s="8" t="str">
        <f t="shared" si="7"/>
        <v>92117934833</v>
      </c>
      <c r="F93" s="8" t="s">
        <v>1052</v>
      </c>
      <c r="G93" s="8">
        <v>1</v>
      </c>
      <c r="H93" s="8">
        <v>20250401</v>
      </c>
      <c r="I93" s="8" t="str">
        <f t="shared" si="5"/>
        <v>4/1/2025</v>
      </c>
      <c r="J93" s="8">
        <v>20240901</v>
      </c>
      <c r="K93" s="8" t="str">
        <f t="shared" si="6"/>
        <v>9/1/2024</v>
      </c>
      <c r="L93" s="8" t="s">
        <v>198</v>
      </c>
      <c r="M93" s="8">
        <v>20</v>
      </c>
      <c r="N93" s="8">
        <v>40</v>
      </c>
      <c r="O93" s="6" t="s">
        <v>3950</v>
      </c>
      <c r="P93" s="6" t="s">
        <v>3952</v>
      </c>
    </row>
    <row r="94" spans="1:37" ht="15" customHeight="1" x14ac:dyDescent="0.2">
      <c r="A94" s="7" t="s">
        <v>3898</v>
      </c>
      <c r="B94" s="7">
        <v>7470776</v>
      </c>
      <c r="C94" s="8">
        <v>2</v>
      </c>
      <c r="D94" s="8">
        <v>921685824</v>
      </c>
      <c r="E94" s="8" t="str">
        <f t="shared" si="7"/>
        <v>92168582433</v>
      </c>
      <c r="F94" s="8" t="s">
        <v>1162</v>
      </c>
      <c r="G94" s="8">
        <v>1</v>
      </c>
      <c r="H94" s="8">
        <v>20250401</v>
      </c>
      <c r="I94" s="8" t="str">
        <f t="shared" si="5"/>
        <v>4/1/2025</v>
      </c>
      <c r="J94" s="8">
        <v>20240801</v>
      </c>
      <c r="K94" s="8" t="str">
        <f t="shared" si="6"/>
        <v>8/1/2024</v>
      </c>
      <c r="L94" s="8" t="s">
        <v>198</v>
      </c>
      <c r="M94" s="8">
        <v>20</v>
      </c>
      <c r="N94" s="8">
        <v>40</v>
      </c>
      <c r="O94" s="6" t="s">
        <v>3950</v>
      </c>
      <c r="P94" s="6" t="s">
        <v>3952</v>
      </c>
    </row>
    <row r="95" spans="1:37" ht="15" customHeight="1" x14ac:dyDescent="0.2">
      <c r="A95" s="7" t="s">
        <v>3898</v>
      </c>
      <c r="B95" s="7">
        <v>7470776</v>
      </c>
      <c r="C95" s="8">
        <v>2</v>
      </c>
      <c r="D95" s="8">
        <v>921752115</v>
      </c>
      <c r="E95" s="8" t="str">
        <f t="shared" si="7"/>
        <v>92175211533</v>
      </c>
      <c r="F95" s="8" t="s">
        <v>1252</v>
      </c>
      <c r="G95" s="8">
        <v>1</v>
      </c>
      <c r="H95" s="8">
        <v>20250401</v>
      </c>
      <c r="I95" s="8" t="str">
        <f t="shared" si="5"/>
        <v>4/1/2025</v>
      </c>
      <c r="J95" s="8">
        <v>20250101</v>
      </c>
      <c r="K95" s="8" t="str">
        <f t="shared" si="6"/>
        <v>1/1/2025</v>
      </c>
      <c r="L95" s="8" t="s">
        <v>198</v>
      </c>
      <c r="M95" s="8">
        <v>20</v>
      </c>
      <c r="N95" s="8">
        <v>40</v>
      </c>
      <c r="O95" s="6" t="s">
        <v>3950</v>
      </c>
      <c r="P95" s="6" t="s">
        <v>3952</v>
      </c>
    </row>
    <row r="96" spans="1:37" ht="15" customHeight="1" x14ac:dyDescent="0.2">
      <c r="A96" s="7" t="s">
        <v>3898</v>
      </c>
      <c r="B96" s="7">
        <v>7470776</v>
      </c>
      <c r="C96" s="8">
        <v>2</v>
      </c>
      <c r="D96" s="8">
        <v>921779731</v>
      </c>
      <c r="E96" s="8" t="str">
        <f t="shared" si="7"/>
        <v>92177973133</v>
      </c>
      <c r="F96" s="8" t="s">
        <v>1277</v>
      </c>
      <c r="G96" s="8">
        <v>1</v>
      </c>
      <c r="H96" s="8">
        <v>20250401</v>
      </c>
      <c r="I96" s="8" t="str">
        <f t="shared" si="5"/>
        <v>4/1/2025</v>
      </c>
      <c r="J96" s="8">
        <v>20250301</v>
      </c>
      <c r="K96" s="8" t="str">
        <f t="shared" si="6"/>
        <v>3/1/2025</v>
      </c>
      <c r="L96" s="8" t="s">
        <v>198</v>
      </c>
      <c r="M96" s="8">
        <v>20</v>
      </c>
      <c r="N96" s="8">
        <v>40</v>
      </c>
      <c r="O96" s="6" t="s">
        <v>3950</v>
      </c>
      <c r="P96" s="6" t="s">
        <v>3952</v>
      </c>
    </row>
    <row r="97" spans="1:16" ht="15" customHeight="1" x14ac:dyDescent="0.2">
      <c r="A97" s="7" t="s">
        <v>3898</v>
      </c>
      <c r="B97" s="7">
        <v>7470776</v>
      </c>
      <c r="C97" s="8">
        <v>3</v>
      </c>
      <c r="D97" s="8">
        <v>921755354</v>
      </c>
      <c r="E97" s="8" t="str">
        <f t="shared" si="7"/>
        <v>92175535433</v>
      </c>
      <c r="F97" s="8" t="s">
        <v>1254</v>
      </c>
      <c r="G97" s="8">
        <v>1</v>
      </c>
      <c r="H97" s="8">
        <v>20250401</v>
      </c>
      <c r="I97" s="8" t="str">
        <f t="shared" si="5"/>
        <v>4/1/2025</v>
      </c>
      <c r="J97" s="8">
        <v>20250101</v>
      </c>
      <c r="K97" s="8" t="str">
        <f t="shared" si="6"/>
        <v>1/1/2025</v>
      </c>
      <c r="L97" s="8" t="s">
        <v>198</v>
      </c>
      <c r="M97" s="8">
        <v>20</v>
      </c>
      <c r="N97" s="8">
        <v>60</v>
      </c>
      <c r="O97" s="6" t="s">
        <v>3950</v>
      </c>
      <c r="P97" s="6" t="s">
        <v>3953</v>
      </c>
    </row>
    <row r="98" spans="1:16" ht="15" customHeight="1" x14ac:dyDescent="0.2">
      <c r="A98" s="7" t="s">
        <v>3898</v>
      </c>
      <c r="B98" s="7">
        <v>7470776</v>
      </c>
      <c r="C98" s="8">
        <v>5</v>
      </c>
      <c r="D98" s="8">
        <v>921775120</v>
      </c>
      <c r="E98" s="8" t="str">
        <f t="shared" si="7"/>
        <v>92177512033</v>
      </c>
      <c r="F98" s="8" t="s">
        <v>1270</v>
      </c>
      <c r="G98" s="8">
        <v>1</v>
      </c>
      <c r="H98" s="8">
        <v>20250401</v>
      </c>
      <c r="I98" s="8" t="str">
        <f t="shared" si="5"/>
        <v>4/1/2025</v>
      </c>
      <c r="J98" s="8">
        <v>20250201</v>
      </c>
      <c r="K98" s="8" t="str">
        <f t="shared" si="6"/>
        <v>2/1/2025</v>
      </c>
      <c r="L98" s="8" t="s">
        <v>198</v>
      </c>
      <c r="M98" s="8">
        <v>20</v>
      </c>
      <c r="N98" s="8">
        <v>100</v>
      </c>
      <c r="O98" s="6" t="s">
        <v>3950</v>
      </c>
      <c r="P98" s="6" t="s">
        <v>3955</v>
      </c>
    </row>
    <row r="99" spans="1:16" ht="15" customHeight="1" x14ac:dyDescent="0.3">
      <c r="A99" s="7" t="s">
        <v>3898</v>
      </c>
      <c r="B99" s="7">
        <v>7470776</v>
      </c>
      <c r="C99" s="8">
        <v>1</v>
      </c>
      <c r="D99" s="8">
        <v>920832176</v>
      </c>
      <c r="E99" s="8" t="str">
        <f t="shared" ref="E99:E128" si="8">CONCATENATE(D99,44)</f>
        <v>92083217644</v>
      </c>
      <c r="F99" s="8" t="s">
        <v>1017</v>
      </c>
      <c r="G99" s="8">
        <v>1</v>
      </c>
      <c r="H99" s="8">
        <v>20250401</v>
      </c>
      <c r="I99" s="8" t="str">
        <f t="shared" si="5"/>
        <v>4/1/2025</v>
      </c>
      <c r="J99" s="8">
        <v>20220101</v>
      </c>
      <c r="K99" s="8" t="str">
        <f t="shared" si="6"/>
        <v>1/1/2022</v>
      </c>
      <c r="L99" s="8" t="s">
        <v>65</v>
      </c>
      <c r="M99" s="8">
        <v>25</v>
      </c>
      <c r="N99" s="8">
        <v>25</v>
      </c>
      <c r="O99" s="14" t="s">
        <v>3948</v>
      </c>
    </row>
    <row r="100" spans="1:16" ht="15" customHeight="1" x14ac:dyDescent="0.3">
      <c r="A100" s="7" t="s">
        <v>3898</v>
      </c>
      <c r="B100" s="7">
        <v>7470776</v>
      </c>
      <c r="C100" s="8">
        <v>1</v>
      </c>
      <c r="D100" s="8">
        <v>921014166</v>
      </c>
      <c r="E100" s="8" t="str">
        <f t="shared" si="8"/>
        <v>92101416644</v>
      </c>
      <c r="F100" s="8" t="s">
        <v>1029</v>
      </c>
      <c r="G100" s="8">
        <v>1</v>
      </c>
      <c r="H100" s="8">
        <v>20250401</v>
      </c>
      <c r="I100" s="8" t="str">
        <f t="shared" si="5"/>
        <v>4/1/2025</v>
      </c>
      <c r="J100" s="8">
        <v>20170101</v>
      </c>
      <c r="K100" s="8" t="str">
        <f t="shared" si="6"/>
        <v>1/1/2017</v>
      </c>
      <c r="L100" s="8" t="s">
        <v>65</v>
      </c>
      <c r="M100" s="8">
        <v>25</v>
      </c>
      <c r="N100" s="8">
        <v>25</v>
      </c>
      <c r="O100" s="14" t="s">
        <v>3948</v>
      </c>
    </row>
    <row r="101" spans="1:16" ht="15" customHeight="1" x14ac:dyDescent="0.3">
      <c r="A101" s="7" t="s">
        <v>3898</v>
      </c>
      <c r="B101" s="7">
        <v>7470776</v>
      </c>
      <c r="C101" s="8">
        <v>1</v>
      </c>
      <c r="D101" s="8">
        <v>921033394</v>
      </c>
      <c r="E101" s="8" t="str">
        <f t="shared" si="8"/>
        <v>92103339444</v>
      </c>
      <c r="F101" s="8" t="s">
        <v>1038</v>
      </c>
      <c r="G101" s="8">
        <v>1</v>
      </c>
      <c r="H101" s="8">
        <v>20250401</v>
      </c>
      <c r="I101" s="8" t="str">
        <f t="shared" si="5"/>
        <v>4/1/2025</v>
      </c>
      <c r="J101" s="8">
        <v>20230201</v>
      </c>
      <c r="K101" s="8" t="str">
        <f t="shared" si="6"/>
        <v>2/1/2023</v>
      </c>
      <c r="L101" s="8" t="s">
        <v>65</v>
      </c>
      <c r="M101" s="8">
        <v>25</v>
      </c>
      <c r="N101" s="8">
        <v>25</v>
      </c>
      <c r="O101" s="14" t="s">
        <v>3948</v>
      </c>
    </row>
    <row r="102" spans="1:16" ht="15" customHeight="1" x14ac:dyDescent="0.3">
      <c r="A102" s="7" t="s">
        <v>3898</v>
      </c>
      <c r="B102" s="7">
        <v>7470776</v>
      </c>
      <c r="C102" s="8">
        <v>1</v>
      </c>
      <c r="D102" s="8">
        <v>921434825</v>
      </c>
      <c r="E102" s="8" t="str">
        <f t="shared" si="8"/>
        <v>92143482544</v>
      </c>
      <c r="F102" s="8" t="s">
        <v>1083</v>
      </c>
      <c r="G102" s="8">
        <v>1</v>
      </c>
      <c r="H102" s="8">
        <v>20250401</v>
      </c>
      <c r="I102" s="8" t="str">
        <f t="shared" si="5"/>
        <v>4/1/2025</v>
      </c>
      <c r="J102" s="8">
        <v>20190101</v>
      </c>
      <c r="K102" s="8" t="str">
        <f t="shared" si="6"/>
        <v>1/1/2019</v>
      </c>
      <c r="L102" s="8" t="s">
        <v>65</v>
      </c>
      <c r="M102" s="8">
        <v>25</v>
      </c>
      <c r="N102" s="8">
        <v>25</v>
      </c>
      <c r="O102" s="14" t="s">
        <v>3948</v>
      </c>
    </row>
    <row r="103" spans="1:16" ht="15" customHeight="1" x14ac:dyDescent="0.3">
      <c r="A103" s="7" t="s">
        <v>3898</v>
      </c>
      <c r="B103" s="7">
        <v>7470776</v>
      </c>
      <c r="C103" s="8">
        <v>1</v>
      </c>
      <c r="D103" s="8">
        <v>921586372</v>
      </c>
      <c r="E103" s="8" t="str">
        <f t="shared" si="8"/>
        <v>92158637244</v>
      </c>
      <c r="F103" s="8" t="s">
        <v>1108</v>
      </c>
      <c r="G103" s="8">
        <v>1</v>
      </c>
      <c r="H103" s="8">
        <v>20250401</v>
      </c>
      <c r="I103" s="8" t="str">
        <f t="shared" si="5"/>
        <v>4/1/2025</v>
      </c>
      <c r="J103" s="8">
        <v>20211101</v>
      </c>
      <c r="K103" s="8" t="str">
        <f t="shared" si="6"/>
        <v>11/1/2021</v>
      </c>
      <c r="L103" s="8" t="s">
        <v>65</v>
      </c>
      <c r="M103" s="8">
        <v>25</v>
      </c>
      <c r="N103" s="8">
        <v>25</v>
      </c>
      <c r="O103" s="14" t="s">
        <v>3948</v>
      </c>
    </row>
    <row r="104" spans="1:16" ht="15" customHeight="1" x14ac:dyDescent="0.3">
      <c r="A104" s="7" t="s">
        <v>3898</v>
      </c>
      <c r="B104" s="7">
        <v>7470776</v>
      </c>
      <c r="C104" s="8">
        <v>1</v>
      </c>
      <c r="D104" s="8">
        <v>921626899</v>
      </c>
      <c r="E104" s="8" t="str">
        <f t="shared" si="8"/>
        <v>92162689944</v>
      </c>
      <c r="F104" s="8" t="s">
        <v>1136</v>
      </c>
      <c r="G104" s="8">
        <v>1</v>
      </c>
      <c r="H104" s="8">
        <v>20250401</v>
      </c>
      <c r="I104" s="8" t="str">
        <f t="shared" si="5"/>
        <v>4/1/2025</v>
      </c>
      <c r="J104" s="8">
        <v>20230101</v>
      </c>
      <c r="K104" s="8" t="str">
        <f t="shared" si="6"/>
        <v>1/1/2023</v>
      </c>
      <c r="L104" s="8" t="s">
        <v>65</v>
      </c>
      <c r="M104" s="8">
        <v>25</v>
      </c>
      <c r="N104" s="8">
        <v>25</v>
      </c>
      <c r="O104" s="14" t="s">
        <v>3948</v>
      </c>
    </row>
    <row r="105" spans="1:16" ht="15" customHeight="1" x14ac:dyDescent="0.3">
      <c r="A105" s="7" t="s">
        <v>3898</v>
      </c>
      <c r="B105" s="7">
        <v>7470776</v>
      </c>
      <c r="C105" s="8">
        <v>1</v>
      </c>
      <c r="D105" s="8">
        <v>921678630</v>
      </c>
      <c r="E105" s="8" t="str">
        <f t="shared" si="8"/>
        <v>92167863044</v>
      </c>
      <c r="F105" s="8" t="s">
        <v>1156</v>
      </c>
      <c r="G105" s="8">
        <v>1</v>
      </c>
      <c r="H105" s="8">
        <v>20250401</v>
      </c>
      <c r="I105" s="8" t="str">
        <f t="shared" si="5"/>
        <v>4/1/2025</v>
      </c>
      <c r="J105" s="8">
        <v>20240101</v>
      </c>
      <c r="K105" s="8" t="str">
        <f t="shared" si="6"/>
        <v>1/1/2024</v>
      </c>
      <c r="L105" s="8" t="s">
        <v>65</v>
      </c>
      <c r="M105" s="8">
        <v>25</v>
      </c>
      <c r="N105" s="8">
        <v>25</v>
      </c>
      <c r="O105" s="14" t="s">
        <v>3948</v>
      </c>
    </row>
    <row r="106" spans="1:16" ht="15" customHeight="1" x14ac:dyDescent="0.3">
      <c r="A106" s="7" t="s">
        <v>3898</v>
      </c>
      <c r="B106" s="7">
        <v>7470776</v>
      </c>
      <c r="C106" s="8">
        <v>1</v>
      </c>
      <c r="D106" s="8">
        <v>921688344</v>
      </c>
      <c r="E106" s="8" t="str">
        <f t="shared" si="8"/>
        <v>92168834444</v>
      </c>
      <c r="F106" s="8" t="s">
        <v>1168</v>
      </c>
      <c r="G106" s="8">
        <v>1</v>
      </c>
      <c r="H106" s="8">
        <v>20250401</v>
      </c>
      <c r="I106" s="8" t="str">
        <f t="shared" si="5"/>
        <v>4/1/2025</v>
      </c>
      <c r="J106" s="8">
        <v>20240101</v>
      </c>
      <c r="K106" s="8" t="str">
        <f t="shared" si="6"/>
        <v>1/1/2024</v>
      </c>
      <c r="L106" s="8" t="s">
        <v>65</v>
      </c>
      <c r="M106" s="8">
        <v>25</v>
      </c>
      <c r="N106" s="8">
        <v>25</v>
      </c>
      <c r="O106" s="14" t="s">
        <v>3948</v>
      </c>
    </row>
    <row r="107" spans="1:16" ht="15" customHeight="1" x14ac:dyDescent="0.3">
      <c r="A107" s="7" t="s">
        <v>3898</v>
      </c>
      <c r="B107" s="7">
        <v>7470776</v>
      </c>
      <c r="C107" s="8">
        <v>1</v>
      </c>
      <c r="D107" s="8">
        <v>921709144</v>
      </c>
      <c r="E107" s="8" t="str">
        <f t="shared" si="8"/>
        <v>92170914444</v>
      </c>
      <c r="F107" s="8" t="s">
        <v>1178</v>
      </c>
      <c r="G107" s="8">
        <v>1</v>
      </c>
      <c r="H107" s="8">
        <v>20250401</v>
      </c>
      <c r="I107" s="8" t="str">
        <f t="shared" si="5"/>
        <v>4/1/2025</v>
      </c>
      <c r="J107" s="8">
        <v>20240301</v>
      </c>
      <c r="K107" s="8" t="str">
        <f t="shared" si="6"/>
        <v>3/1/2024</v>
      </c>
      <c r="L107" s="8" t="s">
        <v>65</v>
      </c>
      <c r="M107" s="8">
        <v>25</v>
      </c>
      <c r="N107" s="8">
        <v>25</v>
      </c>
      <c r="O107" s="14" t="s">
        <v>3948</v>
      </c>
    </row>
    <row r="108" spans="1:16" ht="15" customHeight="1" x14ac:dyDescent="0.3">
      <c r="A108" s="7" t="s">
        <v>3898</v>
      </c>
      <c r="B108" s="7">
        <v>7470776</v>
      </c>
      <c r="C108" s="8">
        <v>2</v>
      </c>
      <c r="D108" s="8">
        <v>921611747</v>
      </c>
      <c r="E108" s="8" t="str">
        <f t="shared" si="8"/>
        <v>92161174744</v>
      </c>
      <c r="F108" s="8" t="s">
        <v>1116</v>
      </c>
      <c r="G108" s="8">
        <v>1</v>
      </c>
      <c r="H108" s="8">
        <v>20250401</v>
      </c>
      <c r="I108" s="8" t="str">
        <f t="shared" si="5"/>
        <v>4/1/2025</v>
      </c>
      <c r="J108" s="8">
        <v>20220501</v>
      </c>
      <c r="K108" s="8" t="str">
        <f t="shared" si="6"/>
        <v>5/1/2022</v>
      </c>
      <c r="L108" s="8" t="s">
        <v>65</v>
      </c>
      <c r="M108" s="8">
        <v>25</v>
      </c>
      <c r="N108" s="8">
        <v>50</v>
      </c>
      <c r="O108" s="14" t="s">
        <v>3948</v>
      </c>
      <c r="P108" s="6" t="s">
        <v>3952</v>
      </c>
    </row>
    <row r="109" spans="1:16" ht="15" customHeight="1" x14ac:dyDescent="0.3">
      <c r="A109" s="7" t="s">
        <v>3898</v>
      </c>
      <c r="B109" s="7">
        <v>7470776</v>
      </c>
      <c r="C109" s="8">
        <v>3</v>
      </c>
      <c r="D109" s="8">
        <v>921701950</v>
      </c>
      <c r="E109" s="8" t="str">
        <f t="shared" si="8"/>
        <v>92170195044</v>
      </c>
      <c r="F109" s="8" t="s">
        <v>1174</v>
      </c>
      <c r="G109" s="8">
        <v>1</v>
      </c>
      <c r="H109" s="8">
        <v>20250401</v>
      </c>
      <c r="I109" s="8" t="str">
        <f t="shared" si="5"/>
        <v>4/1/2025</v>
      </c>
      <c r="J109" s="8">
        <v>20240201</v>
      </c>
      <c r="K109" s="8" t="str">
        <f t="shared" si="6"/>
        <v>2/1/2024</v>
      </c>
      <c r="L109" s="8" t="s">
        <v>65</v>
      </c>
      <c r="M109" s="8">
        <v>25</v>
      </c>
      <c r="N109" s="8">
        <v>75</v>
      </c>
      <c r="O109" s="14" t="s">
        <v>3948</v>
      </c>
      <c r="P109" s="6" t="s">
        <v>3953</v>
      </c>
    </row>
    <row r="110" spans="1:16" ht="15" customHeight="1" x14ac:dyDescent="0.3">
      <c r="A110" s="7" t="s">
        <v>3898</v>
      </c>
      <c r="B110" s="7">
        <v>7470776</v>
      </c>
      <c r="C110" s="8">
        <v>1</v>
      </c>
      <c r="D110" s="8">
        <v>890198388</v>
      </c>
      <c r="E110" s="8" t="str">
        <f t="shared" si="8"/>
        <v>89019838844</v>
      </c>
      <c r="F110" s="8" t="s">
        <v>990</v>
      </c>
      <c r="G110" s="8">
        <v>1</v>
      </c>
      <c r="H110" s="8">
        <v>20250401</v>
      </c>
      <c r="I110" s="8" t="str">
        <f t="shared" si="5"/>
        <v>4/1/2025</v>
      </c>
      <c r="J110" s="8">
        <v>20250101</v>
      </c>
      <c r="K110" s="8" t="str">
        <f t="shared" si="6"/>
        <v>1/1/2025</v>
      </c>
      <c r="L110" s="8" t="s">
        <v>65</v>
      </c>
      <c r="M110" s="8">
        <v>30</v>
      </c>
      <c r="N110" s="8">
        <v>30</v>
      </c>
      <c r="O110" s="14" t="s">
        <v>3948</v>
      </c>
    </row>
    <row r="111" spans="1:16" ht="15" customHeight="1" x14ac:dyDescent="0.3">
      <c r="A111" s="7" t="s">
        <v>3898</v>
      </c>
      <c r="B111" s="7">
        <v>7470776</v>
      </c>
      <c r="C111" s="8">
        <v>1</v>
      </c>
      <c r="D111" s="8">
        <v>921063478</v>
      </c>
      <c r="E111" s="8" t="str">
        <f t="shared" si="8"/>
        <v>92106347844</v>
      </c>
      <c r="F111" s="8" t="s">
        <v>1046</v>
      </c>
      <c r="G111" s="8">
        <v>1</v>
      </c>
      <c r="H111" s="8">
        <v>20250401</v>
      </c>
      <c r="I111" s="8" t="str">
        <f t="shared" si="5"/>
        <v>4/1/2025</v>
      </c>
      <c r="J111" s="8">
        <v>20250201</v>
      </c>
      <c r="K111" s="8" t="str">
        <f t="shared" si="6"/>
        <v>2/1/2025</v>
      </c>
      <c r="L111" s="8" t="s">
        <v>65</v>
      </c>
      <c r="M111" s="8">
        <v>30</v>
      </c>
      <c r="N111" s="8">
        <v>30</v>
      </c>
      <c r="O111" s="14" t="s">
        <v>3948</v>
      </c>
    </row>
    <row r="112" spans="1:16" ht="15" customHeight="1" x14ac:dyDescent="0.3">
      <c r="A112" s="7" t="s">
        <v>3898</v>
      </c>
      <c r="B112" s="7">
        <v>7470776</v>
      </c>
      <c r="C112" s="8">
        <v>1</v>
      </c>
      <c r="D112" s="8">
        <v>921334668</v>
      </c>
      <c r="E112" s="8" t="str">
        <f t="shared" si="8"/>
        <v>92133466844</v>
      </c>
      <c r="F112" s="8" t="s">
        <v>1066</v>
      </c>
      <c r="G112" s="8">
        <v>1</v>
      </c>
      <c r="H112" s="8">
        <v>20250401</v>
      </c>
      <c r="I112" s="8" t="str">
        <f t="shared" si="5"/>
        <v>4/1/2025</v>
      </c>
      <c r="J112" s="8">
        <v>20250101</v>
      </c>
      <c r="K112" s="8" t="str">
        <f t="shared" si="6"/>
        <v>1/1/2025</v>
      </c>
      <c r="L112" s="8" t="s">
        <v>65</v>
      </c>
      <c r="M112" s="8">
        <v>30</v>
      </c>
      <c r="N112" s="8">
        <v>30</v>
      </c>
      <c r="O112" s="14" t="s">
        <v>3948</v>
      </c>
    </row>
    <row r="113" spans="1:37" ht="15" customHeight="1" x14ac:dyDescent="0.3">
      <c r="A113" s="7" t="s">
        <v>3898</v>
      </c>
      <c r="B113" s="7">
        <v>7470776</v>
      </c>
      <c r="C113" s="8">
        <v>1</v>
      </c>
      <c r="D113" s="8">
        <v>921428727</v>
      </c>
      <c r="E113" s="8" t="str">
        <f t="shared" si="8"/>
        <v>92142872744</v>
      </c>
      <c r="F113" s="8" t="s">
        <v>1081</v>
      </c>
      <c r="G113" s="8">
        <v>1</v>
      </c>
      <c r="H113" s="8">
        <v>20250401</v>
      </c>
      <c r="I113" s="8" t="str">
        <f t="shared" si="5"/>
        <v>4/1/2025</v>
      </c>
      <c r="J113" s="8">
        <v>20250101</v>
      </c>
      <c r="K113" s="8" t="str">
        <f t="shared" si="6"/>
        <v>1/1/2025</v>
      </c>
      <c r="L113" s="8" t="s">
        <v>65</v>
      </c>
      <c r="M113" s="8">
        <v>30</v>
      </c>
      <c r="N113" s="8">
        <v>30</v>
      </c>
      <c r="O113" s="14" t="s">
        <v>3948</v>
      </c>
    </row>
    <row r="114" spans="1:37" ht="15" customHeight="1" x14ac:dyDescent="0.3">
      <c r="A114" s="7" t="s">
        <v>3898</v>
      </c>
      <c r="B114" s="7">
        <v>7470776</v>
      </c>
      <c r="C114" s="8">
        <v>1</v>
      </c>
      <c r="D114" s="8">
        <v>921455757</v>
      </c>
      <c r="E114" s="8" t="str">
        <f t="shared" si="8"/>
        <v>92145575744</v>
      </c>
      <c r="F114" s="8" t="s">
        <v>1085</v>
      </c>
      <c r="G114" s="8">
        <v>1</v>
      </c>
      <c r="H114" s="8">
        <v>20250401</v>
      </c>
      <c r="I114" s="8" t="str">
        <f t="shared" si="5"/>
        <v>4/1/2025</v>
      </c>
      <c r="J114" s="8">
        <v>20250101</v>
      </c>
      <c r="K114" s="8" t="str">
        <f t="shared" si="6"/>
        <v>1/1/2025</v>
      </c>
      <c r="L114" s="8" t="s">
        <v>65</v>
      </c>
      <c r="M114" s="8">
        <v>30</v>
      </c>
      <c r="N114" s="8">
        <v>30</v>
      </c>
      <c r="O114" s="14" t="s">
        <v>3948</v>
      </c>
    </row>
    <row r="115" spans="1:37" ht="15" customHeight="1" x14ac:dyDescent="0.3">
      <c r="A115" s="7" t="s">
        <v>3898</v>
      </c>
      <c r="B115" s="7">
        <v>7470776</v>
      </c>
      <c r="C115" s="8">
        <v>1</v>
      </c>
      <c r="D115" s="8">
        <v>921686195</v>
      </c>
      <c r="E115" s="8" t="str">
        <f t="shared" si="8"/>
        <v>92168619544</v>
      </c>
      <c r="F115" s="8" t="s">
        <v>1164</v>
      </c>
      <c r="G115" s="8">
        <v>1</v>
      </c>
      <c r="H115" s="8">
        <v>20250401</v>
      </c>
      <c r="I115" s="8" t="str">
        <f t="shared" si="5"/>
        <v>4/1/2025</v>
      </c>
      <c r="J115" s="8">
        <v>20241001</v>
      </c>
      <c r="K115" s="8" t="str">
        <f t="shared" si="6"/>
        <v>10/1/2024</v>
      </c>
      <c r="L115" s="8" t="s">
        <v>65</v>
      </c>
      <c r="M115" s="8">
        <v>30</v>
      </c>
      <c r="N115" s="8">
        <v>30</v>
      </c>
      <c r="O115" s="14" t="s">
        <v>3948</v>
      </c>
    </row>
    <row r="116" spans="1:37" ht="15" customHeight="1" x14ac:dyDescent="0.3">
      <c r="A116" s="7" t="s">
        <v>3898</v>
      </c>
      <c r="B116" s="7">
        <v>7470776</v>
      </c>
      <c r="C116" s="8">
        <v>1</v>
      </c>
      <c r="D116" s="8">
        <v>921728029</v>
      </c>
      <c r="E116" s="8" t="str">
        <f t="shared" si="8"/>
        <v>92172802944</v>
      </c>
      <c r="F116" s="8" t="s">
        <v>1196</v>
      </c>
      <c r="G116" s="8">
        <v>1</v>
      </c>
      <c r="H116" s="8">
        <v>20250401</v>
      </c>
      <c r="I116" s="8" t="str">
        <f t="shared" si="5"/>
        <v>4/1/2025</v>
      </c>
      <c r="J116" s="8">
        <v>20240701</v>
      </c>
      <c r="K116" s="8" t="str">
        <f t="shared" si="6"/>
        <v>7/1/2024</v>
      </c>
      <c r="L116" s="8" t="s">
        <v>65</v>
      </c>
      <c r="M116" s="8">
        <v>30</v>
      </c>
      <c r="N116" s="8">
        <v>30</v>
      </c>
      <c r="O116" s="14" t="s">
        <v>3948</v>
      </c>
    </row>
    <row r="117" spans="1:37" ht="15" customHeight="1" x14ac:dyDescent="0.3">
      <c r="A117" s="7" t="s">
        <v>3898</v>
      </c>
      <c r="B117" s="7">
        <v>7470776</v>
      </c>
      <c r="C117" s="8">
        <v>1</v>
      </c>
      <c r="D117" s="8">
        <v>921731126</v>
      </c>
      <c r="E117" s="8" t="str">
        <f t="shared" si="8"/>
        <v>92173112644</v>
      </c>
      <c r="F117" s="8" t="s">
        <v>1202</v>
      </c>
      <c r="G117" s="8">
        <v>1</v>
      </c>
      <c r="H117" s="8">
        <v>20250401</v>
      </c>
      <c r="I117" s="8" t="str">
        <f t="shared" si="5"/>
        <v>4/1/2025</v>
      </c>
      <c r="J117" s="8">
        <v>20240801</v>
      </c>
      <c r="K117" s="8" t="str">
        <f t="shared" si="6"/>
        <v>8/1/2024</v>
      </c>
      <c r="L117" s="8" t="s">
        <v>65</v>
      </c>
      <c r="M117" s="8">
        <v>30</v>
      </c>
      <c r="N117" s="8">
        <v>30</v>
      </c>
      <c r="O117" s="14" t="s">
        <v>3948</v>
      </c>
    </row>
    <row r="118" spans="1:37" ht="15" customHeight="1" x14ac:dyDescent="0.3">
      <c r="A118" s="7" t="s">
        <v>3898</v>
      </c>
      <c r="B118" s="7">
        <v>7470776</v>
      </c>
      <c r="C118" s="8">
        <v>1</v>
      </c>
      <c r="D118" s="8">
        <v>921736838</v>
      </c>
      <c r="E118" s="8" t="str">
        <f t="shared" si="8"/>
        <v>92173683844</v>
      </c>
      <c r="F118" s="8" t="s">
        <v>1209</v>
      </c>
      <c r="G118" s="8">
        <v>1</v>
      </c>
      <c r="H118" s="8">
        <v>20250401</v>
      </c>
      <c r="I118" s="8" t="str">
        <f t="shared" si="5"/>
        <v>4/1/2025</v>
      </c>
      <c r="J118" s="8">
        <v>20240901</v>
      </c>
      <c r="K118" s="8" t="str">
        <f t="shared" si="6"/>
        <v>9/1/2024</v>
      </c>
      <c r="L118" s="8" t="s">
        <v>65</v>
      </c>
      <c r="M118" s="8">
        <v>30</v>
      </c>
      <c r="N118" s="8">
        <v>30</v>
      </c>
      <c r="O118" s="14" t="s">
        <v>3948</v>
      </c>
    </row>
    <row r="119" spans="1:37" ht="15" customHeight="1" x14ac:dyDescent="0.3">
      <c r="A119" s="7" t="s">
        <v>3898</v>
      </c>
      <c r="B119" s="7">
        <v>7470776</v>
      </c>
      <c r="C119" s="8">
        <v>1</v>
      </c>
      <c r="D119" s="8">
        <v>921740024</v>
      </c>
      <c r="E119" s="8" t="str">
        <f t="shared" si="8"/>
        <v>92174002444</v>
      </c>
      <c r="F119" s="8" t="s">
        <v>1217</v>
      </c>
      <c r="G119" s="8">
        <v>1</v>
      </c>
      <c r="H119" s="8">
        <v>20250401</v>
      </c>
      <c r="I119" s="8" t="str">
        <f t="shared" si="5"/>
        <v>4/1/2025</v>
      </c>
      <c r="J119" s="8">
        <v>20241001</v>
      </c>
      <c r="K119" s="8" t="str">
        <f t="shared" si="6"/>
        <v>10/1/2024</v>
      </c>
      <c r="L119" s="8" t="s">
        <v>65</v>
      </c>
      <c r="M119" s="8">
        <v>30</v>
      </c>
      <c r="N119" s="8">
        <v>30</v>
      </c>
      <c r="O119" s="14" t="s">
        <v>3948</v>
      </c>
    </row>
    <row r="120" spans="1:37" ht="15" customHeight="1" x14ac:dyDescent="0.3">
      <c r="A120" s="7" t="s">
        <v>3898</v>
      </c>
      <c r="B120" s="7">
        <v>7470776</v>
      </c>
      <c r="C120" s="8">
        <v>1</v>
      </c>
      <c r="D120" s="8">
        <v>921746655</v>
      </c>
      <c r="E120" s="8" t="str">
        <f t="shared" si="8"/>
        <v>92174665544</v>
      </c>
      <c r="F120" s="8" t="s">
        <v>1229</v>
      </c>
      <c r="G120" s="8">
        <v>1</v>
      </c>
      <c r="H120" s="8">
        <v>20250401</v>
      </c>
      <c r="I120" s="8" t="str">
        <f t="shared" si="5"/>
        <v>4/1/2025</v>
      </c>
      <c r="J120" s="8">
        <v>20250101</v>
      </c>
      <c r="K120" s="8" t="str">
        <f t="shared" si="6"/>
        <v>1/1/2025</v>
      </c>
      <c r="L120" s="8" t="s">
        <v>65</v>
      </c>
      <c r="M120" s="8">
        <v>30</v>
      </c>
      <c r="N120" s="8">
        <v>30</v>
      </c>
      <c r="O120" s="14" t="s">
        <v>3948</v>
      </c>
    </row>
    <row r="121" spans="1:37" ht="15" customHeight="1" x14ac:dyDescent="0.3">
      <c r="A121" s="7" t="s">
        <v>3898</v>
      </c>
      <c r="B121" s="7">
        <v>7470776</v>
      </c>
      <c r="C121" s="8">
        <v>1</v>
      </c>
      <c r="D121" s="8">
        <v>921748899</v>
      </c>
      <c r="E121" s="8" t="str">
        <f t="shared" si="8"/>
        <v>92174889944</v>
      </c>
      <c r="F121" s="8" t="s">
        <v>1240</v>
      </c>
      <c r="G121" s="8">
        <v>1</v>
      </c>
      <c r="H121" s="8">
        <v>20250401</v>
      </c>
      <c r="I121" s="8" t="str">
        <f t="shared" si="5"/>
        <v>4/1/2025</v>
      </c>
      <c r="J121" s="8">
        <v>20250101</v>
      </c>
      <c r="K121" s="8" t="str">
        <f t="shared" si="6"/>
        <v>1/1/2025</v>
      </c>
      <c r="L121" s="8" t="s">
        <v>65</v>
      </c>
      <c r="M121" s="8">
        <v>30</v>
      </c>
      <c r="N121" s="8">
        <v>30</v>
      </c>
      <c r="O121" s="14" t="s">
        <v>3948</v>
      </c>
    </row>
    <row r="122" spans="1:37" ht="15" customHeight="1" x14ac:dyDescent="0.3">
      <c r="A122" s="7" t="s">
        <v>3898</v>
      </c>
      <c r="B122" s="7">
        <v>7470776</v>
      </c>
      <c r="C122" s="8">
        <v>2</v>
      </c>
      <c r="D122" s="8">
        <v>920823109</v>
      </c>
      <c r="E122" s="8" t="str">
        <f t="shared" si="8"/>
        <v>92082310944</v>
      </c>
      <c r="F122" s="8" t="s">
        <v>1013</v>
      </c>
      <c r="G122" s="8">
        <v>1</v>
      </c>
      <c r="H122" s="8">
        <v>20250401</v>
      </c>
      <c r="I122" s="8" t="str">
        <f t="shared" si="5"/>
        <v>4/1/2025</v>
      </c>
      <c r="J122" s="8">
        <v>20250101</v>
      </c>
      <c r="K122" s="8" t="str">
        <f t="shared" si="6"/>
        <v>1/1/2025</v>
      </c>
      <c r="L122" s="8" t="s">
        <v>65</v>
      </c>
      <c r="M122" s="8">
        <v>30</v>
      </c>
      <c r="N122" s="8">
        <v>60</v>
      </c>
      <c r="O122" s="14" t="s">
        <v>3948</v>
      </c>
      <c r="P122" s="6" t="s">
        <v>3952</v>
      </c>
    </row>
    <row r="123" spans="1:37" ht="15" customHeight="1" x14ac:dyDescent="0.3">
      <c r="A123" s="7" t="s">
        <v>3898</v>
      </c>
      <c r="B123" s="7">
        <v>7470776</v>
      </c>
      <c r="C123" s="8">
        <v>2</v>
      </c>
      <c r="D123" s="8">
        <v>921715555</v>
      </c>
      <c r="E123" s="8" t="str">
        <f t="shared" si="8"/>
        <v>92171555544</v>
      </c>
      <c r="F123" s="8" t="s">
        <v>1180</v>
      </c>
      <c r="G123" s="8">
        <v>1</v>
      </c>
      <c r="H123" s="8">
        <v>20250401</v>
      </c>
      <c r="I123" s="8" t="str">
        <f t="shared" si="5"/>
        <v>4/1/2025</v>
      </c>
      <c r="J123" s="8">
        <v>20250101</v>
      </c>
      <c r="K123" s="8" t="str">
        <f t="shared" si="6"/>
        <v>1/1/2025</v>
      </c>
      <c r="L123" s="8" t="s">
        <v>65</v>
      </c>
      <c r="M123" s="8">
        <v>30</v>
      </c>
      <c r="N123" s="8">
        <v>60</v>
      </c>
      <c r="O123" s="14" t="s">
        <v>3948</v>
      </c>
      <c r="P123" s="6" t="s">
        <v>3952</v>
      </c>
    </row>
    <row r="124" spans="1:37" ht="15" customHeight="1" x14ac:dyDescent="0.3">
      <c r="A124" s="7" t="s">
        <v>3898</v>
      </c>
      <c r="B124" s="7">
        <v>7470776</v>
      </c>
      <c r="C124" s="8">
        <v>2</v>
      </c>
      <c r="D124" s="8">
        <v>921719797</v>
      </c>
      <c r="E124" s="8" t="str">
        <f t="shared" si="8"/>
        <v>92171979744</v>
      </c>
      <c r="F124" s="8" t="s">
        <v>1184</v>
      </c>
      <c r="G124" s="8">
        <v>1</v>
      </c>
      <c r="H124" s="8">
        <v>20250401</v>
      </c>
      <c r="I124" s="8" t="str">
        <f t="shared" si="5"/>
        <v>4/1/2025</v>
      </c>
      <c r="J124" s="8">
        <v>20240501</v>
      </c>
      <c r="K124" s="8" t="str">
        <f t="shared" si="6"/>
        <v>5/1/2024</v>
      </c>
      <c r="L124" s="8" t="s">
        <v>65</v>
      </c>
      <c r="M124" s="8">
        <v>30</v>
      </c>
      <c r="N124" s="8">
        <v>60</v>
      </c>
      <c r="O124" s="14" t="s">
        <v>3948</v>
      </c>
      <c r="P124" s="6" t="s">
        <v>3952</v>
      </c>
    </row>
    <row r="125" spans="1:37" ht="15" customHeight="1" x14ac:dyDescent="0.3">
      <c r="A125" s="7" t="s">
        <v>3898</v>
      </c>
      <c r="B125" s="7">
        <v>7470776</v>
      </c>
      <c r="C125" s="8">
        <v>2</v>
      </c>
      <c r="D125" s="8">
        <v>921773420</v>
      </c>
      <c r="E125" s="8" t="str">
        <f t="shared" si="8"/>
        <v>92177342044</v>
      </c>
      <c r="F125" s="8" t="s">
        <v>1264</v>
      </c>
      <c r="G125" s="8">
        <v>1</v>
      </c>
      <c r="H125" s="8">
        <v>20250401</v>
      </c>
      <c r="I125" s="8" t="str">
        <f t="shared" si="5"/>
        <v>4/1/2025</v>
      </c>
      <c r="J125" s="8">
        <v>20250201</v>
      </c>
      <c r="K125" s="8" t="str">
        <f t="shared" si="6"/>
        <v>2/1/2025</v>
      </c>
      <c r="L125" s="8" t="s">
        <v>65</v>
      </c>
      <c r="M125" s="8">
        <v>30</v>
      </c>
      <c r="N125" s="8">
        <v>60</v>
      </c>
      <c r="O125" s="14" t="s">
        <v>3948</v>
      </c>
      <c r="P125" s="6" t="s">
        <v>3952</v>
      </c>
    </row>
    <row r="126" spans="1:37" ht="15" customHeight="1" x14ac:dyDescent="0.3">
      <c r="A126" s="7" t="s">
        <v>3898</v>
      </c>
      <c r="B126" s="7">
        <v>7470776</v>
      </c>
      <c r="C126" s="8">
        <v>4</v>
      </c>
      <c r="D126" s="8">
        <v>921747592</v>
      </c>
      <c r="E126" s="8" t="str">
        <f t="shared" si="8"/>
        <v>92174759244</v>
      </c>
      <c r="F126" s="8" t="s">
        <v>1233</v>
      </c>
      <c r="G126" s="8">
        <v>1</v>
      </c>
      <c r="H126" s="8">
        <v>20250401</v>
      </c>
      <c r="I126" s="8" t="str">
        <f t="shared" si="5"/>
        <v>4/1/2025</v>
      </c>
      <c r="J126" s="8">
        <v>20250101</v>
      </c>
      <c r="K126" s="8" t="str">
        <f t="shared" si="6"/>
        <v>1/1/2025</v>
      </c>
      <c r="L126" s="8" t="s">
        <v>65</v>
      </c>
      <c r="M126" s="8">
        <v>30</v>
      </c>
      <c r="N126" s="8">
        <v>120</v>
      </c>
      <c r="O126" s="14" t="s">
        <v>3948</v>
      </c>
      <c r="P126" s="6" t="s">
        <v>3954</v>
      </c>
      <c r="AK126" s="12"/>
    </row>
    <row r="127" spans="1:37" ht="15" customHeight="1" x14ac:dyDescent="0.3">
      <c r="A127" s="7" t="s">
        <v>3898</v>
      </c>
      <c r="B127" s="7">
        <v>7470776</v>
      </c>
      <c r="C127" s="8">
        <v>4</v>
      </c>
      <c r="D127" s="8">
        <v>921755629</v>
      </c>
      <c r="E127" s="8" t="str">
        <f t="shared" si="8"/>
        <v>92175562944</v>
      </c>
      <c r="F127" s="8" t="s">
        <v>1256</v>
      </c>
      <c r="G127" s="8">
        <v>1</v>
      </c>
      <c r="H127" s="8">
        <v>20250401</v>
      </c>
      <c r="I127" s="8" t="str">
        <f t="shared" si="5"/>
        <v>4/1/2025</v>
      </c>
      <c r="J127" s="8">
        <v>20250101</v>
      </c>
      <c r="K127" s="8" t="str">
        <f t="shared" si="6"/>
        <v>1/1/2025</v>
      </c>
      <c r="L127" s="8" t="s">
        <v>65</v>
      </c>
      <c r="M127" s="8">
        <v>30</v>
      </c>
      <c r="N127" s="8">
        <v>120</v>
      </c>
      <c r="O127" s="14" t="s">
        <v>3948</v>
      </c>
      <c r="P127" s="6" t="s">
        <v>3954</v>
      </c>
      <c r="AK127" s="12"/>
    </row>
    <row r="128" spans="1:37" ht="15" customHeight="1" x14ac:dyDescent="0.3">
      <c r="A128" s="7" t="s">
        <v>3898</v>
      </c>
      <c r="B128" s="7">
        <v>7470776</v>
      </c>
      <c r="C128" s="8">
        <v>5</v>
      </c>
      <c r="D128" s="8">
        <v>921733050</v>
      </c>
      <c r="E128" s="8" t="str">
        <f t="shared" si="8"/>
        <v>92173305044</v>
      </c>
      <c r="F128" s="8" t="s">
        <v>1204</v>
      </c>
      <c r="G128" s="8">
        <v>1</v>
      </c>
      <c r="H128" s="8">
        <v>20250401</v>
      </c>
      <c r="I128" s="8" t="str">
        <f t="shared" si="5"/>
        <v>4/1/2025</v>
      </c>
      <c r="J128" s="8">
        <v>20240801</v>
      </c>
      <c r="K128" s="8" t="str">
        <f t="shared" si="6"/>
        <v>8/1/2024</v>
      </c>
      <c r="L128" s="8" t="s">
        <v>65</v>
      </c>
      <c r="M128" s="8">
        <v>30</v>
      </c>
      <c r="N128" s="8">
        <v>150</v>
      </c>
      <c r="O128" s="14" t="s">
        <v>3948</v>
      </c>
      <c r="P128" s="6" t="s">
        <v>3955</v>
      </c>
    </row>
    <row r="129" spans="1:16" ht="15" customHeight="1" x14ac:dyDescent="0.2">
      <c r="A129" s="7" t="s">
        <v>3898</v>
      </c>
      <c r="B129" s="7">
        <v>7470776</v>
      </c>
      <c r="C129" s="8">
        <v>1</v>
      </c>
      <c r="D129" s="8">
        <v>920731862</v>
      </c>
      <c r="E129" s="8" t="str">
        <f t="shared" ref="E129:E152" si="9">CONCATENATE(D129,55)</f>
        <v>92073186255</v>
      </c>
      <c r="F129" s="8" t="s">
        <v>994</v>
      </c>
      <c r="G129" s="8">
        <v>1</v>
      </c>
      <c r="H129" s="8">
        <v>20250301</v>
      </c>
      <c r="I129" s="8" t="str">
        <f t="shared" si="5"/>
        <v>3/1/2025</v>
      </c>
      <c r="J129" s="8">
        <v>20140101</v>
      </c>
      <c r="K129" s="8" t="str">
        <f t="shared" si="6"/>
        <v>1/1/2014</v>
      </c>
      <c r="L129" s="8" t="s">
        <v>138</v>
      </c>
      <c r="M129" s="8">
        <v>20</v>
      </c>
      <c r="N129" s="8">
        <v>20</v>
      </c>
      <c r="O129" s="6" t="s">
        <v>3946</v>
      </c>
    </row>
    <row r="130" spans="1:16" ht="15" customHeight="1" x14ac:dyDescent="0.2">
      <c r="A130" s="7" t="s">
        <v>3898</v>
      </c>
      <c r="B130" s="7">
        <v>7470776</v>
      </c>
      <c r="C130" s="8">
        <v>1</v>
      </c>
      <c r="D130" s="8">
        <v>921041648</v>
      </c>
      <c r="E130" s="8" t="str">
        <f t="shared" si="9"/>
        <v>92104164855</v>
      </c>
      <c r="F130" s="8" t="s">
        <v>1042</v>
      </c>
      <c r="G130" s="8">
        <v>1</v>
      </c>
      <c r="H130" s="8">
        <v>20250401</v>
      </c>
      <c r="I130" s="8" t="str">
        <f t="shared" si="5"/>
        <v>4/1/2025</v>
      </c>
      <c r="J130" s="8">
        <v>20240101</v>
      </c>
      <c r="K130" s="8" t="str">
        <f t="shared" si="6"/>
        <v>1/1/2024</v>
      </c>
      <c r="L130" s="8" t="s">
        <v>138</v>
      </c>
      <c r="M130" s="8">
        <v>20</v>
      </c>
      <c r="N130" s="8">
        <v>20</v>
      </c>
      <c r="O130" s="6" t="s">
        <v>3946</v>
      </c>
    </row>
    <row r="131" spans="1:16" ht="15" customHeight="1" x14ac:dyDescent="0.2">
      <c r="A131" s="7" t="s">
        <v>3898</v>
      </c>
      <c r="B131" s="7">
        <v>7470776</v>
      </c>
      <c r="C131" s="8">
        <v>1</v>
      </c>
      <c r="D131" s="8">
        <v>921284503</v>
      </c>
      <c r="E131" s="8" t="str">
        <f t="shared" si="9"/>
        <v>92128450355</v>
      </c>
      <c r="F131" s="8" t="s">
        <v>1056</v>
      </c>
      <c r="G131" s="8">
        <v>1</v>
      </c>
      <c r="H131" s="8">
        <v>20250401</v>
      </c>
      <c r="I131" s="8" t="str">
        <f t="shared" ref="I131:I194" si="10">TEXT(DATE(LEFT(H131,4), MID(H131,5,2), RIGHT(H131,2)), "M/d/yyyy")</f>
        <v>4/1/2025</v>
      </c>
      <c r="J131" s="8">
        <v>20210101</v>
      </c>
      <c r="K131" s="8" t="str">
        <f t="shared" ref="K131:K194" si="11">TEXT(DATE(LEFT(J131,4), MID(J131,5,2), RIGHT(J131,2)), "M/d/yyyy")</f>
        <v>1/1/2021</v>
      </c>
      <c r="L131" s="8" t="s">
        <v>138</v>
      </c>
      <c r="M131" s="8">
        <v>20</v>
      </c>
      <c r="N131" s="8">
        <v>20</v>
      </c>
      <c r="O131" s="6" t="s">
        <v>3946</v>
      </c>
    </row>
    <row r="132" spans="1:16" ht="15" customHeight="1" x14ac:dyDescent="0.2">
      <c r="A132" s="7" t="s">
        <v>3898</v>
      </c>
      <c r="B132" s="7">
        <v>7470776</v>
      </c>
      <c r="C132" s="8">
        <v>1</v>
      </c>
      <c r="D132" s="8">
        <v>921498630</v>
      </c>
      <c r="E132" s="8" t="str">
        <f t="shared" si="9"/>
        <v>92149863055</v>
      </c>
      <c r="F132" s="8" t="s">
        <v>1096</v>
      </c>
      <c r="G132" s="8">
        <v>1</v>
      </c>
      <c r="H132" s="8">
        <v>20250401</v>
      </c>
      <c r="I132" s="8" t="str">
        <f t="shared" si="10"/>
        <v>4/1/2025</v>
      </c>
      <c r="J132" s="8">
        <v>20200101</v>
      </c>
      <c r="K132" s="8" t="str">
        <f t="shared" si="11"/>
        <v>1/1/2020</v>
      </c>
      <c r="L132" s="8" t="s">
        <v>138</v>
      </c>
      <c r="M132" s="8">
        <v>20</v>
      </c>
      <c r="N132" s="8">
        <v>20</v>
      </c>
      <c r="O132" s="6" t="s">
        <v>3946</v>
      </c>
    </row>
    <row r="133" spans="1:16" ht="15" customHeight="1" x14ac:dyDescent="0.2">
      <c r="A133" s="7" t="s">
        <v>3898</v>
      </c>
      <c r="B133" s="7">
        <v>7470776</v>
      </c>
      <c r="C133" s="8">
        <v>1</v>
      </c>
      <c r="D133" s="8">
        <v>921626460</v>
      </c>
      <c r="E133" s="8" t="str">
        <f t="shared" si="9"/>
        <v>92162646055</v>
      </c>
      <c r="F133" s="8" t="s">
        <v>1122</v>
      </c>
      <c r="G133" s="8">
        <v>1</v>
      </c>
      <c r="H133" s="8">
        <v>20250401</v>
      </c>
      <c r="I133" s="8" t="str">
        <f t="shared" si="10"/>
        <v>4/1/2025</v>
      </c>
      <c r="J133" s="8">
        <v>20221201</v>
      </c>
      <c r="K133" s="8" t="str">
        <f t="shared" si="11"/>
        <v>12/1/2022</v>
      </c>
      <c r="L133" s="8" t="s">
        <v>138</v>
      </c>
      <c r="M133" s="8">
        <v>20</v>
      </c>
      <c r="N133" s="8">
        <v>20</v>
      </c>
      <c r="O133" s="6" t="s">
        <v>3946</v>
      </c>
    </row>
    <row r="134" spans="1:16" ht="15" customHeight="1" x14ac:dyDescent="0.2">
      <c r="A134" s="7" t="s">
        <v>3898</v>
      </c>
      <c r="B134" s="7">
        <v>7470776</v>
      </c>
      <c r="C134" s="8">
        <v>1</v>
      </c>
      <c r="D134" s="8">
        <v>921626562</v>
      </c>
      <c r="E134" s="8" t="str">
        <f t="shared" si="9"/>
        <v>92162656255</v>
      </c>
      <c r="F134" s="8" t="s">
        <v>1126</v>
      </c>
      <c r="G134" s="8">
        <v>1</v>
      </c>
      <c r="H134" s="8">
        <v>20250401</v>
      </c>
      <c r="I134" s="8" t="str">
        <f t="shared" si="10"/>
        <v>4/1/2025</v>
      </c>
      <c r="J134" s="8">
        <v>20230101</v>
      </c>
      <c r="K134" s="8" t="str">
        <f t="shared" si="11"/>
        <v>1/1/2023</v>
      </c>
      <c r="L134" s="8" t="s">
        <v>138</v>
      </c>
      <c r="M134" s="8">
        <v>20</v>
      </c>
      <c r="N134" s="8">
        <v>20</v>
      </c>
      <c r="O134" s="6" t="s">
        <v>3946</v>
      </c>
    </row>
    <row r="135" spans="1:16" ht="15" customHeight="1" x14ac:dyDescent="0.2">
      <c r="A135" s="7" t="s">
        <v>3898</v>
      </c>
      <c r="B135" s="7">
        <v>7470776</v>
      </c>
      <c r="C135" s="8">
        <v>1</v>
      </c>
      <c r="D135" s="8">
        <v>921665441</v>
      </c>
      <c r="E135" s="8" t="str">
        <f t="shared" si="9"/>
        <v>92166544155</v>
      </c>
      <c r="F135" s="8" t="s">
        <v>1144</v>
      </c>
      <c r="G135" s="8">
        <v>1</v>
      </c>
      <c r="H135" s="8">
        <v>20250401</v>
      </c>
      <c r="I135" s="8" t="str">
        <f t="shared" si="10"/>
        <v>4/1/2025</v>
      </c>
      <c r="J135" s="8">
        <v>20230801</v>
      </c>
      <c r="K135" s="8" t="str">
        <f t="shared" si="11"/>
        <v>8/1/2023</v>
      </c>
      <c r="L135" s="8" t="s">
        <v>138</v>
      </c>
      <c r="M135" s="8">
        <v>20</v>
      </c>
      <c r="N135" s="8">
        <v>20</v>
      </c>
      <c r="O135" s="6" t="s">
        <v>3946</v>
      </c>
    </row>
    <row r="136" spans="1:16" ht="15" customHeight="1" x14ac:dyDescent="0.2">
      <c r="A136" s="7" t="s">
        <v>3898</v>
      </c>
      <c r="B136" s="7">
        <v>7470776</v>
      </c>
      <c r="C136" s="8">
        <v>1</v>
      </c>
      <c r="D136" s="8">
        <v>921669678</v>
      </c>
      <c r="E136" s="8" t="str">
        <f t="shared" si="9"/>
        <v>92166967855</v>
      </c>
      <c r="F136" s="8" t="s">
        <v>1146</v>
      </c>
      <c r="G136" s="8">
        <v>1</v>
      </c>
      <c r="H136" s="8">
        <v>20250401</v>
      </c>
      <c r="I136" s="8" t="str">
        <f t="shared" si="10"/>
        <v>4/1/2025</v>
      </c>
      <c r="J136" s="8">
        <v>20230901</v>
      </c>
      <c r="K136" s="8" t="str">
        <f t="shared" si="11"/>
        <v>9/1/2023</v>
      </c>
      <c r="L136" s="8" t="s">
        <v>138</v>
      </c>
      <c r="M136" s="8">
        <v>20</v>
      </c>
      <c r="N136" s="8">
        <v>20</v>
      </c>
      <c r="O136" s="6" t="s">
        <v>3946</v>
      </c>
    </row>
    <row r="137" spans="1:16" ht="15" customHeight="1" x14ac:dyDescent="0.2">
      <c r="A137" s="7" t="s">
        <v>3898</v>
      </c>
      <c r="B137" s="7">
        <v>7470776</v>
      </c>
      <c r="C137" s="8">
        <v>1</v>
      </c>
      <c r="D137" s="8">
        <v>921671201</v>
      </c>
      <c r="E137" s="8" t="str">
        <f t="shared" si="9"/>
        <v>92167120155</v>
      </c>
      <c r="F137" s="8" t="s">
        <v>1150</v>
      </c>
      <c r="G137" s="8">
        <v>1</v>
      </c>
      <c r="H137" s="8">
        <v>20250401</v>
      </c>
      <c r="I137" s="8" t="str">
        <f t="shared" si="10"/>
        <v>4/1/2025</v>
      </c>
      <c r="J137" s="8">
        <v>20231001</v>
      </c>
      <c r="K137" s="8" t="str">
        <f t="shared" si="11"/>
        <v>10/1/2023</v>
      </c>
      <c r="L137" s="8" t="s">
        <v>138</v>
      </c>
      <c r="M137" s="8">
        <v>20</v>
      </c>
      <c r="N137" s="8">
        <v>20</v>
      </c>
      <c r="O137" s="6" t="s">
        <v>3946</v>
      </c>
    </row>
    <row r="138" spans="1:16" ht="15" customHeight="1" x14ac:dyDescent="0.2">
      <c r="A138" s="7" t="s">
        <v>3898</v>
      </c>
      <c r="B138" s="7">
        <v>7470776</v>
      </c>
      <c r="C138" s="8">
        <v>1</v>
      </c>
      <c r="D138" s="8">
        <v>921672709</v>
      </c>
      <c r="E138" s="8" t="str">
        <f t="shared" si="9"/>
        <v>92167270955</v>
      </c>
      <c r="F138" s="8" t="s">
        <v>1152</v>
      </c>
      <c r="G138" s="8">
        <v>1</v>
      </c>
      <c r="H138" s="8">
        <v>20250401</v>
      </c>
      <c r="I138" s="8" t="str">
        <f t="shared" si="10"/>
        <v>4/1/2025</v>
      </c>
      <c r="J138" s="8">
        <v>20231001</v>
      </c>
      <c r="K138" s="8" t="str">
        <f t="shared" si="11"/>
        <v>10/1/2023</v>
      </c>
      <c r="L138" s="8" t="s">
        <v>138</v>
      </c>
      <c r="M138" s="8">
        <v>20</v>
      </c>
      <c r="N138" s="8">
        <v>20</v>
      </c>
      <c r="O138" s="6" t="s">
        <v>3946</v>
      </c>
    </row>
    <row r="139" spans="1:16" ht="15" customHeight="1" x14ac:dyDescent="0.2">
      <c r="A139" s="7" t="s">
        <v>3898</v>
      </c>
      <c r="B139" s="7">
        <v>7470776</v>
      </c>
      <c r="C139" s="8">
        <v>2</v>
      </c>
      <c r="D139" s="8">
        <v>921682749</v>
      </c>
      <c r="E139" s="8" t="str">
        <f t="shared" si="9"/>
        <v>92168274955</v>
      </c>
      <c r="F139" s="8" t="s">
        <v>1160</v>
      </c>
      <c r="G139" s="8">
        <v>1</v>
      </c>
      <c r="H139" s="8">
        <v>20250401</v>
      </c>
      <c r="I139" s="8" t="str">
        <f t="shared" si="10"/>
        <v>4/1/2025</v>
      </c>
      <c r="J139" s="8">
        <v>20240101</v>
      </c>
      <c r="K139" s="8" t="str">
        <f t="shared" si="11"/>
        <v>1/1/2024</v>
      </c>
      <c r="L139" s="8" t="s">
        <v>138</v>
      </c>
      <c r="M139" s="8">
        <v>20</v>
      </c>
      <c r="N139" s="8">
        <v>40</v>
      </c>
      <c r="O139" s="6" t="s">
        <v>3946</v>
      </c>
      <c r="P139" s="6" t="s">
        <v>3952</v>
      </c>
    </row>
    <row r="140" spans="1:16" ht="15" customHeight="1" x14ac:dyDescent="0.2">
      <c r="A140" s="7" t="s">
        <v>3898</v>
      </c>
      <c r="B140" s="7">
        <v>7470776</v>
      </c>
      <c r="C140" s="8">
        <v>3</v>
      </c>
      <c r="D140" s="8">
        <v>921296679</v>
      </c>
      <c r="E140" s="8" t="str">
        <f t="shared" si="9"/>
        <v>92129667955</v>
      </c>
      <c r="F140" s="8" t="s">
        <v>1060</v>
      </c>
      <c r="G140" s="8">
        <v>1</v>
      </c>
      <c r="H140" s="8">
        <v>20250401</v>
      </c>
      <c r="I140" s="8" t="str">
        <f t="shared" si="10"/>
        <v>4/1/2025</v>
      </c>
      <c r="J140" s="8">
        <v>20220101</v>
      </c>
      <c r="K140" s="8" t="str">
        <f t="shared" si="11"/>
        <v>1/1/2022</v>
      </c>
      <c r="L140" s="8" t="s">
        <v>138</v>
      </c>
      <c r="M140" s="8">
        <v>20</v>
      </c>
      <c r="N140" s="8">
        <v>60</v>
      </c>
      <c r="O140" s="6" t="s">
        <v>3946</v>
      </c>
      <c r="P140" s="6" t="s">
        <v>3953</v>
      </c>
    </row>
    <row r="141" spans="1:16" ht="15" customHeight="1" x14ac:dyDescent="0.2">
      <c r="A141" s="7" t="s">
        <v>3898</v>
      </c>
      <c r="B141" s="7">
        <v>7470776</v>
      </c>
      <c r="C141" s="8">
        <v>3</v>
      </c>
      <c r="D141" s="8">
        <v>921493684</v>
      </c>
      <c r="E141" s="8" t="str">
        <f t="shared" si="9"/>
        <v>92149368455</v>
      </c>
      <c r="F141" s="8" t="s">
        <v>1091</v>
      </c>
      <c r="G141" s="8">
        <v>1</v>
      </c>
      <c r="H141" s="8">
        <v>20250401</v>
      </c>
      <c r="I141" s="8" t="str">
        <f t="shared" si="10"/>
        <v>4/1/2025</v>
      </c>
      <c r="J141" s="8">
        <v>20240101</v>
      </c>
      <c r="K141" s="8" t="str">
        <f t="shared" si="11"/>
        <v>1/1/2024</v>
      </c>
      <c r="L141" s="8" t="s">
        <v>138</v>
      </c>
      <c r="M141" s="8">
        <v>20</v>
      </c>
      <c r="N141" s="8">
        <v>60</v>
      </c>
      <c r="O141" s="6" t="s">
        <v>3946</v>
      </c>
      <c r="P141" s="6" t="s">
        <v>3953</v>
      </c>
    </row>
    <row r="142" spans="1:16" ht="15" customHeight="1" x14ac:dyDescent="0.2">
      <c r="A142" s="7" t="s">
        <v>3898</v>
      </c>
      <c r="B142" s="7">
        <v>7470776</v>
      </c>
      <c r="C142" s="8">
        <v>3</v>
      </c>
      <c r="D142" s="8">
        <v>921680773</v>
      </c>
      <c r="E142" s="8" t="str">
        <f t="shared" si="9"/>
        <v>92168077355</v>
      </c>
      <c r="F142" s="8" t="s">
        <v>1158</v>
      </c>
      <c r="G142" s="8">
        <v>1</v>
      </c>
      <c r="H142" s="8">
        <v>20250401</v>
      </c>
      <c r="I142" s="8" t="str">
        <f t="shared" si="10"/>
        <v>4/1/2025</v>
      </c>
      <c r="J142" s="8">
        <v>20240101</v>
      </c>
      <c r="K142" s="8" t="str">
        <f t="shared" si="11"/>
        <v>1/1/2024</v>
      </c>
      <c r="L142" s="8" t="s">
        <v>138</v>
      </c>
      <c r="M142" s="8">
        <v>20</v>
      </c>
      <c r="N142" s="8">
        <v>60</v>
      </c>
      <c r="O142" s="6" t="s">
        <v>3946</v>
      </c>
      <c r="P142" s="6" t="s">
        <v>3953</v>
      </c>
    </row>
    <row r="143" spans="1:16" ht="15" customHeight="1" x14ac:dyDescent="0.2">
      <c r="A143" s="7" t="s">
        <v>3898</v>
      </c>
      <c r="B143" s="7">
        <v>7470776</v>
      </c>
      <c r="C143" s="8">
        <v>1</v>
      </c>
      <c r="D143" s="8">
        <v>920829633</v>
      </c>
      <c r="E143" s="8" t="str">
        <f t="shared" si="9"/>
        <v>92082963355</v>
      </c>
      <c r="F143" s="8" t="s">
        <v>1015</v>
      </c>
      <c r="G143" s="8">
        <v>1</v>
      </c>
      <c r="H143" s="8">
        <v>20250401</v>
      </c>
      <c r="I143" s="8" t="str">
        <f t="shared" si="10"/>
        <v>4/1/2025</v>
      </c>
      <c r="J143" s="8">
        <v>20241001</v>
      </c>
      <c r="K143" s="8" t="str">
        <f t="shared" si="11"/>
        <v>10/1/2024</v>
      </c>
      <c r="L143" s="8" t="s">
        <v>138</v>
      </c>
      <c r="M143" s="8">
        <v>25</v>
      </c>
      <c r="N143" s="8">
        <v>25</v>
      </c>
      <c r="O143" s="6" t="s">
        <v>3946</v>
      </c>
    </row>
    <row r="144" spans="1:16" ht="15" customHeight="1" x14ac:dyDescent="0.2">
      <c r="A144" s="7" t="s">
        <v>3898</v>
      </c>
      <c r="B144" s="7">
        <v>7470776</v>
      </c>
      <c r="C144" s="8">
        <v>1</v>
      </c>
      <c r="D144" s="8">
        <v>921065609</v>
      </c>
      <c r="E144" s="8" t="str">
        <f t="shared" si="9"/>
        <v>92106560955</v>
      </c>
      <c r="F144" s="8" t="s">
        <v>1048</v>
      </c>
      <c r="G144" s="8">
        <v>1</v>
      </c>
      <c r="H144" s="8">
        <v>20250401</v>
      </c>
      <c r="I144" s="8" t="str">
        <f t="shared" si="10"/>
        <v>4/1/2025</v>
      </c>
      <c r="J144" s="8">
        <v>20250101</v>
      </c>
      <c r="K144" s="8" t="str">
        <f t="shared" si="11"/>
        <v>1/1/2025</v>
      </c>
      <c r="L144" s="8" t="s">
        <v>138</v>
      </c>
      <c r="M144" s="8">
        <v>25</v>
      </c>
      <c r="N144" s="8">
        <v>25</v>
      </c>
      <c r="O144" s="6" t="s">
        <v>3946</v>
      </c>
    </row>
    <row r="145" spans="1:16" ht="15" customHeight="1" x14ac:dyDescent="0.2">
      <c r="A145" s="7" t="s">
        <v>3898</v>
      </c>
      <c r="B145" s="7">
        <v>7470776</v>
      </c>
      <c r="C145" s="8">
        <v>1</v>
      </c>
      <c r="D145" s="8">
        <v>921423475</v>
      </c>
      <c r="E145" s="8" t="str">
        <f t="shared" si="9"/>
        <v>92142347555</v>
      </c>
      <c r="F145" s="8" t="s">
        <v>1079</v>
      </c>
      <c r="G145" s="8">
        <v>1</v>
      </c>
      <c r="H145" s="8">
        <v>20250401</v>
      </c>
      <c r="I145" s="8" t="str">
        <f t="shared" si="10"/>
        <v>4/1/2025</v>
      </c>
      <c r="J145" s="8">
        <v>20250301</v>
      </c>
      <c r="K145" s="8" t="str">
        <f t="shared" si="11"/>
        <v>3/1/2025</v>
      </c>
      <c r="L145" s="8" t="s">
        <v>138</v>
      </c>
      <c r="M145" s="8">
        <v>25</v>
      </c>
      <c r="N145" s="8">
        <v>25</v>
      </c>
      <c r="O145" s="6" t="s">
        <v>3946</v>
      </c>
    </row>
    <row r="146" spans="1:16" ht="15" customHeight="1" x14ac:dyDescent="0.2">
      <c r="A146" s="7" t="s">
        <v>3898</v>
      </c>
      <c r="B146" s="7">
        <v>7470776</v>
      </c>
      <c r="C146" s="8">
        <v>1</v>
      </c>
      <c r="D146" s="8">
        <v>921671193</v>
      </c>
      <c r="E146" s="8" t="str">
        <f t="shared" si="9"/>
        <v>92167119355</v>
      </c>
      <c r="F146" s="8" t="s">
        <v>1148</v>
      </c>
      <c r="G146" s="8">
        <v>1</v>
      </c>
      <c r="H146" s="8">
        <v>20250401</v>
      </c>
      <c r="I146" s="8" t="str">
        <f t="shared" si="10"/>
        <v>4/1/2025</v>
      </c>
      <c r="J146" s="8">
        <v>20250101</v>
      </c>
      <c r="K146" s="8" t="str">
        <f t="shared" si="11"/>
        <v>1/1/2025</v>
      </c>
      <c r="L146" s="8" t="s">
        <v>138</v>
      </c>
      <c r="M146" s="8">
        <v>25</v>
      </c>
      <c r="N146" s="8">
        <v>25</v>
      </c>
      <c r="O146" s="6" t="s">
        <v>3946</v>
      </c>
    </row>
    <row r="147" spans="1:16" ht="15" customHeight="1" x14ac:dyDescent="0.2">
      <c r="A147" s="7" t="s">
        <v>3898</v>
      </c>
      <c r="B147" s="7">
        <v>7470776</v>
      </c>
      <c r="C147" s="8">
        <v>1</v>
      </c>
      <c r="D147" s="8">
        <v>921724369</v>
      </c>
      <c r="E147" s="8" t="str">
        <f t="shared" si="9"/>
        <v>92172436955</v>
      </c>
      <c r="F147" s="8" t="s">
        <v>1190</v>
      </c>
      <c r="G147" s="8">
        <v>1</v>
      </c>
      <c r="H147" s="8">
        <v>20250401</v>
      </c>
      <c r="I147" s="8" t="str">
        <f t="shared" si="10"/>
        <v>4/1/2025</v>
      </c>
      <c r="J147" s="8">
        <v>20240701</v>
      </c>
      <c r="K147" s="8" t="str">
        <f t="shared" si="11"/>
        <v>7/1/2024</v>
      </c>
      <c r="L147" s="8" t="s">
        <v>138</v>
      </c>
      <c r="M147" s="8">
        <v>25</v>
      </c>
      <c r="N147" s="8">
        <v>25</v>
      </c>
      <c r="O147" s="6" t="s">
        <v>3946</v>
      </c>
    </row>
    <row r="148" spans="1:16" ht="15" customHeight="1" x14ac:dyDescent="0.2">
      <c r="A148" s="7" t="s">
        <v>3898</v>
      </c>
      <c r="B148" s="7">
        <v>7470776</v>
      </c>
      <c r="C148" s="8">
        <v>1</v>
      </c>
      <c r="D148" s="8">
        <v>921728128</v>
      </c>
      <c r="E148" s="8" t="str">
        <f t="shared" si="9"/>
        <v>92172812855</v>
      </c>
      <c r="F148" s="8" t="s">
        <v>1198</v>
      </c>
      <c r="G148" s="8">
        <v>1</v>
      </c>
      <c r="H148" s="8">
        <v>20250401</v>
      </c>
      <c r="I148" s="8" t="str">
        <f t="shared" si="10"/>
        <v>4/1/2025</v>
      </c>
      <c r="J148" s="8">
        <v>20240701</v>
      </c>
      <c r="K148" s="8" t="str">
        <f t="shared" si="11"/>
        <v>7/1/2024</v>
      </c>
      <c r="L148" s="8" t="s">
        <v>138</v>
      </c>
      <c r="M148" s="8">
        <v>25</v>
      </c>
      <c r="N148" s="8">
        <v>25</v>
      </c>
      <c r="O148" s="6" t="s">
        <v>3946</v>
      </c>
    </row>
    <row r="149" spans="1:16" ht="15" customHeight="1" x14ac:dyDescent="0.2">
      <c r="A149" s="7" t="s">
        <v>3898</v>
      </c>
      <c r="B149" s="7">
        <v>7470776</v>
      </c>
      <c r="C149" s="8">
        <v>1</v>
      </c>
      <c r="D149" s="8">
        <v>921744359</v>
      </c>
      <c r="E149" s="8" t="str">
        <f t="shared" si="9"/>
        <v>92174435955</v>
      </c>
      <c r="F149" s="8" t="s">
        <v>1225</v>
      </c>
      <c r="G149" s="8">
        <v>1</v>
      </c>
      <c r="H149" s="8">
        <v>20250401</v>
      </c>
      <c r="I149" s="8" t="str">
        <f t="shared" si="10"/>
        <v>4/1/2025</v>
      </c>
      <c r="J149" s="8">
        <v>20241101</v>
      </c>
      <c r="K149" s="8" t="str">
        <f t="shared" si="11"/>
        <v>11/1/2024</v>
      </c>
      <c r="L149" s="8" t="s">
        <v>138</v>
      </c>
      <c r="M149" s="8">
        <v>25</v>
      </c>
      <c r="N149" s="8">
        <v>25</v>
      </c>
      <c r="O149" s="6" t="s">
        <v>3946</v>
      </c>
    </row>
    <row r="150" spans="1:16" ht="15" customHeight="1" x14ac:dyDescent="0.2">
      <c r="A150" s="7" t="s">
        <v>3898</v>
      </c>
      <c r="B150" s="7">
        <v>7470776</v>
      </c>
      <c r="C150" s="8">
        <v>1</v>
      </c>
      <c r="D150" s="8">
        <v>921744359</v>
      </c>
      <c r="E150" s="8" t="str">
        <f t="shared" si="9"/>
        <v>92174435955</v>
      </c>
      <c r="F150" s="8" t="s">
        <v>1225</v>
      </c>
      <c r="G150" s="8">
        <v>1</v>
      </c>
      <c r="H150" s="8">
        <v>20250301</v>
      </c>
      <c r="I150" s="8" t="str">
        <f t="shared" si="10"/>
        <v>3/1/2025</v>
      </c>
      <c r="J150" s="8">
        <v>20241101</v>
      </c>
      <c r="K150" s="8" t="str">
        <f t="shared" si="11"/>
        <v>11/1/2024</v>
      </c>
      <c r="L150" s="8" t="s">
        <v>138</v>
      </c>
      <c r="M150" s="8">
        <v>25</v>
      </c>
      <c r="N150" s="8">
        <v>25</v>
      </c>
      <c r="O150" s="6" t="s">
        <v>3946</v>
      </c>
    </row>
    <row r="151" spans="1:16" ht="15" customHeight="1" x14ac:dyDescent="0.2">
      <c r="A151" s="7" t="s">
        <v>3898</v>
      </c>
      <c r="B151" s="7">
        <v>7470776</v>
      </c>
      <c r="C151" s="8">
        <v>1</v>
      </c>
      <c r="D151" s="8">
        <v>921773760</v>
      </c>
      <c r="E151" s="8" t="str">
        <f t="shared" si="9"/>
        <v>92177376055</v>
      </c>
      <c r="F151" s="8" t="s">
        <v>1266</v>
      </c>
      <c r="G151" s="8">
        <v>1</v>
      </c>
      <c r="H151" s="8">
        <v>20250401</v>
      </c>
      <c r="I151" s="8" t="str">
        <f t="shared" si="10"/>
        <v>4/1/2025</v>
      </c>
      <c r="J151" s="8">
        <v>20250201</v>
      </c>
      <c r="K151" s="8" t="str">
        <f t="shared" si="11"/>
        <v>2/1/2025</v>
      </c>
      <c r="L151" s="8" t="s">
        <v>138</v>
      </c>
      <c r="M151" s="8">
        <v>25</v>
      </c>
      <c r="N151" s="8">
        <v>25</v>
      </c>
      <c r="O151" s="6" t="s">
        <v>3946</v>
      </c>
    </row>
    <row r="152" spans="1:16" ht="15" customHeight="1" x14ac:dyDescent="0.2">
      <c r="A152" s="7" t="s">
        <v>3898</v>
      </c>
      <c r="B152" s="7">
        <v>7470776</v>
      </c>
      <c r="C152" s="8">
        <v>2</v>
      </c>
      <c r="D152" s="8">
        <v>921740188</v>
      </c>
      <c r="E152" s="8" t="str">
        <f t="shared" si="9"/>
        <v>92174018855</v>
      </c>
      <c r="F152" s="8" t="s">
        <v>1219</v>
      </c>
      <c r="G152" s="8">
        <v>1</v>
      </c>
      <c r="H152" s="8">
        <v>20250401</v>
      </c>
      <c r="I152" s="8" t="str">
        <f t="shared" si="10"/>
        <v>4/1/2025</v>
      </c>
      <c r="J152" s="8">
        <v>20241001</v>
      </c>
      <c r="K152" s="8" t="str">
        <f t="shared" si="11"/>
        <v>10/1/2024</v>
      </c>
      <c r="L152" s="8" t="s">
        <v>138</v>
      </c>
      <c r="M152" s="8">
        <v>25</v>
      </c>
      <c r="N152" s="8">
        <v>50</v>
      </c>
      <c r="O152" s="6" t="s">
        <v>3946</v>
      </c>
      <c r="P152" s="6" t="s">
        <v>3952</v>
      </c>
    </row>
    <row r="153" spans="1:16" ht="15" customHeight="1" x14ac:dyDescent="0.2">
      <c r="A153" s="7" t="s">
        <v>3898</v>
      </c>
      <c r="B153" s="7">
        <v>7470776</v>
      </c>
      <c r="D153" s="8">
        <v>957189549</v>
      </c>
      <c r="E153" s="8" t="str">
        <f>CONCATENATE(D153,7)</f>
        <v>9571895497</v>
      </c>
      <c r="F153" s="8" t="s">
        <v>985</v>
      </c>
      <c r="G153" s="8">
        <v>170.27</v>
      </c>
      <c r="H153" s="8">
        <v>20250301</v>
      </c>
      <c r="I153" s="8" t="str">
        <f t="shared" si="10"/>
        <v>3/1/2025</v>
      </c>
      <c r="J153" s="8">
        <v>20241101</v>
      </c>
      <c r="K153" s="8" t="str">
        <f t="shared" si="11"/>
        <v>11/1/2024</v>
      </c>
      <c r="L153" s="8" t="s">
        <v>398</v>
      </c>
      <c r="M153" s="8">
        <v>0.1</v>
      </c>
      <c r="N153" s="8">
        <v>17.03</v>
      </c>
      <c r="O153" s="6" t="s">
        <v>3942</v>
      </c>
    </row>
    <row r="154" spans="1:16" ht="15" customHeight="1" x14ac:dyDescent="0.2">
      <c r="A154" s="7" t="s">
        <v>3935</v>
      </c>
      <c r="B154" s="7">
        <v>7146581</v>
      </c>
      <c r="D154" s="8">
        <v>957204451</v>
      </c>
      <c r="E154" s="8" t="str">
        <f>CONCATENATE(D154,1)</f>
        <v>9572044511</v>
      </c>
      <c r="F154" s="8" t="s">
        <v>3871</v>
      </c>
      <c r="G154" s="8">
        <v>128.49</v>
      </c>
      <c r="H154" s="8">
        <v>20250301</v>
      </c>
      <c r="I154" s="8" t="str">
        <f t="shared" si="10"/>
        <v>3/1/2025</v>
      </c>
      <c r="J154" s="8">
        <v>20250201</v>
      </c>
      <c r="K154" s="8" t="str">
        <f t="shared" si="11"/>
        <v>2/1/2025</v>
      </c>
      <c r="L154" s="8" t="s">
        <v>980</v>
      </c>
      <c r="M154" s="8">
        <v>0.20499999999999999</v>
      </c>
      <c r="N154" s="8">
        <v>26.34</v>
      </c>
      <c r="O154" s="6" t="s">
        <v>3945</v>
      </c>
    </row>
    <row r="155" spans="1:16" ht="15" customHeight="1" x14ac:dyDescent="0.2">
      <c r="A155" s="7" t="s">
        <v>3935</v>
      </c>
      <c r="B155" s="7">
        <v>7146581</v>
      </c>
      <c r="D155" s="8">
        <v>957206999</v>
      </c>
      <c r="E155" s="8" t="str">
        <f>CONCATENATE(D155,1)</f>
        <v>9572069991</v>
      </c>
      <c r="F155" s="8" t="s">
        <v>3883</v>
      </c>
      <c r="G155" s="8">
        <v>139.74</v>
      </c>
      <c r="H155" s="8">
        <v>20250401</v>
      </c>
      <c r="I155" s="8" t="str">
        <f t="shared" si="10"/>
        <v>4/1/2025</v>
      </c>
      <c r="J155" s="8">
        <v>20250201</v>
      </c>
      <c r="K155" s="8" t="str">
        <f t="shared" si="11"/>
        <v>2/1/2025</v>
      </c>
      <c r="L155" s="8" t="s">
        <v>980</v>
      </c>
      <c r="M155" s="8">
        <v>0.20499999999999999</v>
      </c>
      <c r="N155" s="8">
        <v>28.65</v>
      </c>
      <c r="O155" s="6" t="s">
        <v>3945</v>
      </c>
    </row>
    <row r="156" spans="1:16" ht="15" customHeight="1" x14ac:dyDescent="0.2">
      <c r="A156" s="7" t="s">
        <v>3935</v>
      </c>
      <c r="B156" s="7">
        <v>7146581</v>
      </c>
      <c r="D156" s="8">
        <v>957206999</v>
      </c>
      <c r="E156" s="8" t="str">
        <f>CONCATENATE(D156,1)</f>
        <v>9572069991</v>
      </c>
      <c r="F156" s="8" t="s">
        <v>3883</v>
      </c>
      <c r="G156" s="8">
        <v>139.74</v>
      </c>
      <c r="H156" s="8">
        <v>20250301</v>
      </c>
      <c r="I156" s="8" t="str">
        <f t="shared" si="10"/>
        <v>3/1/2025</v>
      </c>
      <c r="J156" s="8">
        <v>20250201</v>
      </c>
      <c r="K156" s="8" t="str">
        <f t="shared" si="11"/>
        <v>2/1/2025</v>
      </c>
      <c r="L156" s="8" t="s">
        <v>980</v>
      </c>
      <c r="M156" s="8">
        <v>0.20499999999999999</v>
      </c>
      <c r="N156" s="8">
        <v>28.65</v>
      </c>
      <c r="O156" s="6" t="s">
        <v>3945</v>
      </c>
    </row>
    <row r="157" spans="1:16" ht="15" customHeight="1" x14ac:dyDescent="0.2">
      <c r="A157" s="7" t="s">
        <v>3935</v>
      </c>
      <c r="B157" s="7">
        <v>7146581</v>
      </c>
      <c r="D157" s="8">
        <v>957205569</v>
      </c>
      <c r="E157" s="8" t="str">
        <f>CONCATENATE(D157,1)</f>
        <v>9572055691</v>
      </c>
      <c r="F157" s="8" t="s">
        <v>3879</v>
      </c>
      <c r="G157" s="8">
        <v>178.17</v>
      </c>
      <c r="H157" s="8">
        <v>20250301</v>
      </c>
      <c r="I157" s="8" t="str">
        <f t="shared" si="10"/>
        <v>3/1/2025</v>
      </c>
      <c r="J157" s="8">
        <v>20250201</v>
      </c>
      <c r="K157" s="8" t="str">
        <f t="shared" si="11"/>
        <v>2/1/2025</v>
      </c>
      <c r="L157" s="8" t="s">
        <v>980</v>
      </c>
      <c r="M157" s="8">
        <v>0.20499999999999999</v>
      </c>
      <c r="N157" s="8">
        <v>36.520000000000003</v>
      </c>
      <c r="O157" s="6" t="s">
        <v>3945</v>
      </c>
    </row>
    <row r="158" spans="1:16" ht="15" customHeight="1" x14ac:dyDescent="0.2">
      <c r="A158" s="7" t="s">
        <v>3935</v>
      </c>
      <c r="B158" s="7">
        <v>7146581</v>
      </c>
      <c r="C158" s="8">
        <v>1</v>
      </c>
      <c r="D158" s="8">
        <v>890111247</v>
      </c>
      <c r="E158" s="8" t="str">
        <f t="shared" ref="E158:E199" si="12">CONCATENATE(D158,22)</f>
        <v>89011124722</v>
      </c>
      <c r="F158" s="8" t="s">
        <v>3598</v>
      </c>
      <c r="G158" s="8">
        <v>1</v>
      </c>
      <c r="H158" s="8">
        <v>20250401</v>
      </c>
      <c r="I158" s="8" t="str">
        <f t="shared" si="10"/>
        <v>4/1/2025</v>
      </c>
      <c r="J158" s="8">
        <v>20200101</v>
      </c>
      <c r="K158" s="8" t="str">
        <f t="shared" si="11"/>
        <v>1/1/2020</v>
      </c>
      <c r="L158" s="8" t="s">
        <v>56</v>
      </c>
      <c r="M158" s="8">
        <v>20</v>
      </c>
      <c r="N158" s="8">
        <v>20</v>
      </c>
      <c r="O158" s="6" t="s">
        <v>3947</v>
      </c>
    </row>
    <row r="159" spans="1:16" ht="15" customHeight="1" x14ac:dyDescent="0.2">
      <c r="A159" s="7" t="s">
        <v>3935</v>
      </c>
      <c r="B159" s="7">
        <v>7146581</v>
      </c>
      <c r="C159" s="8">
        <v>1</v>
      </c>
      <c r="D159" s="8">
        <v>920713674</v>
      </c>
      <c r="E159" s="8" t="str">
        <f t="shared" si="12"/>
        <v>92071367422</v>
      </c>
      <c r="F159" s="8" t="s">
        <v>3615</v>
      </c>
      <c r="G159" s="8">
        <v>1</v>
      </c>
      <c r="H159" s="8">
        <v>20250401</v>
      </c>
      <c r="I159" s="8" t="str">
        <f t="shared" si="10"/>
        <v>4/1/2025</v>
      </c>
      <c r="J159" s="8">
        <v>20170101</v>
      </c>
      <c r="K159" s="8" t="str">
        <f t="shared" si="11"/>
        <v>1/1/2017</v>
      </c>
      <c r="L159" s="8" t="s">
        <v>56</v>
      </c>
      <c r="M159" s="8">
        <v>20</v>
      </c>
      <c r="N159" s="8">
        <v>20</v>
      </c>
      <c r="O159" s="6" t="s">
        <v>3947</v>
      </c>
    </row>
    <row r="160" spans="1:16" ht="15" customHeight="1" x14ac:dyDescent="0.2">
      <c r="A160" s="7" t="s">
        <v>3935</v>
      </c>
      <c r="B160" s="7">
        <v>7146581</v>
      </c>
      <c r="C160" s="8">
        <v>1</v>
      </c>
      <c r="D160" s="8">
        <v>920779843</v>
      </c>
      <c r="E160" s="8" t="str">
        <f t="shared" si="12"/>
        <v>92077984322</v>
      </c>
      <c r="F160" s="8" t="s">
        <v>3623</v>
      </c>
      <c r="G160" s="8">
        <v>1</v>
      </c>
      <c r="H160" s="8">
        <v>20250401</v>
      </c>
      <c r="I160" s="8" t="str">
        <f t="shared" si="10"/>
        <v>4/1/2025</v>
      </c>
      <c r="J160" s="8">
        <v>20211001</v>
      </c>
      <c r="K160" s="8" t="str">
        <f t="shared" si="11"/>
        <v>10/1/2021</v>
      </c>
      <c r="L160" s="8" t="s">
        <v>56</v>
      </c>
      <c r="M160" s="8">
        <v>20</v>
      </c>
      <c r="N160" s="8">
        <v>20</v>
      </c>
      <c r="O160" s="6" t="s">
        <v>3947</v>
      </c>
    </row>
    <row r="161" spans="1:16" ht="15" customHeight="1" x14ac:dyDescent="0.2">
      <c r="A161" s="7" t="s">
        <v>3935</v>
      </c>
      <c r="B161" s="7">
        <v>7146581</v>
      </c>
      <c r="C161" s="8">
        <v>1</v>
      </c>
      <c r="D161" s="8">
        <v>920779843</v>
      </c>
      <c r="E161" s="8" t="str">
        <f t="shared" si="12"/>
        <v>92077984322</v>
      </c>
      <c r="F161" s="8" t="s">
        <v>3623</v>
      </c>
      <c r="G161" s="8">
        <v>1</v>
      </c>
      <c r="H161" s="8">
        <v>20250301</v>
      </c>
      <c r="I161" s="8" t="str">
        <f t="shared" si="10"/>
        <v>3/1/2025</v>
      </c>
      <c r="J161" s="8">
        <v>20211001</v>
      </c>
      <c r="K161" s="8" t="str">
        <f t="shared" si="11"/>
        <v>10/1/2021</v>
      </c>
      <c r="L161" s="8" t="s">
        <v>56</v>
      </c>
      <c r="M161" s="8">
        <v>20</v>
      </c>
      <c r="N161" s="8">
        <v>20</v>
      </c>
      <c r="O161" s="6" t="s">
        <v>3947</v>
      </c>
    </row>
    <row r="162" spans="1:16" ht="15" customHeight="1" x14ac:dyDescent="0.2">
      <c r="A162" s="7" t="s">
        <v>3935</v>
      </c>
      <c r="B162" s="7">
        <v>7146581</v>
      </c>
      <c r="C162" s="8">
        <v>1</v>
      </c>
      <c r="D162" s="8">
        <v>921033755</v>
      </c>
      <c r="E162" s="8" t="str">
        <f t="shared" si="12"/>
        <v>92103375522</v>
      </c>
      <c r="F162" s="8" t="s">
        <v>3647</v>
      </c>
      <c r="G162" s="8">
        <v>1</v>
      </c>
      <c r="H162" s="8">
        <v>20250401</v>
      </c>
      <c r="I162" s="8" t="str">
        <f t="shared" si="10"/>
        <v>4/1/2025</v>
      </c>
      <c r="J162" s="8">
        <v>20211101</v>
      </c>
      <c r="K162" s="8" t="str">
        <f t="shared" si="11"/>
        <v>11/1/2021</v>
      </c>
      <c r="L162" s="8" t="s">
        <v>56</v>
      </c>
      <c r="M162" s="8">
        <v>20</v>
      </c>
      <c r="N162" s="8">
        <v>20</v>
      </c>
      <c r="O162" s="6" t="s">
        <v>3947</v>
      </c>
    </row>
    <row r="163" spans="1:16" ht="15" customHeight="1" x14ac:dyDescent="0.2">
      <c r="A163" s="7" t="s">
        <v>3935</v>
      </c>
      <c r="B163" s="7">
        <v>7146581</v>
      </c>
      <c r="C163" s="8">
        <v>1</v>
      </c>
      <c r="D163" s="8">
        <v>921048437</v>
      </c>
      <c r="E163" s="8" t="str">
        <f t="shared" si="12"/>
        <v>92104843722</v>
      </c>
      <c r="F163" s="8" t="s">
        <v>3649</v>
      </c>
      <c r="G163" s="8">
        <v>1</v>
      </c>
      <c r="H163" s="8">
        <v>20250401</v>
      </c>
      <c r="I163" s="8" t="str">
        <f t="shared" si="10"/>
        <v>4/1/2025</v>
      </c>
      <c r="J163" s="8">
        <v>20230101</v>
      </c>
      <c r="K163" s="8" t="str">
        <f t="shared" si="11"/>
        <v>1/1/2023</v>
      </c>
      <c r="L163" s="8" t="s">
        <v>56</v>
      </c>
      <c r="M163" s="8">
        <v>20</v>
      </c>
      <c r="N163" s="8">
        <v>20</v>
      </c>
      <c r="O163" s="6" t="s">
        <v>3947</v>
      </c>
    </row>
    <row r="164" spans="1:16" ht="15" customHeight="1" x14ac:dyDescent="0.2">
      <c r="A164" s="7" t="s">
        <v>3935</v>
      </c>
      <c r="B164" s="7">
        <v>7146581</v>
      </c>
      <c r="C164" s="8">
        <v>1</v>
      </c>
      <c r="D164" s="8">
        <v>921398600</v>
      </c>
      <c r="E164" s="8" t="str">
        <f t="shared" si="12"/>
        <v>92139860022</v>
      </c>
      <c r="F164" s="8" t="s">
        <v>3676</v>
      </c>
      <c r="G164" s="8">
        <v>1</v>
      </c>
      <c r="H164" s="8">
        <v>20250401</v>
      </c>
      <c r="I164" s="8" t="str">
        <f t="shared" si="10"/>
        <v>4/1/2025</v>
      </c>
      <c r="J164" s="8">
        <v>20200101</v>
      </c>
      <c r="K164" s="8" t="str">
        <f t="shared" si="11"/>
        <v>1/1/2020</v>
      </c>
      <c r="L164" s="8" t="s">
        <v>56</v>
      </c>
      <c r="M164" s="8">
        <v>20</v>
      </c>
      <c r="N164" s="8">
        <v>20</v>
      </c>
      <c r="O164" s="6" t="s">
        <v>3947</v>
      </c>
    </row>
    <row r="165" spans="1:16" ht="15" customHeight="1" x14ac:dyDescent="0.2">
      <c r="A165" s="7" t="s">
        <v>3935</v>
      </c>
      <c r="B165" s="7">
        <v>7146581</v>
      </c>
      <c r="C165" s="8">
        <v>1</v>
      </c>
      <c r="D165" s="8">
        <v>921473605</v>
      </c>
      <c r="E165" s="8" t="str">
        <f t="shared" si="12"/>
        <v>92147360522</v>
      </c>
      <c r="F165" s="8" t="s">
        <v>3687</v>
      </c>
      <c r="G165" s="8">
        <v>1</v>
      </c>
      <c r="H165" s="8">
        <v>20250401</v>
      </c>
      <c r="I165" s="8" t="str">
        <f t="shared" si="10"/>
        <v>4/1/2025</v>
      </c>
      <c r="J165" s="8">
        <v>20190701</v>
      </c>
      <c r="K165" s="8" t="str">
        <f t="shared" si="11"/>
        <v>7/1/2019</v>
      </c>
      <c r="L165" s="8" t="s">
        <v>56</v>
      </c>
      <c r="M165" s="8">
        <v>20</v>
      </c>
      <c r="N165" s="8">
        <v>20</v>
      </c>
      <c r="O165" s="6" t="s">
        <v>3947</v>
      </c>
    </row>
    <row r="166" spans="1:16" ht="15" customHeight="1" x14ac:dyDescent="0.2">
      <c r="A166" s="7" t="s">
        <v>3935</v>
      </c>
      <c r="B166" s="7">
        <v>7146581</v>
      </c>
      <c r="C166" s="8">
        <v>1</v>
      </c>
      <c r="D166" s="8">
        <v>921476325</v>
      </c>
      <c r="E166" s="8" t="str">
        <f t="shared" si="12"/>
        <v>92147632522</v>
      </c>
      <c r="F166" s="8" t="s">
        <v>3689</v>
      </c>
      <c r="G166" s="8">
        <v>1</v>
      </c>
      <c r="H166" s="8">
        <v>20250401</v>
      </c>
      <c r="I166" s="8" t="str">
        <f t="shared" si="10"/>
        <v>4/1/2025</v>
      </c>
      <c r="J166" s="8">
        <v>20190801</v>
      </c>
      <c r="K166" s="8" t="str">
        <f t="shared" si="11"/>
        <v>8/1/2019</v>
      </c>
      <c r="L166" s="8" t="s">
        <v>56</v>
      </c>
      <c r="M166" s="8">
        <v>20</v>
      </c>
      <c r="N166" s="8">
        <v>20</v>
      </c>
      <c r="O166" s="6" t="s">
        <v>3947</v>
      </c>
    </row>
    <row r="167" spans="1:16" ht="15" customHeight="1" x14ac:dyDescent="0.2">
      <c r="A167" s="7" t="s">
        <v>3935</v>
      </c>
      <c r="B167" s="7">
        <v>7146581</v>
      </c>
      <c r="C167" s="8">
        <v>1</v>
      </c>
      <c r="D167" s="8">
        <v>921482123</v>
      </c>
      <c r="E167" s="8" t="str">
        <f t="shared" si="12"/>
        <v>92148212322</v>
      </c>
      <c r="F167" s="8" t="s">
        <v>3691</v>
      </c>
      <c r="G167" s="8">
        <v>1</v>
      </c>
      <c r="H167" s="8">
        <v>20250401</v>
      </c>
      <c r="I167" s="8" t="str">
        <f t="shared" si="10"/>
        <v>4/1/2025</v>
      </c>
      <c r="J167" s="8">
        <v>20190901</v>
      </c>
      <c r="K167" s="8" t="str">
        <f t="shared" si="11"/>
        <v>9/1/2019</v>
      </c>
      <c r="L167" s="8" t="s">
        <v>56</v>
      </c>
      <c r="M167" s="8">
        <v>20</v>
      </c>
      <c r="N167" s="8">
        <v>20</v>
      </c>
      <c r="O167" s="6" t="s">
        <v>3947</v>
      </c>
    </row>
    <row r="168" spans="1:16" ht="15" customHeight="1" x14ac:dyDescent="0.2">
      <c r="A168" s="7" t="s">
        <v>3935</v>
      </c>
      <c r="B168" s="7">
        <v>7146581</v>
      </c>
      <c r="C168" s="8">
        <v>1</v>
      </c>
      <c r="D168" s="8">
        <v>921598121</v>
      </c>
      <c r="E168" s="8" t="str">
        <f t="shared" si="12"/>
        <v>92159812122</v>
      </c>
      <c r="F168" s="8" t="s">
        <v>3713</v>
      </c>
      <c r="G168" s="8">
        <v>1</v>
      </c>
      <c r="H168" s="8">
        <v>20250401</v>
      </c>
      <c r="I168" s="8" t="str">
        <f t="shared" si="10"/>
        <v>4/1/2025</v>
      </c>
      <c r="J168" s="8">
        <v>20220101</v>
      </c>
      <c r="K168" s="8" t="str">
        <f t="shared" si="11"/>
        <v>1/1/2022</v>
      </c>
      <c r="L168" s="8" t="s">
        <v>56</v>
      </c>
      <c r="M168" s="8">
        <v>20</v>
      </c>
      <c r="N168" s="8">
        <v>20</v>
      </c>
      <c r="O168" s="6" t="s">
        <v>3947</v>
      </c>
    </row>
    <row r="169" spans="1:16" ht="15" customHeight="1" x14ac:dyDescent="0.2">
      <c r="A169" s="7" t="s">
        <v>3935</v>
      </c>
      <c r="B169" s="7">
        <v>7146581</v>
      </c>
      <c r="C169" s="8">
        <v>1</v>
      </c>
      <c r="D169" s="8">
        <v>921618718</v>
      </c>
      <c r="E169" s="8" t="str">
        <f t="shared" si="12"/>
        <v>92161871822</v>
      </c>
      <c r="F169" s="8" t="s">
        <v>3719</v>
      </c>
      <c r="G169" s="8">
        <v>1</v>
      </c>
      <c r="H169" s="8">
        <v>20250401</v>
      </c>
      <c r="I169" s="8" t="str">
        <f t="shared" si="10"/>
        <v>4/1/2025</v>
      </c>
      <c r="J169" s="8">
        <v>20220801</v>
      </c>
      <c r="K169" s="8" t="str">
        <f t="shared" si="11"/>
        <v>8/1/2022</v>
      </c>
      <c r="L169" s="8" t="s">
        <v>56</v>
      </c>
      <c r="M169" s="8">
        <v>20</v>
      </c>
      <c r="N169" s="8">
        <v>20</v>
      </c>
      <c r="O169" s="6" t="s">
        <v>3947</v>
      </c>
    </row>
    <row r="170" spans="1:16" ht="15" customHeight="1" x14ac:dyDescent="0.2">
      <c r="A170" s="7" t="s">
        <v>3935</v>
      </c>
      <c r="B170" s="7">
        <v>7146581</v>
      </c>
      <c r="C170" s="8">
        <v>1</v>
      </c>
      <c r="D170" s="8">
        <v>921646298</v>
      </c>
      <c r="E170" s="8" t="str">
        <f t="shared" si="12"/>
        <v>92164629822</v>
      </c>
      <c r="F170" s="8" t="s">
        <v>3729</v>
      </c>
      <c r="G170" s="8">
        <v>1</v>
      </c>
      <c r="H170" s="8">
        <v>20250401</v>
      </c>
      <c r="I170" s="8" t="str">
        <f t="shared" si="10"/>
        <v>4/1/2025</v>
      </c>
      <c r="J170" s="8">
        <v>20230101</v>
      </c>
      <c r="K170" s="8" t="str">
        <f t="shared" si="11"/>
        <v>1/1/2023</v>
      </c>
      <c r="L170" s="8" t="s">
        <v>56</v>
      </c>
      <c r="M170" s="8">
        <v>20</v>
      </c>
      <c r="N170" s="8">
        <v>20</v>
      </c>
      <c r="O170" s="6" t="s">
        <v>3947</v>
      </c>
    </row>
    <row r="171" spans="1:16" ht="15" customHeight="1" x14ac:dyDescent="0.2">
      <c r="A171" s="7" t="s">
        <v>3935</v>
      </c>
      <c r="B171" s="7">
        <v>7146581</v>
      </c>
      <c r="C171" s="8">
        <v>1</v>
      </c>
      <c r="D171" s="8">
        <v>921654306</v>
      </c>
      <c r="E171" s="8" t="str">
        <f t="shared" si="12"/>
        <v>92165430622</v>
      </c>
      <c r="F171" s="8" t="s">
        <v>3735</v>
      </c>
      <c r="G171" s="8">
        <v>1</v>
      </c>
      <c r="H171" s="8">
        <v>20250401</v>
      </c>
      <c r="I171" s="8" t="str">
        <f t="shared" si="10"/>
        <v>4/1/2025</v>
      </c>
      <c r="J171" s="8">
        <v>20230301</v>
      </c>
      <c r="K171" s="8" t="str">
        <f t="shared" si="11"/>
        <v>3/1/2023</v>
      </c>
      <c r="L171" s="8" t="s">
        <v>56</v>
      </c>
      <c r="M171" s="8">
        <v>20</v>
      </c>
      <c r="N171" s="8">
        <v>20</v>
      </c>
      <c r="O171" s="6" t="s">
        <v>3947</v>
      </c>
    </row>
    <row r="172" spans="1:16" ht="15" customHeight="1" x14ac:dyDescent="0.2">
      <c r="A172" s="7" t="s">
        <v>3935</v>
      </c>
      <c r="B172" s="7">
        <v>7146581</v>
      </c>
      <c r="C172" s="8">
        <v>1</v>
      </c>
      <c r="D172" s="8">
        <v>921656916</v>
      </c>
      <c r="E172" s="8" t="str">
        <f t="shared" si="12"/>
        <v>92165691622</v>
      </c>
      <c r="F172" s="8" t="s">
        <v>3739</v>
      </c>
      <c r="G172" s="8">
        <v>1</v>
      </c>
      <c r="H172" s="8">
        <v>20250401</v>
      </c>
      <c r="I172" s="8" t="str">
        <f t="shared" si="10"/>
        <v>4/1/2025</v>
      </c>
      <c r="J172" s="8">
        <v>20240101</v>
      </c>
      <c r="K172" s="8" t="str">
        <f t="shared" si="11"/>
        <v>1/1/2024</v>
      </c>
      <c r="L172" s="8" t="s">
        <v>56</v>
      </c>
      <c r="M172" s="8">
        <v>20</v>
      </c>
      <c r="N172" s="8">
        <v>20</v>
      </c>
      <c r="O172" s="6" t="s">
        <v>3947</v>
      </c>
    </row>
    <row r="173" spans="1:16" ht="15" customHeight="1" x14ac:dyDescent="0.2">
      <c r="A173" s="7" t="s">
        <v>3935</v>
      </c>
      <c r="B173" s="7">
        <v>7146581</v>
      </c>
      <c r="C173" s="8">
        <v>1</v>
      </c>
      <c r="D173" s="8">
        <v>921668352</v>
      </c>
      <c r="E173" s="8" t="str">
        <f t="shared" si="12"/>
        <v>92166835222</v>
      </c>
      <c r="F173" s="8" t="s">
        <v>3743</v>
      </c>
      <c r="G173" s="8">
        <v>1</v>
      </c>
      <c r="H173" s="8">
        <v>20250401</v>
      </c>
      <c r="I173" s="8" t="str">
        <f t="shared" si="10"/>
        <v>4/1/2025</v>
      </c>
      <c r="J173" s="8">
        <v>20230901</v>
      </c>
      <c r="K173" s="8" t="str">
        <f t="shared" si="11"/>
        <v>9/1/2023</v>
      </c>
      <c r="L173" s="8" t="s">
        <v>56</v>
      </c>
      <c r="M173" s="8">
        <v>20</v>
      </c>
      <c r="N173" s="8">
        <v>20</v>
      </c>
      <c r="O173" s="6" t="s">
        <v>3947</v>
      </c>
    </row>
    <row r="174" spans="1:16" ht="15" customHeight="1" x14ac:dyDescent="0.2">
      <c r="A174" s="7" t="s">
        <v>3935</v>
      </c>
      <c r="B174" s="7">
        <v>7146581</v>
      </c>
      <c r="C174" s="8">
        <v>1</v>
      </c>
      <c r="D174" s="8">
        <v>921696798</v>
      </c>
      <c r="E174" s="8" t="str">
        <f t="shared" si="12"/>
        <v>92169679822</v>
      </c>
      <c r="F174" s="8" t="s">
        <v>3755</v>
      </c>
      <c r="G174" s="8">
        <v>1</v>
      </c>
      <c r="H174" s="8">
        <v>20250401</v>
      </c>
      <c r="I174" s="8" t="str">
        <f t="shared" si="10"/>
        <v>4/1/2025</v>
      </c>
      <c r="J174" s="8">
        <v>20240101</v>
      </c>
      <c r="K174" s="8" t="str">
        <f t="shared" si="11"/>
        <v>1/1/2024</v>
      </c>
      <c r="L174" s="8" t="s">
        <v>56</v>
      </c>
      <c r="M174" s="8">
        <v>20</v>
      </c>
      <c r="N174" s="8">
        <v>20</v>
      </c>
      <c r="O174" s="6" t="s">
        <v>3947</v>
      </c>
    </row>
    <row r="175" spans="1:16" ht="15" customHeight="1" x14ac:dyDescent="0.2">
      <c r="A175" s="7" t="s">
        <v>3935</v>
      </c>
      <c r="B175" s="7">
        <v>7146581</v>
      </c>
      <c r="C175" s="8">
        <v>1</v>
      </c>
      <c r="D175" s="8">
        <v>921707925</v>
      </c>
      <c r="E175" s="8" t="str">
        <f t="shared" si="12"/>
        <v>92170792522</v>
      </c>
      <c r="F175" s="8" t="s">
        <v>3757</v>
      </c>
      <c r="G175" s="8">
        <v>1</v>
      </c>
      <c r="H175" s="8">
        <v>20250401</v>
      </c>
      <c r="I175" s="8" t="str">
        <f t="shared" si="10"/>
        <v>4/1/2025</v>
      </c>
      <c r="J175" s="8">
        <v>20240201</v>
      </c>
      <c r="K175" s="8" t="str">
        <f t="shared" si="11"/>
        <v>2/1/2024</v>
      </c>
      <c r="L175" s="8" t="s">
        <v>56</v>
      </c>
      <c r="M175" s="8">
        <v>20</v>
      </c>
      <c r="N175" s="8">
        <v>20</v>
      </c>
      <c r="O175" s="6" t="s">
        <v>3947</v>
      </c>
    </row>
    <row r="176" spans="1:16" ht="15" customHeight="1" x14ac:dyDescent="0.2">
      <c r="A176" s="7" t="s">
        <v>3935</v>
      </c>
      <c r="B176" s="7">
        <v>7146581</v>
      </c>
      <c r="C176" s="8">
        <v>2</v>
      </c>
      <c r="D176" s="8">
        <v>920765817</v>
      </c>
      <c r="E176" s="8" t="str">
        <f t="shared" si="12"/>
        <v>92076581722</v>
      </c>
      <c r="F176" s="8" t="s">
        <v>3617</v>
      </c>
      <c r="G176" s="8">
        <v>1</v>
      </c>
      <c r="H176" s="8">
        <v>20250401</v>
      </c>
      <c r="I176" s="8" t="str">
        <f t="shared" si="10"/>
        <v>4/1/2025</v>
      </c>
      <c r="J176" s="8">
        <v>20140101</v>
      </c>
      <c r="K176" s="8" t="str">
        <f t="shared" si="11"/>
        <v>1/1/2014</v>
      </c>
      <c r="L176" s="8" t="s">
        <v>56</v>
      </c>
      <c r="M176" s="8">
        <v>20</v>
      </c>
      <c r="N176" s="8">
        <v>40</v>
      </c>
      <c r="O176" s="6" t="s">
        <v>3947</v>
      </c>
      <c r="P176" s="6" t="s">
        <v>3952</v>
      </c>
    </row>
    <row r="177" spans="1:16" ht="15" customHeight="1" x14ac:dyDescent="0.2">
      <c r="A177" s="7" t="s">
        <v>3935</v>
      </c>
      <c r="B177" s="7">
        <v>7146581</v>
      </c>
      <c r="C177" s="8">
        <v>2</v>
      </c>
      <c r="D177" s="8">
        <v>921414472</v>
      </c>
      <c r="E177" s="8" t="str">
        <f t="shared" si="12"/>
        <v>92141447222</v>
      </c>
      <c r="F177" s="8" t="s">
        <v>3678</v>
      </c>
      <c r="G177" s="8">
        <v>1</v>
      </c>
      <c r="H177" s="8">
        <v>20250401</v>
      </c>
      <c r="I177" s="8" t="str">
        <f t="shared" si="10"/>
        <v>4/1/2025</v>
      </c>
      <c r="J177" s="8">
        <v>20180501</v>
      </c>
      <c r="K177" s="8" t="str">
        <f t="shared" si="11"/>
        <v>5/1/2018</v>
      </c>
      <c r="L177" s="8" t="s">
        <v>56</v>
      </c>
      <c r="M177" s="8">
        <v>20</v>
      </c>
      <c r="N177" s="8">
        <v>40</v>
      </c>
      <c r="O177" s="6" t="s">
        <v>3947</v>
      </c>
      <c r="P177" s="6" t="s">
        <v>3952</v>
      </c>
    </row>
    <row r="178" spans="1:16" ht="15" customHeight="1" x14ac:dyDescent="0.2">
      <c r="A178" s="7" t="s">
        <v>3935</v>
      </c>
      <c r="B178" s="7">
        <v>7146581</v>
      </c>
      <c r="C178" s="8">
        <v>2</v>
      </c>
      <c r="D178" s="8">
        <v>921574684</v>
      </c>
      <c r="E178" s="8" t="str">
        <f t="shared" si="12"/>
        <v>92157468422</v>
      </c>
      <c r="F178" s="8" t="s">
        <v>3709</v>
      </c>
      <c r="G178" s="8">
        <v>1</v>
      </c>
      <c r="H178" s="8">
        <v>20250301</v>
      </c>
      <c r="I178" s="8" t="str">
        <f t="shared" si="10"/>
        <v>3/1/2025</v>
      </c>
      <c r="J178" s="8">
        <v>20210701</v>
      </c>
      <c r="K178" s="8" t="str">
        <f t="shared" si="11"/>
        <v>7/1/2021</v>
      </c>
      <c r="L178" s="8" t="s">
        <v>56</v>
      </c>
      <c r="M178" s="8">
        <v>20</v>
      </c>
      <c r="N178" s="8">
        <v>40</v>
      </c>
      <c r="O178" s="6" t="s">
        <v>3947</v>
      </c>
      <c r="P178" s="6" t="s">
        <v>3952</v>
      </c>
    </row>
    <row r="179" spans="1:16" ht="15" customHeight="1" x14ac:dyDescent="0.2">
      <c r="A179" s="7" t="s">
        <v>3935</v>
      </c>
      <c r="B179" s="7">
        <v>7146581</v>
      </c>
      <c r="C179" s="8">
        <v>2</v>
      </c>
      <c r="D179" s="8">
        <v>921574684</v>
      </c>
      <c r="E179" s="8" t="str">
        <f t="shared" si="12"/>
        <v>92157468422</v>
      </c>
      <c r="F179" s="8" t="s">
        <v>3709</v>
      </c>
      <c r="G179" s="8">
        <v>1</v>
      </c>
      <c r="H179" s="8">
        <v>20250201</v>
      </c>
      <c r="I179" s="8" t="str">
        <f t="shared" si="10"/>
        <v>2/1/2025</v>
      </c>
      <c r="J179" s="8">
        <v>20210701</v>
      </c>
      <c r="K179" s="8" t="str">
        <f t="shared" si="11"/>
        <v>7/1/2021</v>
      </c>
      <c r="L179" s="8" t="s">
        <v>56</v>
      </c>
      <c r="M179" s="8">
        <v>20</v>
      </c>
      <c r="N179" s="8">
        <v>40</v>
      </c>
      <c r="O179" s="6" t="s">
        <v>3947</v>
      </c>
      <c r="P179" s="6" t="s">
        <v>3952</v>
      </c>
    </row>
    <row r="180" spans="1:16" ht="15" customHeight="1" x14ac:dyDescent="0.2">
      <c r="A180" s="7" t="s">
        <v>3935</v>
      </c>
      <c r="B180" s="7">
        <v>7146581</v>
      </c>
      <c r="C180" s="8">
        <v>2</v>
      </c>
      <c r="D180" s="8">
        <v>921679778</v>
      </c>
      <c r="E180" s="8" t="str">
        <f t="shared" si="12"/>
        <v>92167977822</v>
      </c>
      <c r="F180" s="8" t="s">
        <v>3747</v>
      </c>
      <c r="G180" s="8">
        <v>1</v>
      </c>
      <c r="H180" s="8">
        <v>20250401</v>
      </c>
      <c r="I180" s="8" t="str">
        <f t="shared" si="10"/>
        <v>4/1/2025</v>
      </c>
      <c r="J180" s="8">
        <v>20240101</v>
      </c>
      <c r="K180" s="8" t="str">
        <f t="shared" si="11"/>
        <v>1/1/2024</v>
      </c>
      <c r="L180" s="8" t="s">
        <v>56</v>
      </c>
      <c r="M180" s="8">
        <v>20</v>
      </c>
      <c r="N180" s="8">
        <v>40</v>
      </c>
      <c r="O180" s="6" t="s">
        <v>3947</v>
      </c>
      <c r="P180" s="6" t="s">
        <v>3952</v>
      </c>
    </row>
    <row r="181" spans="1:16" ht="15" customHeight="1" x14ac:dyDescent="0.2">
      <c r="A181" s="7" t="s">
        <v>3935</v>
      </c>
      <c r="B181" s="7">
        <v>7146581</v>
      </c>
      <c r="C181" s="8">
        <v>2</v>
      </c>
      <c r="D181" s="8">
        <v>921692449</v>
      </c>
      <c r="E181" s="8" t="str">
        <f t="shared" si="12"/>
        <v>92169244922</v>
      </c>
      <c r="F181" s="8" t="s">
        <v>3751</v>
      </c>
      <c r="G181" s="8">
        <v>1</v>
      </c>
      <c r="H181" s="8">
        <v>20250401</v>
      </c>
      <c r="I181" s="8" t="str">
        <f t="shared" si="10"/>
        <v>4/1/2025</v>
      </c>
      <c r="J181" s="8">
        <v>20240101</v>
      </c>
      <c r="K181" s="8" t="str">
        <f t="shared" si="11"/>
        <v>1/1/2024</v>
      </c>
      <c r="L181" s="8" t="s">
        <v>56</v>
      </c>
      <c r="M181" s="8">
        <v>20</v>
      </c>
      <c r="N181" s="8">
        <v>40</v>
      </c>
      <c r="O181" s="6" t="s">
        <v>3947</v>
      </c>
      <c r="P181" s="6" t="s">
        <v>3952</v>
      </c>
    </row>
    <row r="182" spans="1:16" ht="15" customHeight="1" x14ac:dyDescent="0.2">
      <c r="A182" s="7" t="s">
        <v>3935</v>
      </c>
      <c r="B182" s="7">
        <v>7146581</v>
      </c>
      <c r="C182" s="8">
        <v>3</v>
      </c>
      <c r="D182" s="8">
        <v>920877651</v>
      </c>
      <c r="E182" s="8" t="str">
        <f t="shared" si="12"/>
        <v>92087765122</v>
      </c>
      <c r="F182" s="8" t="s">
        <v>3629</v>
      </c>
      <c r="G182" s="8">
        <v>1</v>
      </c>
      <c r="H182" s="8">
        <v>20250401</v>
      </c>
      <c r="I182" s="8" t="str">
        <f t="shared" si="10"/>
        <v>4/1/2025</v>
      </c>
      <c r="J182" s="8">
        <v>20210901</v>
      </c>
      <c r="K182" s="8" t="str">
        <f t="shared" si="11"/>
        <v>9/1/2021</v>
      </c>
      <c r="L182" s="8" t="s">
        <v>56</v>
      </c>
      <c r="M182" s="8">
        <v>20</v>
      </c>
      <c r="N182" s="8">
        <v>60</v>
      </c>
      <c r="O182" s="6" t="s">
        <v>3947</v>
      </c>
      <c r="P182" s="6" t="s">
        <v>3953</v>
      </c>
    </row>
    <row r="183" spans="1:16" ht="15" customHeight="1" x14ac:dyDescent="0.2">
      <c r="A183" s="7" t="s">
        <v>3935</v>
      </c>
      <c r="B183" s="7">
        <v>7146581</v>
      </c>
      <c r="C183" s="8">
        <v>3</v>
      </c>
      <c r="D183" s="8">
        <v>921589939</v>
      </c>
      <c r="E183" s="8" t="str">
        <f t="shared" si="12"/>
        <v>92158993922</v>
      </c>
      <c r="F183" s="8" t="s">
        <v>3711</v>
      </c>
      <c r="G183" s="8">
        <v>1</v>
      </c>
      <c r="H183" s="8">
        <v>20250401</v>
      </c>
      <c r="I183" s="8" t="str">
        <f t="shared" si="10"/>
        <v>4/1/2025</v>
      </c>
      <c r="J183" s="8">
        <v>20220101</v>
      </c>
      <c r="K183" s="8" t="str">
        <f t="shared" si="11"/>
        <v>1/1/2022</v>
      </c>
      <c r="L183" s="8" t="s">
        <v>56</v>
      </c>
      <c r="M183" s="8">
        <v>20</v>
      </c>
      <c r="N183" s="8">
        <v>60</v>
      </c>
      <c r="O183" s="6" t="s">
        <v>3947</v>
      </c>
      <c r="P183" s="6" t="s">
        <v>3953</v>
      </c>
    </row>
    <row r="184" spans="1:16" ht="15" customHeight="1" x14ac:dyDescent="0.2">
      <c r="A184" s="7" t="s">
        <v>3935</v>
      </c>
      <c r="B184" s="7">
        <v>7146581</v>
      </c>
      <c r="C184" s="8">
        <v>3</v>
      </c>
      <c r="D184" s="8">
        <v>921677938</v>
      </c>
      <c r="E184" s="8" t="str">
        <f t="shared" si="12"/>
        <v>92167793822</v>
      </c>
      <c r="F184" s="8" t="s">
        <v>3745</v>
      </c>
      <c r="G184" s="8">
        <v>1</v>
      </c>
      <c r="H184" s="8">
        <v>20250401</v>
      </c>
      <c r="I184" s="8" t="str">
        <f t="shared" si="10"/>
        <v>4/1/2025</v>
      </c>
      <c r="J184" s="8">
        <v>20231101</v>
      </c>
      <c r="K184" s="8" t="str">
        <f t="shared" si="11"/>
        <v>11/1/2023</v>
      </c>
      <c r="L184" s="8" t="s">
        <v>56</v>
      </c>
      <c r="M184" s="8">
        <v>20</v>
      </c>
      <c r="N184" s="8">
        <v>60</v>
      </c>
      <c r="O184" s="6" t="s">
        <v>3947</v>
      </c>
      <c r="P184" s="6" t="s">
        <v>3953</v>
      </c>
    </row>
    <row r="185" spans="1:16" ht="15" customHeight="1" x14ac:dyDescent="0.2">
      <c r="A185" s="7" t="s">
        <v>3935</v>
      </c>
      <c r="B185" s="7">
        <v>7146581</v>
      </c>
      <c r="C185" s="8">
        <v>4</v>
      </c>
      <c r="D185" s="8">
        <v>890612011</v>
      </c>
      <c r="E185" s="8" t="str">
        <f t="shared" si="12"/>
        <v>89061201122</v>
      </c>
      <c r="F185" s="8" t="s">
        <v>3612</v>
      </c>
      <c r="G185" s="8">
        <v>1</v>
      </c>
      <c r="H185" s="8">
        <v>20250401</v>
      </c>
      <c r="I185" s="8" t="str">
        <f t="shared" si="10"/>
        <v>4/1/2025</v>
      </c>
      <c r="J185" s="8">
        <v>20140701</v>
      </c>
      <c r="K185" s="8" t="str">
        <f t="shared" si="11"/>
        <v>7/1/2014</v>
      </c>
      <c r="L185" s="8" t="s">
        <v>56</v>
      </c>
      <c r="M185" s="8">
        <v>20</v>
      </c>
      <c r="N185" s="8">
        <v>80</v>
      </c>
      <c r="O185" s="6" t="s">
        <v>3947</v>
      </c>
      <c r="P185" s="6" t="s">
        <v>3954</v>
      </c>
    </row>
    <row r="186" spans="1:16" ht="15" customHeight="1" x14ac:dyDescent="0.2">
      <c r="A186" s="7" t="s">
        <v>3935</v>
      </c>
      <c r="B186" s="7">
        <v>7146581</v>
      </c>
      <c r="C186" s="8">
        <v>1</v>
      </c>
      <c r="D186" s="8">
        <v>890603507</v>
      </c>
      <c r="E186" s="8" t="str">
        <f t="shared" si="12"/>
        <v>89060350722</v>
      </c>
      <c r="F186" s="8" t="s">
        <v>3610</v>
      </c>
      <c r="G186" s="8">
        <v>1</v>
      </c>
      <c r="H186" s="8">
        <v>20250401</v>
      </c>
      <c r="I186" s="8" t="str">
        <f t="shared" si="10"/>
        <v>4/1/2025</v>
      </c>
      <c r="J186" s="8">
        <v>20250101</v>
      </c>
      <c r="K186" s="8" t="str">
        <f t="shared" si="11"/>
        <v>1/1/2025</v>
      </c>
      <c r="L186" s="8" t="s">
        <v>56</v>
      </c>
      <c r="M186" s="8">
        <v>25</v>
      </c>
      <c r="N186" s="8">
        <v>25</v>
      </c>
      <c r="O186" s="6" t="s">
        <v>3947</v>
      </c>
    </row>
    <row r="187" spans="1:16" ht="15" customHeight="1" x14ac:dyDescent="0.2">
      <c r="A187" s="7" t="s">
        <v>3935</v>
      </c>
      <c r="B187" s="7">
        <v>7146581</v>
      </c>
      <c r="C187" s="8">
        <v>1</v>
      </c>
      <c r="D187" s="8">
        <v>921747609</v>
      </c>
      <c r="E187" s="8" t="str">
        <f t="shared" si="12"/>
        <v>92174760922</v>
      </c>
      <c r="F187" s="8" t="s">
        <v>3779</v>
      </c>
      <c r="G187" s="8">
        <v>1</v>
      </c>
      <c r="H187" s="8">
        <v>20250401</v>
      </c>
      <c r="I187" s="8" t="str">
        <f t="shared" si="10"/>
        <v>4/1/2025</v>
      </c>
      <c r="J187" s="8">
        <v>20250101</v>
      </c>
      <c r="K187" s="8" t="str">
        <f t="shared" si="11"/>
        <v>1/1/2025</v>
      </c>
      <c r="L187" s="8" t="s">
        <v>56</v>
      </c>
      <c r="M187" s="8">
        <v>25</v>
      </c>
      <c r="N187" s="8">
        <v>25</v>
      </c>
      <c r="O187" s="6" t="s">
        <v>3947</v>
      </c>
    </row>
    <row r="188" spans="1:16" ht="15" customHeight="1" x14ac:dyDescent="0.2">
      <c r="A188" s="7" t="s">
        <v>3935</v>
      </c>
      <c r="B188" s="7">
        <v>7146581</v>
      </c>
      <c r="C188" s="8">
        <v>1</v>
      </c>
      <c r="D188" s="8">
        <v>921763256</v>
      </c>
      <c r="E188" s="8" t="str">
        <f t="shared" si="12"/>
        <v>92176325622</v>
      </c>
      <c r="F188" s="8" t="s">
        <v>3787</v>
      </c>
      <c r="G188" s="8">
        <v>1</v>
      </c>
      <c r="H188" s="8">
        <v>20250401</v>
      </c>
      <c r="I188" s="8" t="str">
        <f t="shared" si="10"/>
        <v>4/1/2025</v>
      </c>
      <c r="J188" s="8">
        <v>20250101</v>
      </c>
      <c r="K188" s="8" t="str">
        <f t="shared" si="11"/>
        <v>1/1/2025</v>
      </c>
      <c r="L188" s="8" t="s">
        <v>56</v>
      </c>
      <c r="M188" s="8">
        <v>25</v>
      </c>
      <c r="N188" s="8">
        <v>25</v>
      </c>
      <c r="O188" s="6" t="s">
        <v>3947</v>
      </c>
    </row>
    <row r="189" spans="1:16" ht="15" customHeight="1" x14ac:dyDescent="0.2">
      <c r="A189" s="7" t="s">
        <v>3935</v>
      </c>
      <c r="B189" s="7">
        <v>7146581</v>
      </c>
      <c r="C189" s="8">
        <v>1</v>
      </c>
      <c r="D189" s="8">
        <v>921765839</v>
      </c>
      <c r="E189" s="8" t="str">
        <f t="shared" si="12"/>
        <v>92176583922</v>
      </c>
      <c r="F189" s="8" t="s">
        <v>3789</v>
      </c>
      <c r="G189" s="8">
        <v>1</v>
      </c>
      <c r="H189" s="8">
        <v>20250401</v>
      </c>
      <c r="I189" s="8" t="str">
        <f t="shared" si="10"/>
        <v>4/1/2025</v>
      </c>
      <c r="J189" s="8">
        <v>20250101</v>
      </c>
      <c r="K189" s="8" t="str">
        <f t="shared" si="11"/>
        <v>1/1/2025</v>
      </c>
      <c r="L189" s="8" t="s">
        <v>56</v>
      </c>
      <c r="M189" s="8">
        <v>25</v>
      </c>
      <c r="N189" s="8">
        <v>25</v>
      </c>
      <c r="O189" s="6" t="s">
        <v>3947</v>
      </c>
    </row>
    <row r="190" spans="1:16" ht="15" customHeight="1" x14ac:dyDescent="0.2">
      <c r="A190" s="7" t="s">
        <v>3935</v>
      </c>
      <c r="B190" s="7">
        <v>7146581</v>
      </c>
      <c r="C190" s="8">
        <v>1</v>
      </c>
      <c r="D190" s="8">
        <v>921778274</v>
      </c>
      <c r="E190" s="8" t="str">
        <f t="shared" si="12"/>
        <v>92177827422</v>
      </c>
      <c r="F190" s="8" t="s">
        <v>3801</v>
      </c>
      <c r="G190" s="8">
        <v>1</v>
      </c>
      <c r="H190" s="8">
        <v>20250401</v>
      </c>
      <c r="I190" s="8" t="str">
        <f t="shared" si="10"/>
        <v>4/1/2025</v>
      </c>
      <c r="J190" s="8">
        <v>20250201</v>
      </c>
      <c r="K190" s="8" t="str">
        <f t="shared" si="11"/>
        <v>2/1/2025</v>
      </c>
      <c r="L190" s="8" t="s">
        <v>56</v>
      </c>
      <c r="M190" s="8">
        <v>25</v>
      </c>
      <c r="N190" s="8">
        <v>25</v>
      </c>
      <c r="O190" s="6" t="s">
        <v>3947</v>
      </c>
    </row>
    <row r="191" spans="1:16" ht="15" customHeight="1" x14ac:dyDescent="0.2">
      <c r="A191" s="7" t="s">
        <v>3935</v>
      </c>
      <c r="B191" s="7">
        <v>7146581</v>
      </c>
      <c r="C191" s="8">
        <v>1</v>
      </c>
      <c r="D191" s="8">
        <v>921778274</v>
      </c>
      <c r="E191" s="8" t="str">
        <f t="shared" si="12"/>
        <v>92177827422</v>
      </c>
      <c r="F191" s="8" t="s">
        <v>3801</v>
      </c>
      <c r="G191" s="8">
        <v>1</v>
      </c>
      <c r="H191" s="8">
        <v>20250301</v>
      </c>
      <c r="I191" s="8" t="str">
        <f t="shared" si="10"/>
        <v>3/1/2025</v>
      </c>
      <c r="J191" s="8">
        <v>20250201</v>
      </c>
      <c r="K191" s="8" t="str">
        <f t="shared" si="11"/>
        <v>2/1/2025</v>
      </c>
      <c r="L191" s="8" t="s">
        <v>56</v>
      </c>
      <c r="M191" s="8">
        <v>25</v>
      </c>
      <c r="N191" s="8">
        <v>25</v>
      </c>
      <c r="O191" s="6" t="s">
        <v>3947</v>
      </c>
    </row>
    <row r="192" spans="1:16" ht="15" customHeight="1" x14ac:dyDescent="0.2">
      <c r="A192" s="7" t="s">
        <v>3935</v>
      </c>
      <c r="B192" s="7">
        <v>7146581</v>
      </c>
      <c r="C192" s="8">
        <v>2</v>
      </c>
      <c r="D192" s="8">
        <v>920884024</v>
      </c>
      <c r="E192" s="8" t="str">
        <f t="shared" si="12"/>
        <v>92088402422</v>
      </c>
      <c r="F192" s="8" t="s">
        <v>3633</v>
      </c>
      <c r="G192" s="8">
        <v>1</v>
      </c>
      <c r="H192" s="8">
        <v>20250401</v>
      </c>
      <c r="I192" s="8" t="str">
        <f t="shared" si="10"/>
        <v>4/1/2025</v>
      </c>
      <c r="J192" s="8">
        <v>20250101</v>
      </c>
      <c r="K192" s="8" t="str">
        <f t="shared" si="11"/>
        <v>1/1/2025</v>
      </c>
      <c r="L192" s="8" t="s">
        <v>56</v>
      </c>
      <c r="M192" s="8">
        <v>25</v>
      </c>
      <c r="N192" s="8">
        <v>50</v>
      </c>
      <c r="O192" s="6" t="s">
        <v>3947</v>
      </c>
      <c r="P192" s="6" t="s">
        <v>3952</v>
      </c>
    </row>
    <row r="193" spans="1:37" ht="15" customHeight="1" x14ac:dyDescent="0.2">
      <c r="A193" s="7" t="s">
        <v>3935</v>
      </c>
      <c r="B193" s="7">
        <v>7146581</v>
      </c>
      <c r="C193" s="8">
        <v>2</v>
      </c>
      <c r="D193" s="8">
        <v>921272187</v>
      </c>
      <c r="E193" s="8" t="str">
        <f t="shared" si="12"/>
        <v>92127218722</v>
      </c>
      <c r="F193" s="8" t="s">
        <v>3661</v>
      </c>
      <c r="G193" s="8">
        <v>1</v>
      </c>
      <c r="H193" s="8">
        <v>20250401</v>
      </c>
      <c r="I193" s="8" t="str">
        <f t="shared" si="10"/>
        <v>4/1/2025</v>
      </c>
      <c r="J193" s="8">
        <v>20240501</v>
      </c>
      <c r="K193" s="8" t="str">
        <f t="shared" si="11"/>
        <v>5/1/2024</v>
      </c>
      <c r="L193" s="8" t="s">
        <v>56</v>
      </c>
      <c r="M193" s="8">
        <v>25</v>
      </c>
      <c r="N193" s="8">
        <v>50</v>
      </c>
      <c r="O193" s="6" t="s">
        <v>3947</v>
      </c>
      <c r="P193" s="6" t="s">
        <v>3952</v>
      </c>
    </row>
    <row r="194" spans="1:37" ht="15" customHeight="1" x14ac:dyDescent="0.2">
      <c r="A194" s="7" t="s">
        <v>3935</v>
      </c>
      <c r="B194" s="7">
        <v>7146581</v>
      </c>
      <c r="C194" s="8">
        <v>2</v>
      </c>
      <c r="D194" s="8">
        <v>921272187</v>
      </c>
      <c r="E194" s="8" t="str">
        <f t="shared" si="12"/>
        <v>92127218722</v>
      </c>
      <c r="F194" s="8" t="s">
        <v>3661</v>
      </c>
      <c r="G194" s="8">
        <v>1</v>
      </c>
      <c r="H194" s="8">
        <v>20250301</v>
      </c>
      <c r="I194" s="8" t="str">
        <f t="shared" si="10"/>
        <v>3/1/2025</v>
      </c>
      <c r="J194" s="8">
        <v>20240501</v>
      </c>
      <c r="K194" s="8" t="str">
        <f t="shared" si="11"/>
        <v>5/1/2024</v>
      </c>
      <c r="L194" s="8" t="s">
        <v>56</v>
      </c>
      <c r="M194" s="8">
        <v>25</v>
      </c>
      <c r="N194" s="8">
        <v>50</v>
      </c>
      <c r="O194" s="6" t="s">
        <v>3947</v>
      </c>
      <c r="P194" s="6" t="s">
        <v>3952</v>
      </c>
    </row>
    <row r="195" spans="1:37" ht="15" customHeight="1" x14ac:dyDescent="0.2">
      <c r="A195" s="7" t="s">
        <v>3935</v>
      </c>
      <c r="B195" s="7">
        <v>7146581</v>
      </c>
      <c r="C195" s="8">
        <v>2</v>
      </c>
      <c r="D195" s="8">
        <v>921437840</v>
      </c>
      <c r="E195" s="8" t="str">
        <f t="shared" si="12"/>
        <v>92143784022</v>
      </c>
      <c r="F195" s="8" t="s">
        <v>3683</v>
      </c>
      <c r="G195" s="8">
        <v>1</v>
      </c>
      <c r="H195" s="8">
        <v>20250401</v>
      </c>
      <c r="I195" s="8" t="str">
        <f t="shared" ref="I195:I258" si="13">TEXT(DATE(LEFT(H195,4), MID(H195,5,2), RIGHT(H195,2)), "M/d/yyyy")</f>
        <v>4/1/2025</v>
      </c>
      <c r="J195" s="8">
        <v>20240501</v>
      </c>
      <c r="K195" s="8" t="str">
        <f t="shared" ref="K195:K258" si="14">TEXT(DATE(LEFT(J195,4), MID(J195,5,2), RIGHT(J195,2)), "M/d/yyyy")</f>
        <v>5/1/2024</v>
      </c>
      <c r="L195" s="8" t="s">
        <v>56</v>
      </c>
      <c r="M195" s="8">
        <v>25</v>
      </c>
      <c r="N195" s="8">
        <v>50</v>
      </c>
      <c r="O195" s="6" t="s">
        <v>3947</v>
      </c>
      <c r="P195" s="6" t="s">
        <v>3952</v>
      </c>
    </row>
    <row r="196" spans="1:37" ht="15" customHeight="1" x14ac:dyDescent="0.2">
      <c r="A196" s="7" t="s">
        <v>3935</v>
      </c>
      <c r="B196" s="7">
        <v>7146581</v>
      </c>
      <c r="C196" s="8">
        <v>2</v>
      </c>
      <c r="D196" s="8">
        <v>921743262</v>
      </c>
      <c r="E196" s="8" t="str">
        <f t="shared" si="12"/>
        <v>92174326222</v>
      </c>
      <c r="F196" s="8" t="s">
        <v>3771</v>
      </c>
      <c r="G196" s="8">
        <v>1</v>
      </c>
      <c r="H196" s="8">
        <v>20250401</v>
      </c>
      <c r="I196" s="8" t="str">
        <f t="shared" si="13"/>
        <v>4/1/2025</v>
      </c>
      <c r="J196" s="8">
        <v>20241101</v>
      </c>
      <c r="K196" s="8" t="str">
        <f t="shared" si="14"/>
        <v>11/1/2024</v>
      </c>
      <c r="L196" s="8" t="s">
        <v>56</v>
      </c>
      <c r="M196" s="8">
        <v>25</v>
      </c>
      <c r="N196" s="8">
        <v>50</v>
      </c>
      <c r="O196" s="6" t="s">
        <v>3947</v>
      </c>
      <c r="P196" s="6" t="s">
        <v>3952</v>
      </c>
    </row>
    <row r="197" spans="1:37" ht="15" customHeight="1" x14ac:dyDescent="0.2">
      <c r="A197" s="7" t="s">
        <v>3935</v>
      </c>
      <c r="B197" s="7">
        <v>7146581</v>
      </c>
      <c r="C197" s="8">
        <v>2</v>
      </c>
      <c r="D197" s="8">
        <v>921776589</v>
      </c>
      <c r="E197" s="8" t="str">
        <f t="shared" si="12"/>
        <v>92177658922</v>
      </c>
      <c r="F197" s="8" t="s">
        <v>3795</v>
      </c>
      <c r="G197" s="8">
        <v>1</v>
      </c>
      <c r="H197" s="8">
        <v>20250401</v>
      </c>
      <c r="I197" s="8" t="str">
        <f t="shared" si="13"/>
        <v>4/1/2025</v>
      </c>
      <c r="J197" s="8">
        <v>20250201</v>
      </c>
      <c r="K197" s="8" t="str">
        <f t="shared" si="14"/>
        <v>2/1/2025</v>
      </c>
      <c r="L197" s="8" t="s">
        <v>56</v>
      </c>
      <c r="M197" s="8">
        <v>25</v>
      </c>
      <c r="N197" s="8">
        <v>50</v>
      </c>
      <c r="O197" s="6" t="s">
        <v>3947</v>
      </c>
      <c r="P197" s="6" t="s">
        <v>3952</v>
      </c>
    </row>
    <row r="198" spans="1:37" ht="15" customHeight="1" x14ac:dyDescent="0.2">
      <c r="A198" s="7" t="s">
        <v>3935</v>
      </c>
      <c r="B198" s="7">
        <v>7146581</v>
      </c>
      <c r="C198" s="8">
        <v>2</v>
      </c>
      <c r="D198" s="8">
        <v>921776589</v>
      </c>
      <c r="E198" s="8" t="str">
        <f t="shared" si="12"/>
        <v>92177658922</v>
      </c>
      <c r="F198" s="8" t="s">
        <v>3795</v>
      </c>
      <c r="G198" s="8">
        <v>1</v>
      </c>
      <c r="H198" s="8">
        <v>20250301</v>
      </c>
      <c r="I198" s="8" t="str">
        <f t="shared" si="13"/>
        <v>3/1/2025</v>
      </c>
      <c r="J198" s="8">
        <v>20250201</v>
      </c>
      <c r="K198" s="8" t="str">
        <f t="shared" si="14"/>
        <v>2/1/2025</v>
      </c>
      <c r="L198" s="8" t="s">
        <v>56</v>
      </c>
      <c r="M198" s="8">
        <v>25</v>
      </c>
      <c r="N198" s="8">
        <v>50</v>
      </c>
      <c r="O198" s="6" t="s">
        <v>3947</v>
      </c>
      <c r="P198" s="6" t="s">
        <v>3952</v>
      </c>
    </row>
    <row r="199" spans="1:37" ht="15" customHeight="1" x14ac:dyDescent="0.2">
      <c r="A199" s="7" t="s">
        <v>3935</v>
      </c>
      <c r="B199" s="7">
        <v>7146581</v>
      </c>
      <c r="C199" s="8">
        <v>4</v>
      </c>
      <c r="D199" s="8">
        <v>921734718</v>
      </c>
      <c r="E199" s="8" t="str">
        <f t="shared" si="12"/>
        <v>92173471822</v>
      </c>
      <c r="F199" s="8" t="s">
        <v>3765</v>
      </c>
      <c r="G199" s="8">
        <v>1</v>
      </c>
      <c r="H199" s="8">
        <v>20250401</v>
      </c>
      <c r="I199" s="8" t="str">
        <f t="shared" si="13"/>
        <v>4/1/2025</v>
      </c>
      <c r="J199" s="8">
        <v>20240901</v>
      </c>
      <c r="K199" s="8" t="str">
        <f t="shared" si="14"/>
        <v>9/1/2024</v>
      </c>
      <c r="L199" s="8" t="s">
        <v>56</v>
      </c>
      <c r="M199" s="8">
        <v>25</v>
      </c>
      <c r="N199" s="8">
        <v>100</v>
      </c>
      <c r="O199" s="6" t="s">
        <v>3947</v>
      </c>
      <c r="P199" s="6" t="s">
        <v>3954</v>
      </c>
    </row>
    <row r="200" spans="1:37" ht="15" customHeight="1" x14ac:dyDescent="0.2">
      <c r="A200" s="7" t="s">
        <v>3935</v>
      </c>
      <c r="B200" s="7">
        <v>7146581</v>
      </c>
      <c r="C200" s="8">
        <v>1</v>
      </c>
      <c r="D200" s="8">
        <v>921442441</v>
      </c>
      <c r="E200" s="8" t="str">
        <f>CONCATENATE(D200,33)</f>
        <v>92144244133</v>
      </c>
      <c r="F200" s="8" t="s">
        <v>3685</v>
      </c>
      <c r="G200" s="8">
        <v>1</v>
      </c>
      <c r="H200" s="8">
        <v>20250401</v>
      </c>
      <c r="I200" s="8" t="str">
        <f t="shared" si="13"/>
        <v>4/1/2025</v>
      </c>
      <c r="J200" s="8">
        <v>20240201</v>
      </c>
      <c r="K200" s="8" t="str">
        <f t="shared" si="14"/>
        <v>2/1/2024</v>
      </c>
      <c r="L200" s="8" t="s">
        <v>198</v>
      </c>
      <c r="M200" s="8">
        <v>15</v>
      </c>
      <c r="N200" s="8">
        <v>15</v>
      </c>
      <c r="O200" s="6" t="s">
        <v>3950</v>
      </c>
    </row>
    <row r="201" spans="1:37" ht="15" customHeight="1" x14ac:dyDescent="0.2">
      <c r="A201" s="7" t="s">
        <v>3935</v>
      </c>
      <c r="B201" s="7">
        <v>7146581</v>
      </c>
      <c r="C201" s="8">
        <v>1</v>
      </c>
      <c r="D201" s="8">
        <v>921442441</v>
      </c>
      <c r="E201" s="8" t="str">
        <f>CONCATENATE(D201,33)</f>
        <v>92144244133</v>
      </c>
      <c r="F201" s="8" t="s">
        <v>3685</v>
      </c>
      <c r="G201" s="8">
        <v>1</v>
      </c>
      <c r="H201" s="8">
        <v>20250301</v>
      </c>
      <c r="I201" s="8" t="str">
        <f t="shared" si="13"/>
        <v>3/1/2025</v>
      </c>
      <c r="J201" s="8">
        <v>20240201</v>
      </c>
      <c r="K201" s="8" t="str">
        <f t="shared" si="14"/>
        <v>2/1/2024</v>
      </c>
      <c r="L201" s="8" t="s">
        <v>198</v>
      </c>
      <c r="M201" s="8">
        <v>15</v>
      </c>
      <c r="N201" s="8">
        <v>15</v>
      </c>
      <c r="O201" s="6" t="s">
        <v>3950</v>
      </c>
    </row>
    <row r="202" spans="1:37" ht="15" customHeight="1" x14ac:dyDescent="0.2">
      <c r="A202" s="7" t="s">
        <v>3935</v>
      </c>
      <c r="B202" s="7">
        <v>7146581</v>
      </c>
      <c r="C202" s="8">
        <v>1</v>
      </c>
      <c r="D202" s="8">
        <v>921755936</v>
      </c>
      <c r="E202" s="8" t="str">
        <f>CONCATENATE(D202,33)</f>
        <v>92175593633</v>
      </c>
      <c r="F202" s="8" t="s">
        <v>3785</v>
      </c>
      <c r="G202" s="8">
        <v>1</v>
      </c>
      <c r="H202" s="8">
        <v>20250401</v>
      </c>
      <c r="I202" s="8" t="str">
        <f t="shared" si="13"/>
        <v>4/1/2025</v>
      </c>
      <c r="J202" s="8">
        <v>20250101</v>
      </c>
      <c r="K202" s="8" t="str">
        <f t="shared" si="14"/>
        <v>1/1/2025</v>
      </c>
      <c r="L202" s="8" t="s">
        <v>198</v>
      </c>
      <c r="M202" s="8">
        <v>20</v>
      </c>
      <c r="N202" s="8">
        <v>20</v>
      </c>
      <c r="O202" s="6" t="s">
        <v>3950</v>
      </c>
    </row>
    <row r="203" spans="1:37" ht="15" customHeight="1" x14ac:dyDescent="0.3">
      <c r="A203" s="7" t="s">
        <v>3935</v>
      </c>
      <c r="B203" s="7">
        <v>7146581</v>
      </c>
      <c r="C203" s="8">
        <v>1</v>
      </c>
      <c r="D203" s="8">
        <v>890475507</v>
      </c>
      <c r="E203" s="8" t="str">
        <f t="shared" ref="E203:E234" si="15">CONCATENATE(D203,44)</f>
        <v>89047550744</v>
      </c>
      <c r="F203" s="8" t="s">
        <v>3604</v>
      </c>
      <c r="G203" s="8">
        <v>1</v>
      </c>
      <c r="H203" s="8">
        <v>20250401</v>
      </c>
      <c r="I203" s="8" t="str">
        <f t="shared" si="13"/>
        <v>4/1/2025</v>
      </c>
      <c r="J203" s="8">
        <v>20140601</v>
      </c>
      <c r="K203" s="8" t="str">
        <f t="shared" si="14"/>
        <v>6/1/2014</v>
      </c>
      <c r="L203" s="8" t="s">
        <v>65</v>
      </c>
      <c r="M203" s="8">
        <v>25</v>
      </c>
      <c r="N203" s="8">
        <v>25</v>
      </c>
      <c r="O203" s="14" t="s">
        <v>3948</v>
      </c>
    </row>
    <row r="204" spans="1:37" ht="15" customHeight="1" x14ac:dyDescent="0.3">
      <c r="A204" s="7" t="s">
        <v>3935</v>
      </c>
      <c r="B204" s="7">
        <v>7146581</v>
      </c>
      <c r="C204" s="8">
        <v>1</v>
      </c>
      <c r="D204" s="8">
        <v>890475507</v>
      </c>
      <c r="E204" s="8" t="str">
        <f t="shared" si="15"/>
        <v>89047550744</v>
      </c>
      <c r="F204" s="8" t="s">
        <v>3604</v>
      </c>
      <c r="G204" s="8">
        <v>1</v>
      </c>
      <c r="H204" s="8">
        <v>20250301</v>
      </c>
      <c r="I204" s="8" t="str">
        <f t="shared" si="13"/>
        <v>3/1/2025</v>
      </c>
      <c r="J204" s="8">
        <v>20140601</v>
      </c>
      <c r="K204" s="8" t="str">
        <f t="shared" si="14"/>
        <v>6/1/2014</v>
      </c>
      <c r="L204" s="8" t="s">
        <v>65</v>
      </c>
      <c r="M204" s="8">
        <v>25</v>
      </c>
      <c r="N204" s="8">
        <v>25</v>
      </c>
      <c r="O204" s="14" t="s">
        <v>3948</v>
      </c>
    </row>
    <row r="205" spans="1:37" ht="15" customHeight="1" x14ac:dyDescent="0.3">
      <c r="A205" s="7" t="s">
        <v>3935</v>
      </c>
      <c r="B205" s="7">
        <v>7146581</v>
      </c>
      <c r="C205" s="8">
        <v>1</v>
      </c>
      <c r="D205" s="8">
        <v>890475507</v>
      </c>
      <c r="E205" s="8" t="str">
        <f t="shared" si="15"/>
        <v>89047550744</v>
      </c>
      <c r="F205" s="8" t="s">
        <v>3604</v>
      </c>
      <c r="G205" s="8">
        <v>1</v>
      </c>
      <c r="H205" s="8">
        <v>20250201</v>
      </c>
      <c r="I205" s="8" t="str">
        <f t="shared" si="13"/>
        <v>2/1/2025</v>
      </c>
      <c r="J205" s="8">
        <v>20140601</v>
      </c>
      <c r="K205" s="8" t="str">
        <f t="shared" si="14"/>
        <v>6/1/2014</v>
      </c>
      <c r="L205" s="8" t="s">
        <v>65</v>
      </c>
      <c r="M205" s="8">
        <v>25</v>
      </c>
      <c r="N205" s="8">
        <v>25</v>
      </c>
      <c r="O205" s="14" t="s">
        <v>3948</v>
      </c>
    </row>
    <row r="206" spans="1:37" ht="15" customHeight="1" x14ac:dyDescent="0.3">
      <c r="A206" s="7" t="s">
        <v>3935</v>
      </c>
      <c r="B206" s="7">
        <v>7146581</v>
      </c>
      <c r="C206" s="8">
        <v>1</v>
      </c>
      <c r="D206" s="8">
        <v>920792870</v>
      </c>
      <c r="E206" s="8" t="str">
        <f t="shared" si="15"/>
        <v>92079287044</v>
      </c>
      <c r="F206" s="8" t="s">
        <v>3625</v>
      </c>
      <c r="G206" s="8">
        <v>1</v>
      </c>
      <c r="H206" s="8">
        <v>20250401</v>
      </c>
      <c r="I206" s="8" t="str">
        <f t="shared" si="13"/>
        <v>4/1/2025</v>
      </c>
      <c r="J206" s="8">
        <v>20230401</v>
      </c>
      <c r="K206" s="8" t="str">
        <f t="shared" si="14"/>
        <v>4/1/2023</v>
      </c>
      <c r="L206" s="8" t="s">
        <v>65</v>
      </c>
      <c r="M206" s="8">
        <v>25</v>
      </c>
      <c r="N206" s="8">
        <v>25</v>
      </c>
      <c r="O206" s="14" t="s">
        <v>3948</v>
      </c>
    </row>
    <row r="207" spans="1:37" ht="15" customHeight="1" x14ac:dyDescent="0.3">
      <c r="A207" s="7" t="s">
        <v>3935</v>
      </c>
      <c r="B207" s="7">
        <v>7146581</v>
      </c>
      <c r="C207" s="8">
        <v>1</v>
      </c>
      <c r="D207" s="8">
        <v>920862291</v>
      </c>
      <c r="E207" s="8" t="str">
        <f t="shared" si="15"/>
        <v>92086229144</v>
      </c>
      <c r="F207" s="8" t="s">
        <v>3627</v>
      </c>
      <c r="G207" s="8">
        <v>1</v>
      </c>
      <c r="H207" s="8">
        <v>20250401</v>
      </c>
      <c r="I207" s="8" t="str">
        <f t="shared" si="13"/>
        <v>4/1/2025</v>
      </c>
      <c r="J207" s="8">
        <v>20231201</v>
      </c>
      <c r="K207" s="8" t="str">
        <f t="shared" si="14"/>
        <v>12/1/2023</v>
      </c>
      <c r="L207" s="8" t="s">
        <v>65</v>
      </c>
      <c r="M207" s="8">
        <v>25</v>
      </c>
      <c r="N207" s="8">
        <v>25</v>
      </c>
      <c r="O207" s="14" t="s">
        <v>3948</v>
      </c>
    </row>
    <row r="208" spans="1:37" ht="15" customHeight="1" x14ac:dyDescent="0.3">
      <c r="A208" s="7" t="s">
        <v>3935</v>
      </c>
      <c r="B208" s="7">
        <v>7146581</v>
      </c>
      <c r="C208" s="8">
        <v>1</v>
      </c>
      <c r="D208" s="8">
        <v>921027671</v>
      </c>
      <c r="E208" s="8" t="str">
        <f t="shared" si="15"/>
        <v>92102767144</v>
      </c>
      <c r="F208" s="8" t="s">
        <v>3645</v>
      </c>
      <c r="G208" s="8">
        <v>1</v>
      </c>
      <c r="H208" s="8">
        <v>20250401</v>
      </c>
      <c r="I208" s="8" t="str">
        <f t="shared" si="13"/>
        <v>4/1/2025</v>
      </c>
      <c r="J208" s="8">
        <v>20150101</v>
      </c>
      <c r="K208" s="8" t="str">
        <f t="shared" si="14"/>
        <v>1/1/2015</v>
      </c>
      <c r="L208" s="8" t="s">
        <v>65</v>
      </c>
      <c r="M208" s="8">
        <v>25</v>
      </c>
      <c r="N208" s="8">
        <v>25</v>
      </c>
      <c r="O208" s="14" t="s">
        <v>3948</v>
      </c>
      <c r="AK208" s="13"/>
    </row>
    <row r="209" spans="1:37" ht="15" customHeight="1" x14ac:dyDescent="0.3">
      <c r="A209" s="7" t="s">
        <v>3935</v>
      </c>
      <c r="B209" s="7">
        <v>7146581</v>
      </c>
      <c r="C209" s="8">
        <v>1</v>
      </c>
      <c r="D209" s="8">
        <v>921212612</v>
      </c>
      <c r="E209" s="8" t="str">
        <f t="shared" si="15"/>
        <v>92121261244</v>
      </c>
      <c r="F209" s="8" t="s">
        <v>3657</v>
      </c>
      <c r="G209" s="8">
        <v>1</v>
      </c>
      <c r="H209" s="8">
        <v>20250401</v>
      </c>
      <c r="I209" s="8" t="str">
        <f t="shared" si="13"/>
        <v>4/1/2025</v>
      </c>
      <c r="J209" s="8">
        <v>20230101</v>
      </c>
      <c r="K209" s="8" t="str">
        <f t="shared" si="14"/>
        <v>1/1/2023</v>
      </c>
      <c r="L209" s="8" t="s">
        <v>65</v>
      </c>
      <c r="M209" s="8">
        <v>25</v>
      </c>
      <c r="N209" s="8">
        <v>25</v>
      </c>
      <c r="O209" s="14" t="s">
        <v>3948</v>
      </c>
      <c r="AK209" s="13"/>
    </row>
    <row r="210" spans="1:37" ht="15" customHeight="1" x14ac:dyDescent="0.3">
      <c r="A210" s="7" t="s">
        <v>3935</v>
      </c>
      <c r="B210" s="7">
        <v>7146581</v>
      </c>
      <c r="C210" s="8">
        <v>1</v>
      </c>
      <c r="D210" s="8">
        <v>921212612</v>
      </c>
      <c r="E210" s="8" t="str">
        <f t="shared" si="15"/>
        <v>92121261244</v>
      </c>
      <c r="F210" s="8" t="s">
        <v>3657</v>
      </c>
      <c r="G210" s="8">
        <v>1</v>
      </c>
      <c r="H210" s="8">
        <v>20250301</v>
      </c>
      <c r="I210" s="8" t="str">
        <f t="shared" si="13"/>
        <v>3/1/2025</v>
      </c>
      <c r="J210" s="8">
        <v>20230101</v>
      </c>
      <c r="K210" s="8" t="str">
        <f t="shared" si="14"/>
        <v>1/1/2023</v>
      </c>
      <c r="L210" s="8" t="s">
        <v>65</v>
      </c>
      <c r="M210" s="8">
        <v>25</v>
      </c>
      <c r="N210" s="8">
        <v>25</v>
      </c>
      <c r="O210" s="14" t="s">
        <v>3948</v>
      </c>
      <c r="AK210" s="13"/>
    </row>
    <row r="211" spans="1:37" ht="15" customHeight="1" x14ac:dyDescent="0.3">
      <c r="A211" s="7" t="s">
        <v>3935</v>
      </c>
      <c r="B211" s="7">
        <v>7146581</v>
      </c>
      <c r="C211" s="8">
        <v>1</v>
      </c>
      <c r="D211" s="8">
        <v>921491463</v>
      </c>
      <c r="E211" s="8" t="str">
        <f t="shared" si="15"/>
        <v>92149146344</v>
      </c>
      <c r="F211" s="8" t="s">
        <v>3695</v>
      </c>
      <c r="G211" s="8">
        <v>1</v>
      </c>
      <c r="H211" s="8">
        <v>20250401</v>
      </c>
      <c r="I211" s="8" t="str">
        <f t="shared" si="13"/>
        <v>4/1/2025</v>
      </c>
      <c r="J211" s="8">
        <v>20191201</v>
      </c>
      <c r="K211" s="8" t="str">
        <f t="shared" si="14"/>
        <v>12/1/2019</v>
      </c>
      <c r="L211" s="8" t="s">
        <v>65</v>
      </c>
      <c r="M211" s="8">
        <v>25</v>
      </c>
      <c r="N211" s="8">
        <v>25</v>
      </c>
      <c r="O211" s="14" t="s">
        <v>3948</v>
      </c>
      <c r="AK211" s="13"/>
    </row>
    <row r="212" spans="1:37" ht="15" customHeight="1" x14ac:dyDescent="0.3">
      <c r="A212" s="7" t="s">
        <v>3935</v>
      </c>
      <c r="B212" s="7">
        <v>7146581</v>
      </c>
      <c r="C212" s="8">
        <v>1</v>
      </c>
      <c r="D212" s="8">
        <v>921526584</v>
      </c>
      <c r="E212" s="8" t="str">
        <f t="shared" si="15"/>
        <v>92152658444</v>
      </c>
      <c r="F212" s="8" t="s">
        <v>3705</v>
      </c>
      <c r="G212" s="8">
        <v>1</v>
      </c>
      <c r="H212" s="8">
        <v>20250401</v>
      </c>
      <c r="I212" s="8" t="str">
        <f t="shared" si="13"/>
        <v>4/1/2025</v>
      </c>
      <c r="J212" s="8">
        <v>20230401</v>
      </c>
      <c r="K212" s="8" t="str">
        <f t="shared" si="14"/>
        <v>4/1/2023</v>
      </c>
      <c r="L212" s="8" t="s">
        <v>65</v>
      </c>
      <c r="M212" s="8">
        <v>25</v>
      </c>
      <c r="N212" s="8">
        <v>25</v>
      </c>
      <c r="O212" s="14" t="s">
        <v>3948</v>
      </c>
      <c r="AK212" s="12"/>
    </row>
    <row r="213" spans="1:37" ht="15" customHeight="1" x14ac:dyDescent="0.3">
      <c r="A213" s="7" t="s">
        <v>3935</v>
      </c>
      <c r="B213" s="7">
        <v>7146581</v>
      </c>
      <c r="C213" s="8">
        <v>1</v>
      </c>
      <c r="D213" s="8">
        <v>921526584</v>
      </c>
      <c r="E213" s="8" t="str">
        <f t="shared" si="15"/>
        <v>92152658444</v>
      </c>
      <c r="F213" s="8" t="s">
        <v>3705</v>
      </c>
      <c r="G213" s="8">
        <v>1</v>
      </c>
      <c r="H213" s="8">
        <v>20250301</v>
      </c>
      <c r="I213" s="8" t="str">
        <f t="shared" si="13"/>
        <v>3/1/2025</v>
      </c>
      <c r="J213" s="8">
        <v>20230401</v>
      </c>
      <c r="K213" s="8" t="str">
        <f t="shared" si="14"/>
        <v>4/1/2023</v>
      </c>
      <c r="L213" s="8" t="s">
        <v>65</v>
      </c>
      <c r="M213" s="8">
        <v>25</v>
      </c>
      <c r="N213" s="8">
        <v>25</v>
      </c>
      <c r="O213" s="14" t="s">
        <v>3948</v>
      </c>
      <c r="AK213" s="12"/>
    </row>
    <row r="214" spans="1:37" ht="15" customHeight="1" x14ac:dyDescent="0.3">
      <c r="A214" s="7" t="s">
        <v>3935</v>
      </c>
      <c r="B214" s="7">
        <v>7146581</v>
      </c>
      <c r="C214" s="8">
        <v>1</v>
      </c>
      <c r="D214" s="8">
        <v>921526584</v>
      </c>
      <c r="E214" s="8" t="str">
        <f t="shared" si="15"/>
        <v>92152658444</v>
      </c>
      <c r="F214" s="8" t="s">
        <v>3705</v>
      </c>
      <c r="G214" s="8">
        <v>1</v>
      </c>
      <c r="H214" s="8">
        <v>20250201</v>
      </c>
      <c r="I214" s="8" t="str">
        <f t="shared" si="13"/>
        <v>2/1/2025</v>
      </c>
      <c r="J214" s="8">
        <v>20230401</v>
      </c>
      <c r="K214" s="8" t="str">
        <f t="shared" si="14"/>
        <v>4/1/2023</v>
      </c>
      <c r="L214" s="8" t="s">
        <v>65</v>
      </c>
      <c r="M214" s="8">
        <v>25</v>
      </c>
      <c r="N214" s="8">
        <v>25</v>
      </c>
      <c r="O214" s="14" t="s">
        <v>3948</v>
      </c>
      <c r="AK214" s="12"/>
    </row>
    <row r="215" spans="1:37" ht="15" customHeight="1" x14ac:dyDescent="0.3">
      <c r="A215" s="7" t="s">
        <v>3935</v>
      </c>
      <c r="B215" s="7">
        <v>7146581</v>
      </c>
      <c r="C215" s="8">
        <v>1</v>
      </c>
      <c r="D215" s="8">
        <v>921600843</v>
      </c>
      <c r="E215" s="8" t="str">
        <f t="shared" si="15"/>
        <v>92160084344</v>
      </c>
      <c r="F215" s="8" t="s">
        <v>3715</v>
      </c>
      <c r="G215" s="8">
        <v>1</v>
      </c>
      <c r="H215" s="8">
        <v>20250401</v>
      </c>
      <c r="I215" s="8" t="str">
        <f t="shared" si="13"/>
        <v>4/1/2025</v>
      </c>
      <c r="J215" s="8">
        <v>20220101</v>
      </c>
      <c r="K215" s="8" t="str">
        <f t="shared" si="14"/>
        <v>1/1/2022</v>
      </c>
      <c r="L215" s="8" t="s">
        <v>65</v>
      </c>
      <c r="M215" s="8">
        <v>25</v>
      </c>
      <c r="N215" s="8">
        <v>25</v>
      </c>
      <c r="O215" s="14" t="s">
        <v>3948</v>
      </c>
      <c r="AK215" s="12"/>
    </row>
    <row r="216" spans="1:37" ht="15" customHeight="1" x14ac:dyDescent="0.3">
      <c r="A216" s="7" t="s">
        <v>3935</v>
      </c>
      <c r="B216" s="7">
        <v>7146581</v>
      </c>
      <c r="C216" s="8">
        <v>1</v>
      </c>
      <c r="D216" s="8">
        <v>921600843</v>
      </c>
      <c r="E216" s="8" t="str">
        <f t="shared" si="15"/>
        <v>92160084344</v>
      </c>
      <c r="F216" s="8" t="s">
        <v>3715</v>
      </c>
      <c r="G216" s="8">
        <v>1</v>
      </c>
      <c r="H216" s="8">
        <v>20250301</v>
      </c>
      <c r="I216" s="8" t="str">
        <f t="shared" si="13"/>
        <v>3/1/2025</v>
      </c>
      <c r="J216" s="8">
        <v>20220101</v>
      </c>
      <c r="K216" s="8" t="str">
        <f t="shared" si="14"/>
        <v>1/1/2022</v>
      </c>
      <c r="L216" s="8" t="s">
        <v>65</v>
      </c>
      <c r="M216" s="8">
        <v>25</v>
      </c>
      <c r="N216" s="8">
        <v>25</v>
      </c>
      <c r="O216" s="14" t="s">
        <v>3948</v>
      </c>
      <c r="AK216" s="12"/>
    </row>
    <row r="217" spans="1:37" ht="15" customHeight="1" x14ac:dyDescent="0.3">
      <c r="A217" s="7" t="s">
        <v>3935</v>
      </c>
      <c r="B217" s="7">
        <v>7146581</v>
      </c>
      <c r="C217" s="8">
        <v>1</v>
      </c>
      <c r="D217" s="8">
        <v>921600843</v>
      </c>
      <c r="E217" s="8" t="str">
        <f t="shared" si="15"/>
        <v>92160084344</v>
      </c>
      <c r="F217" s="8" t="s">
        <v>3715</v>
      </c>
      <c r="G217" s="8">
        <v>1</v>
      </c>
      <c r="H217" s="8">
        <v>20250201</v>
      </c>
      <c r="I217" s="8" t="str">
        <f t="shared" si="13"/>
        <v>2/1/2025</v>
      </c>
      <c r="J217" s="8">
        <v>20220101</v>
      </c>
      <c r="K217" s="8" t="str">
        <f t="shared" si="14"/>
        <v>1/1/2022</v>
      </c>
      <c r="L217" s="8" t="s">
        <v>65</v>
      </c>
      <c r="M217" s="8">
        <v>25</v>
      </c>
      <c r="N217" s="8">
        <v>25</v>
      </c>
      <c r="O217" s="14" t="s">
        <v>3948</v>
      </c>
      <c r="AK217" s="12"/>
    </row>
    <row r="218" spans="1:37" ht="15" customHeight="1" x14ac:dyDescent="0.3">
      <c r="A218" s="7" t="s">
        <v>3935</v>
      </c>
      <c r="B218" s="7">
        <v>7146581</v>
      </c>
      <c r="C218" s="8">
        <v>1</v>
      </c>
      <c r="D218" s="8">
        <v>921624301</v>
      </c>
      <c r="E218" s="8" t="str">
        <f t="shared" si="15"/>
        <v>92162430144</v>
      </c>
      <c r="F218" s="8" t="s">
        <v>3721</v>
      </c>
      <c r="G218" s="8">
        <v>1</v>
      </c>
      <c r="H218" s="8">
        <v>20250401</v>
      </c>
      <c r="I218" s="8" t="str">
        <f t="shared" si="13"/>
        <v>4/1/2025</v>
      </c>
      <c r="J218" s="8">
        <v>20221001</v>
      </c>
      <c r="K218" s="8" t="str">
        <f t="shared" si="14"/>
        <v>10/1/2022</v>
      </c>
      <c r="L218" s="8" t="s">
        <v>65</v>
      </c>
      <c r="M218" s="8">
        <v>25</v>
      </c>
      <c r="N218" s="8">
        <v>25</v>
      </c>
      <c r="O218" s="14" t="s">
        <v>3948</v>
      </c>
      <c r="AK218" s="12"/>
    </row>
    <row r="219" spans="1:37" ht="15" customHeight="1" x14ac:dyDescent="0.3">
      <c r="A219" s="7" t="s">
        <v>3935</v>
      </c>
      <c r="B219" s="7">
        <v>7146581</v>
      </c>
      <c r="C219" s="8">
        <v>1</v>
      </c>
      <c r="D219" s="8">
        <v>921624301</v>
      </c>
      <c r="E219" s="8" t="str">
        <f t="shared" si="15"/>
        <v>92162430144</v>
      </c>
      <c r="F219" s="8" t="s">
        <v>3721</v>
      </c>
      <c r="G219" s="8">
        <v>1</v>
      </c>
      <c r="H219" s="8">
        <v>20250301</v>
      </c>
      <c r="I219" s="8" t="str">
        <f t="shared" si="13"/>
        <v>3/1/2025</v>
      </c>
      <c r="J219" s="8">
        <v>20221001</v>
      </c>
      <c r="K219" s="8" t="str">
        <f t="shared" si="14"/>
        <v>10/1/2022</v>
      </c>
      <c r="L219" s="8" t="s">
        <v>65</v>
      </c>
      <c r="M219" s="8">
        <v>25</v>
      </c>
      <c r="N219" s="8">
        <v>25</v>
      </c>
      <c r="O219" s="14" t="s">
        <v>3948</v>
      </c>
      <c r="AK219" s="12"/>
    </row>
    <row r="220" spans="1:37" ht="15" customHeight="1" x14ac:dyDescent="0.3">
      <c r="A220" s="7" t="s">
        <v>3935</v>
      </c>
      <c r="B220" s="7">
        <v>7146581</v>
      </c>
      <c r="C220" s="8">
        <v>1</v>
      </c>
      <c r="D220" s="8">
        <v>921652029</v>
      </c>
      <c r="E220" s="8" t="str">
        <f t="shared" si="15"/>
        <v>92165202944</v>
      </c>
      <c r="F220" s="8" t="s">
        <v>3731</v>
      </c>
      <c r="G220" s="8">
        <v>1</v>
      </c>
      <c r="H220" s="8">
        <v>20250401</v>
      </c>
      <c r="I220" s="8" t="str">
        <f t="shared" si="13"/>
        <v>4/1/2025</v>
      </c>
      <c r="J220" s="8">
        <v>20230301</v>
      </c>
      <c r="K220" s="8" t="str">
        <f t="shared" si="14"/>
        <v>3/1/2023</v>
      </c>
      <c r="L220" s="8" t="s">
        <v>65</v>
      </c>
      <c r="M220" s="8">
        <v>25</v>
      </c>
      <c r="N220" s="8">
        <v>25</v>
      </c>
      <c r="O220" s="14" t="s">
        <v>3948</v>
      </c>
      <c r="AK220" s="12"/>
    </row>
    <row r="221" spans="1:37" ht="15" customHeight="1" x14ac:dyDescent="0.3">
      <c r="A221" s="7" t="s">
        <v>3935</v>
      </c>
      <c r="B221" s="7">
        <v>7146581</v>
      </c>
      <c r="C221" s="8">
        <v>1</v>
      </c>
      <c r="D221" s="8">
        <v>921652793</v>
      </c>
      <c r="E221" s="8" t="str">
        <f t="shared" si="15"/>
        <v>92165279344</v>
      </c>
      <c r="F221" s="8" t="s">
        <v>3733</v>
      </c>
      <c r="G221" s="8">
        <v>1</v>
      </c>
      <c r="H221" s="8">
        <v>20250401</v>
      </c>
      <c r="I221" s="8" t="str">
        <f t="shared" si="13"/>
        <v>4/1/2025</v>
      </c>
      <c r="J221" s="8">
        <v>20230301</v>
      </c>
      <c r="K221" s="8" t="str">
        <f t="shared" si="14"/>
        <v>3/1/2023</v>
      </c>
      <c r="L221" s="8" t="s">
        <v>65</v>
      </c>
      <c r="M221" s="8">
        <v>25</v>
      </c>
      <c r="N221" s="8">
        <v>25</v>
      </c>
      <c r="O221" s="14" t="s">
        <v>3948</v>
      </c>
    </row>
    <row r="222" spans="1:37" ht="15" customHeight="1" x14ac:dyDescent="0.3">
      <c r="A222" s="7" t="s">
        <v>3935</v>
      </c>
      <c r="B222" s="7">
        <v>7146581</v>
      </c>
      <c r="C222" s="8">
        <v>1</v>
      </c>
      <c r="D222" s="8">
        <v>921657874</v>
      </c>
      <c r="E222" s="8" t="str">
        <f t="shared" si="15"/>
        <v>92165787444</v>
      </c>
      <c r="F222" s="8" t="s">
        <v>3741</v>
      </c>
      <c r="G222" s="8">
        <v>1</v>
      </c>
      <c r="H222" s="8">
        <v>20250401</v>
      </c>
      <c r="I222" s="8" t="str">
        <f t="shared" si="13"/>
        <v>4/1/2025</v>
      </c>
      <c r="J222" s="8">
        <v>20230401</v>
      </c>
      <c r="K222" s="8" t="str">
        <f t="shared" si="14"/>
        <v>4/1/2023</v>
      </c>
      <c r="L222" s="8" t="s">
        <v>65</v>
      </c>
      <c r="M222" s="8">
        <v>25</v>
      </c>
      <c r="N222" s="8">
        <v>25</v>
      </c>
      <c r="O222" s="14" t="s">
        <v>3948</v>
      </c>
    </row>
    <row r="223" spans="1:37" ht="15" customHeight="1" x14ac:dyDescent="0.3">
      <c r="A223" s="7" t="s">
        <v>3935</v>
      </c>
      <c r="B223" s="7">
        <v>7146581</v>
      </c>
      <c r="C223" s="8">
        <v>1</v>
      </c>
      <c r="D223" s="8">
        <v>921681063</v>
      </c>
      <c r="E223" s="8" t="str">
        <f t="shared" si="15"/>
        <v>92168106344</v>
      </c>
      <c r="F223" s="8" t="s">
        <v>3749</v>
      </c>
      <c r="G223" s="8">
        <v>1</v>
      </c>
      <c r="H223" s="8">
        <v>20250401</v>
      </c>
      <c r="I223" s="8" t="str">
        <f t="shared" si="13"/>
        <v>4/1/2025</v>
      </c>
      <c r="J223" s="8">
        <v>20231201</v>
      </c>
      <c r="K223" s="8" t="str">
        <f t="shared" si="14"/>
        <v>12/1/2023</v>
      </c>
      <c r="L223" s="8" t="s">
        <v>65</v>
      </c>
      <c r="M223" s="8">
        <v>25</v>
      </c>
      <c r="N223" s="8">
        <v>25</v>
      </c>
      <c r="O223" s="14" t="s">
        <v>3948</v>
      </c>
    </row>
    <row r="224" spans="1:37" ht="15" customHeight="1" x14ac:dyDescent="0.3">
      <c r="A224" s="7" t="s">
        <v>3935</v>
      </c>
      <c r="B224" s="7">
        <v>7146581</v>
      </c>
      <c r="C224" s="8">
        <v>1</v>
      </c>
      <c r="D224" s="8">
        <v>921695630</v>
      </c>
      <c r="E224" s="8" t="str">
        <f t="shared" si="15"/>
        <v>92169563044</v>
      </c>
      <c r="F224" s="8" t="s">
        <v>3753</v>
      </c>
      <c r="G224" s="8">
        <v>1</v>
      </c>
      <c r="H224" s="8">
        <v>20250401</v>
      </c>
      <c r="I224" s="8" t="str">
        <f t="shared" si="13"/>
        <v>4/1/2025</v>
      </c>
      <c r="J224" s="8">
        <v>20240101</v>
      </c>
      <c r="K224" s="8" t="str">
        <f t="shared" si="14"/>
        <v>1/1/2024</v>
      </c>
      <c r="L224" s="8" t="s">
        <v>65</v>
      </c>
      <c r="M224" s="8">
        <v>25</v>
      </c>
      <c r="N224" s="8">
        <v>25</v>
      </c>
      <c r="O224" s="14" t="s">
        <v>3948</v>
      </c>
    </row>
    <row r="225" spans="1:16" ht="15" customHeight="1" x14ac:dyDescent="0.3">
      <c r="A225" s="7" t="s">
        <v>3935</v>
      </c>
      <c r="B225" s="7">
        <v>7146581</v>
      </c>
      <c r="C225" s="8">
        <v>2</v>
      </c>
      <c r="D225" s="8">
        <v>920879648</v>
      </c>
      <c r="E225" s="8" t="str">
        <f t="shared" si="15"/>
        <v>92087964844</v>
      </c>
      <c r="F225" s="8" t="s">
        <v>3631</v>
      </c>
      <c r="G225" s="8">
        <v>1</v>
      </c>
      <c r="H225" s="8">
        <v>20250401</v>
      </c>
      <c r="I225" s="8" t="str">
        <f t="shared" si="13"/>
        <v>4/1/2025</v>
      </c>
      <c r="J225" s="8">
        <v>20170201</v>
      </c>
      <c r="K225" s="8" t="str">
        <f t="shared" si="14"/>
        <v>2/1/2017</v>
      </c>
      <c r="L225" s="8" t="s">
        <v>65</v>
      </c>
      <c r="M225" s="8">
        <v>25</v>
      </c>
      <c r="N225" s="8">
        <v>50</v>
      </c>
      <c r="O225" s="14" t="s">
        <v>3948</v>
      </c>
      <c r="P225" s="6" t="s">
        <v>3952</v>
      </c>
    </row>
    <row r="226" spans="1:16" ht="15" customHeight="1" x14ac:dyDescent="0.3">
      <c r="A226" s="7" t="s">
        <v>3935</v>
      </c>
      <c r="B226" s="7">
        <v>7146581</v>
      </c>
      <c r="C226" s="8">
        <v>2</v>
      </c>
      <c r="D226" s="8">
        <v>920885497</v>
      </c>
      <c r="E226" s="8" t="str">
        <f t="shared" si="15"/>
        <v>92088549744</v>
      </c>
      <c r="F226" s="8" t="s">
        <v>3635</v>
      </c>
      <c r="G226" s="8">
        <v>1</v>
      </c>
      <c r="H226" s="8">
        <v>20250401</v>
      </c>
      <c r="I226" s="8" t="str">
        <f t="shared" si="13"/>
        <v>4/1/2025</v>
      </c>
      <c r="J226" s="8">
        <v>20150101</v>
      </c>
      <c r="K226" s="8" t="str">
        <f t="shared" si="14"/>
        <v>1/1/2015</v>
      </c>
      <c r="L226" s="8" t="s">
        <v>65</v>
      </c>
      <c r="M226" s="8">
        <v>25</v>
      </c>
      <c r="N226" s="8">
        <v>50</v>
      </c>
      <c r="O226" s="14" t="s">
        <v>3948</v>
      </c>
      <c r="P226" s="6" t="s">
        <v>3952</v>
      </c>
    </row>
    <row r="227" spans="1:16" ht="15" customHeight="1" x14ac:dyDescent="0.3">
      <c r="A227" s="7" t="s">
        <v>3935</v>
      </c>
      <c r="B227" s="7">
        <v>7146581</v>
      </c>
      <c r="C227" s="8">
        <v>2</v>
      </c>
      <c r="D227" s="8">
        <v>920937200</v>
      </c>
      <c r="E227" s="8" t="str">
        <f t="shared" si="15"/>
        <v>92093720044</v>
      </c>
      <c r="F227" s="8" t="s">
        <v>3641</v>
      </c>
      <c r="G227" s="8">
        <v>1</v>
      </c>
      <c r="H227" s="8">
        <v>20250401</v>
      </c>
      <c r="I227" s="8" t="str">
        <f t="shared" si="13"/>
        <v>4/1/2025</v>
      </c>
      <c r="J227" s="8">
        <v>20240101</v>
      </c>
      <c r="K227" s="8" t="str">
        <f t="shared" si="14"/>
        <v>1/1/2024</v>
      </c>
      <c r="L227" s="8" t="s">
        <v>65</v>
      </c>
      <c r="M227" s="8">
        <v>25</v>
      </c>
      <c r="N227" s="8">
        <v>50</v>
      </c>
      <c r="O227" s="14" t="s">
        <v>3948</v>
      </c>
      <c r="P227" s="6" t="s">
        <v>3952</v>
      </c>
    </row>
    <row r="228" spans="1:16" ht="15" customHeight="1" x14ac:dyDescent="0.3">
      <c r="A228" s="7" t="s">
        <v>3935</v>
      </c>
      <c r="B228" s="7">
        <v>7146581</v>
      </c>
      <c r="C228" s="8">
        <v>2</v>
      </c>
      <c r="D228" s="8">
        <v>921230443</v>
      </c>
      <c r="E228" s="8" t="str">
        <f t="shared" si="15"/>
        <v>92123044344</v>
      </c>
      <c r="F228" s="8" t="s">
        <v>3659</v>
      </c>
      <c r="G228" s="8">
        <v>1</v>
      </c>
      <c r="H228" s="8">
        <v>20250401</v>
      </c>
      <c r="I228" s="8" t="str">
        <f t="shared" si="13"/>
        <v>4/1/2025</v>
      </c>
      <c r="J228" s="8">
        <v>20200101</v>
      </c>
      <c r="K228" s="8" t="str">
        <f t="shared" si="14"/>
        <v>1/1/2020</v>
      </c>
      <c r="L228" s="8" t="s">
        <v>65</v>
      </c>
      <c r="M228" s="8">
        <v>25</v>
      </c>
      <c r="N228" s="8">
        <v>50</v>
      </c>
      <c r="O228" s="14" t="s">
        <v>3948</v>
      </c>
      <c r="P228" s="6" t="s">
        <v>3952</v>
      </c>
    </row>
    <row r="229" spans="1:16" ht="15" customHeight="1" x14ac:dyDescent="0.3">
      <c r="A229" s="7" t="s">
        <v>3935</v>
      </c>
      <c r="B229" s="7">
        <v>7146581</v>
      </c>
      <c r="C229" s="8">
        <v>2</v>
      </c>
      <c r="D229" s="8">
        <v>921323837</v>
      </c>
      <c r="E229" s="8" t="str">
        <f t="shared" si="15"/>
        <v>92132383744</v>
      </c>
      <c r="F229" s="8" t="s">
        <v>3670</v>
      </c>
      <c r="G229" s="8">
        <v>1</v>
      </c>
      <c r="H229" s="8">
        <v>20250401</v>
      </c>
      <c r="I229" s="8" t="str">
        <f t="shared" si="13"/>
        <v>4/1/2025</v>
      </c>
      <c r="J229" s="8">
        <v>20180101</v>
      </c>
      <c r="K229" s="8" t="str">
        <f t="shared" si="14"/>
        <v>1/1/2018</v>
      </c>
      <c r="L229" s="8" t="s">
        <v>65</v>
      </c>
      <c r="M229" s="8">
        <v>25</v>
      </c>
      <c r="N229" s="8">
        <v>50</v>
      </c>
      <c r="O229" s="14" t="s">
        <v>3948</v>
      </c>
      <c r="P229" s="6" t="s">
        <v>3952</v>
      </c>
    </row>
    <row r="230" spans="1:16" ht="15" customHeight="1" x14ac:dyDescent="0.3">
      <c r="A230" s="7" t="s">
        <v>3935</v>
      </c>
      <c r="B230" s="7">
        <v>7146581</v>
      </c>
      <c r="C230" s="8">
        <v>2</v>
      </c>
      <c r="D230" s="8">
        <v>921499974</v>
      </c>
      <c r="E230" s="8" t="str">
        <f t="shared" si="15"/>
        <v>92149997444</v>
      </c>
      <c r="F230" s="8" t="s">
        <v>3697</v>
      </c>
      <c r="G230" s="8">
        <v>1</v>
      </c>
      <c r="H230" s="8">
        <v>20250401</v>
      </c>
      <c r="I230" s="8" t="str">
        <f t="shared" si="13"/>
        <v>4/1/2025</v>
      </c>
      <c r="J230" s="8">
        <v>20200601</v>
      </c>
      <c r="K230" s="8" t="str">
        <f t="shared" si="14"/>
        <v>6/1/2020</v>
      </c>
      <c r="L230" s="8" t="s">
        <v>65</v>
      </c>
      <c r="M230" s="8">
        <v>25</v>
      </c>
      <c r="N230" s="8">
        <v>50</v>
      </c>
      <c r="O230" s="14" t="s">
        <v>3948</v>
      </c>
      <c r="P230" s="6" t="s">
        <v>3952</v>
      </c>
    </row>
    <row r="231" spans="1:16" ht="15" customHeight="1" x14ac:dyDescent="0.3">
      <c r="A231" s="7" t="s">
        <v>3935</v>
      </c>
      <c r="B231" s="7">
        <v>7146581</v>
      </c>
      <c r="C231" s="8">
        <v>2</v>
      </c>
      <c r="D231" s="8">
        <v>921506111</v>
      </c>
      <c r="E231" s="8" t="str">
        <f t="shared" si="15"/>
        <v>92150611144</v>
      </c>
      <c r="F231" s="8" t="s">
        <v>3699</v>
      </c>
      <c r="G231" s="8">
        <v>1</v>
      </c>
      <c r="H231" s="8">
        <v>20250401</v>
      </c>
      <c r="I231" s="8" t="str">
        <f t="shared" si="13"/>
        <v>4/1/2025</v>
      </c>
      <c r="J231" s="8">
        <v>20200101</v>
      </c>
      <c r="K231" s="8" t="str">
        <f t="shared" si="14"/>
        <v>1/1/2020</v>
      </c>
      <c r="L231" s="8" t="s">
        <v>65</v>
      </c>
      <c r="M231" s="8">
        <v>25</v>
      </c>
      <c r="N231" s="8">
        <v>50</v>
      </c>
      <c r="O231" s="14" t="s">
        <v>3948</v>
      </c>
      <c r="P231" s="6" t="s">
        <v>3952</v>
      </c>
    </row>
    <row r="232" spans="1:16" ht="15" customHeight="1" x14ac:dyDescent="0.3">
      <c r="A232" s="7" t="s">
        <v>3935</v>
      </c>
      <c r="B232" s="7">
        <v>7146581</v>
      </c>
      <c r="C232" s="8">
        <v>2</v>
      </c>
      <c r="D232" s="8">
        <v>921506111</v>
      </c>
      <c r="E232" s="8" t="str">
        <f t="shared" si="15"/>
        <v>92150611144</v>
      </c>
      <c r="F232" s="8" t="s">
        <v>3699</v>
      </c>
      <c r="G232" s="8">
        <v>1</v>
      </c>
      <c r="H232" s="8">
        <v>20250301</v>
      </c>
      <c r="I232" s="8" t="str">
        <f t="shared" si="13"/>
        <v>3/1/2025</v>
      </c>
      <c r="J232" s="8">
        <v>20200101</v>
      </c>
      <c r="K232" s="8" t="str">
        <f t="shared" si="14"/>
        <v>1/1/2020</v>
      </c>
      <c r="L232" s="8" t="s">
        <v>65</v>
      </c>
      <c r="M232" s="8">
        <v>25</v>
      </c>
      <c r="N232" s="8">
        <v>50</v>
      </c>
      <c r="O232" s="14" t="s">
        <v>3948</v>
      </c>
      <c r="P232" s="6" t="s">
        <v>3952</v>
      </c>
    </row>
    <row r="233" spans="1:16" ht="15" customHeight="1" x14ac:dyDescent="0.3">
      <c r="A233" s="7" t="s">
        <v>3935</v>
      </c>
      <c r="B233" s="7">
        <v>7146581</v>
      </c>
      <c r="C233" s="8">
        <v>2</v>
      </c>
      <c r="D233" s="8">
        <v>921613029</v>
      </c>
      <c r="E233" s="8" t="str">
        <f t="shared" si="15"/>
        <v>92161302944</v>
      </c>
      <c r="F233" s="8" t="s">
        <v>3717</v>
      </c>
      <c r="G233" s="8">
        <v>1</v>
      </c>
      <c r="H233" s="8">
        <v>20250301</v>
      </c>
      <c r="I233" s="8" t="str">
        <f t="shared" si="13"/>
        <v>3/1/2025</v>
      </c>
      <c r="J233" s="8">
        <v>20220501</v>
      </c>
      <c r="K233" s="8" t="str">
        <f t="shared" si="14"/>
        <v>5/1/2022</v>
      </c>
      <c r="L233" s="8" t="s">
        <v>65</v>
      </c>
      <c r="M233" s="8">
        <v>25</v>
      </c>
      <c r="N233" s="8">
        <v>50</v>
      </c>
      <c r="O233" s="14" t="s">
        <v>3948</v>
      </c>
      <c r="P233" s="6" t="s">
        <v>3952</v>
      </c>
    </row>
    <row r="234" spans="1:16" ht="15" customHeight="1" x14ac:dyDescent="0.3">
      <c r="A234" s="7" t="s">
        <v>3935</v>
      </c>
      <c r="B234" s="7">
        <v>7146581</v>
      </c>
      <c r="C234" s="8">
        <v>2</v>
      </c>
      <c r="D234" s="8">
        <v>921613029</v>
      </c>
      <c r="E234" s="8" t="str">
        <f t="shared" si="15"/>
        <v>92161302944</v>
      </c>
      <c r="F234" s="8" t="s">
        <v>3717</v>
      </c>
      <c r="G234" s="8">
        <v>1</v>
      </c>
      <c r="H234" s="8">
        <v>20250201</v>
      </c>
      <c r="I234" s="8" t="str">
        <f t="shared" si="13"/>
        <v>2/1/2025</v>
      </c>
      <c r="J234" s="8">
        <v>20220501</v>
      </c>
      <c r="K234" s="8" t="str">
        <f t="shared" si="14"/>
        <v>5/1/2022</v>
      </c>
      <c r="L234" s="8" t="s">
        <v>65</v>
      </c>
      <c r="M234" s="8">
        <v>25</v>
      </c>
      <c r="N234" s="8">
        <v>50</v>
      </c>
      <c r="O234" s="14" t="s">
        <v>3948</v>
      </c>
      <c r="P234" s="6" t="s">
        <v>3952</v>
      </c>
    </row>
    <row r="235" spans="1:16" ht="15" customHeight="1" x14ac:dyDescent="0.3">
      <c r="A235" s="7" t="s">
        <v>3935</v>
      </c>
      <c r="B235" s="7">
        <v>7146581</v>
      </c>
      <c r="C235" s="8">
        <v>2</v>
      </c>
      <c r="D235" s="8">
        <v>921644691</v>
      </c>
      <c r="E235" s="8" t="str">
        <f t="shared" ref="E235:E262" si="16">CONCATENATE(D235,44)</f>
        <v>92164469144</v>
      </c>
      <c r="F235" s="8" t="s">
        <v>3727</v>
      </c>
      <c r="G235" s="8">
        <v>1</v>
      </c>
      <c r="H235" s="8">
        <v>20250401</v>
      </c>
      <c r="I235" s="8" t="str">
        <f t="shared" si="13"/>
        <v>4/1/2025</v>
      </c>
      <c r="J235" s="8">
        <v>20230101</v>
      </c>
      <c r="K235" s="8" t="str">
        <f t="shared" si="14"/>
        <v>1/1/2023</v>
      </c>
      <c r="L235" s="8" t="s">
        <v>65</v>
      </c>
      <c r="M235" s="8">
        <v>25</v>
      </c>
      <c r="N235" s="8">
        <v>50</v>
      </c>
      <c r="O235" s="14" t="s">
        <v>3948</v>
      </c>
      <c r="P235" s="6" t="s">
        <v>3952</v>
      </c>
    </row>
    <row r="236" spans="1:16" ht="15" customHeight="1" x14ac:dyDescent="0.3">
      <c r="A236" s="7" t="s">
        <v>3935</v>
      </c>
      <c r="B236" s="7">
        <v>7146581</v>
      </c>
      <c r="C236" s="8">
        <v>3</v>
      </c>
      <c r="D236" s="8">
        <v>920887150</v>
      </c>
      <c r="E236" s="8" t="str">
        <f t="shared" si="16"/>
        <v>92088715044</v>
      </c>
      <c r="F236" s="8" t="s">
        <v>3637</v>
      </c>
      <c r="G236" s="8">
        <v>1</v>
      </c>
      <c r="H236" s="8">
        <v>20250401</v>
      </c>
      <c r="I236" s="8" t="str">
        <f t="shared" si="13"/>
        <v>4/1/2025</v>
      </c>
      <c r="J236" s="8">
        <v>20231101</v>
      </c>
      <c r="K236" s="8" t="str">
        <f t="shared" si="14"/>
        <v>11/1/2023</v>
      </c>
      <c r="L236" s="8" t="s">
        <v>65</v>
      </c>
      <c r="M236" s="8">
        <v>25</v>
      </c>
      <c r="N236" s="8">
        <v>75</v>
      </c>
      <c r="O236" s="14" t="s">
        <v>3948</v>
      </c>
      <c r="P236" s="6" t="s">
        <v>3953</v>
      </c>
    </row>
    <row r="237" spans="1:16" ht="15" customHeight="1" x14ac:dyDescent="0.3">
      <c r="A237" s="7" t="s">
        <v>3935</v>
      </c>
      <c r="B237" s="7">
        <v>7146581</v>
      </c>
      <c r="C237" s="8">
        <v>3</v>
      </c>
      <c r="D237" s="8">
        <v>921506111</v>
      </c>
      <c r="E237" s="8" t="str">
        <f t="shared" si="16"/>
        <v>92150611144</v>
      </c>
      <c r="F237" s="8" t="s">
        <v>3699</v>
      </c>
      <c r="G237" s="8">
        <v>1</v>
      </c>
      <c r="H237" s="8">
        <v>20250201</v>
      </c>
      <c r="I237" s="8" t="str">
        <f t="shared" si="13"/>
        <v>2/1/2025</v>
      </c>
      <c r="J237" s="8">
        <v>20200101</v>
      </c>
      <c r="K237" s="8" t="str">
        <f t="shared" si="14"/>
        <v>1/1/2020</v>
      </c>
      <c r="L237" s="8" t="s">
        <v>65</v>
      </c>
      <c r="M237" s="8">
        <v>25</v>
      </c>
      <c r="N237" s="8">
        <v>75</v>
      </c>
      <c r="O237" s="14" t="s">
        <v>3948</v>
      </c>
      <c r="P237" s="6" t="s">
        <v>3953</v>
      </c>
    </row>
    <row r="238" spans="1:16" ht="15" customHeight="1" x14ac:dyDescent="0.3">
      <c r="A238" s="7" t="s">
        <v>3935</v>
      </c>
      <c r="B238" s="7">
        <v>7146581</v>
      </c>
      <c r="C238" s="8">
        <v>3</v>
      </c>
      <c r="D238" s="8">
        <v>921506111</v>
      </c>
      <c r="E238" s="8" t="str">
        <f t="shared" si="16"/>
        <v>92150611144</v>
      </c>
      <c r="F238" s="8" t="s">
        <v>3699</v>
      </c>
      <c r="G238" s="8">
        <v>1</v>
      </c>
      <c r="H238" s="8">
        <v>20250201</v>
      </c>
      <c r="I238" s="8" t="str">
        <f t="shared" si="13"/>
        <v>2/1/2025</v>
      </c>
      <c r="J238" s="8">
        <v>20200101</v>
      </c>
      <c r="K238" s="8" t="str">
        <f t="shared" si="14"/>
        <v>1/1/2020</v>
      </c>
      <c r="L238" s="8" t="s">
        <v>65</v>
      </c>
      <c r="M238" s="8">
        <v>25</v>
      </c>
      <c r="N238" s="8">
        <v>75</v>
      </c>
      <c r="O238" s="14" t="s">
        <v>3948</v>
      </c>
      <c r="P238" s="6" t="s">
        <v>3953</v>
      </c>
    </row>
    <row r="239" spans="1:16" ht="15" customHeight="1" x14ac:dyDescent="0.3">
      <c r="A239" s="7" t="s">
        <v>3935</v>
      </c>
      <c r="B239" s="7">
        <v>7146581</v>
      </c>
      <c r="C239" s="8">
        <v>4</v>
      </c>
      <c r="D239" s="8">
        <v>890408763</v>
      </c>
      <c r="E239" s="8" t="str">
        <f t="shared" si="16"/>
        <v>89040876344</v>
      </c>
      <c r="F239" s="8" t="s">
        <v>3602</v>
      </c>
      <c r="G239" s="8">
        <v>1</v>
      </c>
      <c r="H239" s="8">
        <v>20250401</v>
      </c>
      <c r="I239" s="8" t="str">
        <f t="shared" si="13"/>
        <v>4/1/2025</v>
      </c>
      <c r="J239" s="8">
        <v>20140101</v>
      </c>
      <c r="K239" s="8" t="str">
        <f t="shared" si="14"/>
        <v>1/1/2014</v>
      </c>
      <c r="L239" s="8" t="s">
        <v>65</v>
      </c>
      <c r="M239" s="8">
        <v>25</v>
      </c>
      <c r="N239" s="8">
        <v>100</v>
      </c>
      <c r="O239" s="14" t="s">
        <v>3948</v>
      </c>
      <c r="P239" s="6" t="s">
        <v>3954</v>
      </c>
    </row>
    <row r="240" spans="1:16" ht="15" customHeight="1" x14ac:dyDescent="0.3">
      <c r="A240" s="7" t="s">
        <v>3935</v>
      </c>
      <c r="B240" s="7">
        <v>7146581</v>
      </c>
      <c r="C240" s="6">
        <v>-1</v>
      </c>
      <c r="D240" s="8">
        <v>921506111</v>
      </c>
      <c r="E240" s="8" t="str">
        <f t="shared" si="16"/>
        <v>92150611144</v>
      </c>
      <c r="F240" s="8" t="s">
        <v>3699</v>
      </c>
      <c r="G240" s="8">
        <v>-1</v>
      </c>
      <c r="H240" s="8">
        <v>20250201</v>
      </c>
      <c r="I240" s="8" t="str">
        <f t="shared" si="13"/>
        <v>2/1/2025</v>
      </c>
      <c r="J240" s="8">
        <v>20200101</v>
      </c>
      <c r="K240" s="8" t="str">
        <f t="shared" si="14"/>
        <v>1/1/2020</v>
      </c>
      <c r="L240" s="8" t="s">
        <v>65</v>
      </c>
      <c r="M240" s="8">
        <v>25</v>
      </c>
      <c r="N240" s="8">
        <v>-75</v>
      </c>
      <c r="O240" s="14" t="s">
        <v>3948</v>
      </c>
      <c r="P240" s="6" t="s">
        <v>3953</v>
      </c>
    </row>
    <row r="241" spans="1:16" ht="15" customHeight="1" x14ac:dyDescent="0.3">
      <c r="A241" s="7" t="s">
        <v>3935</v>
      </c>
      <c r="B241" s="7">
        <v>7146581</v>
      </c>
      <c r="C241" s="8">
        <v>1</v>
      </c>
      <c r="D241" s="8">
        <v>921109095</v>
      </c>
      <c r="E241" s="8" t="str">
        <f t="shared" si="16"/>
        <v>92110909544</v>
      </c>
      <c r="F241" s="8" t="s">
        <v>3653</v>
      </c>
      <c r="G241" s="8">
        <v>1</v>
      </c>
      <c r="H241" s="8">
        <v>20250401</v>
      </c>
      <c r="I241" s="8" t="str">
        <f t="shared" si="13"/>
        <v>4/1/2025</v>
      </c>
      <c r="J241" s="8">
        <v>20240901</v>
      </c>
      <c r="K241" s="8" t="str">
        <f t="shared" si="14"/>
        <v>9/1/2024</v>
      </c>
      <c r="L241" s="8" t="s">
        <v>65</v>
      </c>
      <c r="M241" s="8">
        <v>30</v>
      </c>
      <c r="N241" s="8">
        <v>30</v>
      </c>
      <c r="O241" s="14" t="s">
        <v>3948</v>
      </c>
    </row>
    <row r="242" spans="1:16" ht="15" customHeight="1" x14ac:dyDescent="0.3">
      <c r="A242" s="7" t="s">
        <v>3935</v>
      </c>
      <c r="B242" s="7">
        <v>7146581</v>
      </c>
      <c r="C242" s="8">
        <v>1</v>
      </c>
      <c r="D242" s="8">
        <v>921738169</v>
      </c>
      <c r="E242" s="8" t="str">
        <f t="shared" si="16"/>
        <v>92173816944</v>
      </c>
      <c r="F242" s="8" t="s">
        <v>3769</v>
      </c>
      <c r="G242" s="8">
        <v>1</v>
      </c>
      <c r="H242" s="8">
        <v>20250401</v>
      </c>
      <c r="I242" s="8" t="str">
        <f t="shared" si="13"/>
        <v>4/1/2025</v>
      </c>
      <c r="J242" s="8">
        <v>20241001</v>
      </c>
      <c r="K242" s="8" t="str">
        <f t="shared" si="14"/>
        <v>10/1/2024</v>
      </c>
      <c r="L242" s="8" t="s">
        <v>65</v>
      </c>
      <c r="M242" s="8">
        <v>30</v>
      </c>
      <c r="N242" s="8">
        <v>30</v>
      </c>
      <c r="O242" s="14" t="s">
        <v>3948</v>
      </c>
    </row>
    <row r="243" spans="1:16" ht="15" customHeight="1" x14ac:dyDescent="0.3">
      <c r="A243" s="7" t="s">
        <v>3935</v>
      </c>
      <c r="B243" s="7">
        <v>7146581</v>
      </c>
      <c r="C243" s="8">
        <v>1</v>
      </c>
      <c r="D243" s="8">
        <v>921745254</v>
      </c>
      <c r="E243" s="8" t="str">
        <f t="shared" si="16"/>
        <v>92174525444</v>
      </c>
      <c r="F243" s="8" t="s">
        <v>3773</v>
      </c>
      <c r="G243" s="8">
        <v>1</v>
      </c>
      <c r="H243" s="8">
        <v>20250401</v>
      </c>
      <c r="I243" s="8" t="str">
        <f t="shared" si="13"/>
        <v>4/1/2025</v>
      </c>
      <c r="J243" s="8">
        <v>20250101</v>
      </c>
      <c r="K243" s="8" t="str">
        <f t="shared" si="14"/>
        <v>1/1/2025</v>
      </c>
      <c r="L243" s="8" t="s">
        <v>65</v>
      </c>
      <c r="M243" s="8">
        <v>30</v>
      </c>
      <c r="N243" s="8">
        <v>30</v>
      </c>
      <c r="O243" s="14" t="s">
        <v>3948</v>
      </c>
    </row>
    <row r="244" spans="1:16" ht="15" customHeight="1" x14ac:dyDescent="0.3">
      <c r="A244" s="7" t="s">
        <v>3935</v>
      </c>
      <c r="B244" s="7">
        <v>7146581</v>
      </c>
      <c r="C244" s="8">
        <v>1</v>
      </c>
      <c r="D244" s="8">
        <v>921747510</v>
      </c>
      <c r="E244" s="8" t="str">
        <f t="shared" si="16"/>
        <v>92174751044</v>
      </c>
      <c r="F244" s="8" t="s">
        <v>3775</v>
      </c>
      <c r="G244" s="8">
        <v>1</v>
      </c>
      <c r="H244" s="8">
        <v>20250401</v>
      </c>
      <c r="I244" s="8" t="str">
        <f t="shared" si="13"/>
        <v>4/1/2025</v>
      </c>
      <c r="J244" s="8">
        <v>20250101</v>
      </c>
      <c r="K244" s="8" t="str">
        <f t="shared" si="14"/>
        <v>1/1/2025</v>
      </c>
      <c r="L244" s="8" t="s">
        <v>65</v>
      </c>
      <c r="M244" s="8">
        <v>30</v>
      </c>
      <c r="N244" s="8">
        <v>30</v>
      </c>
      <c r="O244" s="14" t="s">
        <v>3948</v>
      </c>
    </row>
    <row r="245" spans="1:16" ht="15" customHeight="1" x14ac:dyDescent="0.3">
      <c r="A245" s="7" t="s">
        <v>3935</v>
      </c>
      <c r="B245" s="7">
        <v>7146581</v>
      </c>
      <c r="C245" s="8">
        <v>1</v>
      </c>
      <c r="D245" s="8">
        <v>921747510</v>
      </c>
      <c r="E245" s="8" t="str">
        <f t="shared" si="16"/>
        <v>92174751044</v>
      </c>
      <c r="F245" s="8" t="s">
        <v>3775</v>
      </c>
      <c r="G245" s="8">
        <v>1</v>
      </c>
      <c r="H245" s="8">
        <v>20250301</v>
      </c>
      <c r="I245" s="8" t="str">
        <f t="shared" si="13"/>
        <v>3/1/2025</v>
      </c>
      <c r="J245" s="8">
        <v>20250101</v>
      </c>
      <c r="K245" s="8" t="str">
        <f t="shared" si="14"/>
        <v>1/1/2025</v>
      </c>
      <c r="L245" s="8" t="s">
        <v>65</v>
      </c>
      <c r="M245" s="8">
        <v>30</v>
      </c>
      <c r="N245" s="8">
        <v>30</v>
      </c>
      <c r="O245" s="14" t="s">
        <v>3948</v>
      </c>
    </row>
    <row r="246" spans="1:16" ht="15" customHeight="1" x14ac:dyDescent="0.3">
      <c r="A246" s="7" t="s">
        <v>3935</v>
      </c>
      <c r="B246" s="7">
        <v>7146581</v>
      </c>
      <c r="C246" s="8">
        <v>1</v>
      </c>
      <c r="D246" s="8">
        <v>921747568</v>
      </c>
      <c r="E246" s="8" t="str">
        <f t="shared" si="16"/>
        <v>92174756844</v>
      </c>
      <c r="F246" s="8" t="s">
        <v>3777</v>
      </c>
      <c r="G246" s="8">
        <v>1</v>
      </c>
      <c r="H246" s="8">
        <v>20250401</v>
      </c>
      <c r="I246" s="8" t="str">
        <f t="shared" si="13"/>
        <v>4/1/2025</v>
      </c>
      <c r="J246" s="8">
        <v>20241201</v>
      </c>
      <c r="K246" s="8" t="str">
        <f t="shared" si="14"/>
        <v>12/1/2024</v>
      </c>
      <c r="L246" s="8" t="s">
        <v>65</v>
      </c>
      <c r="M246" s="8">
        <v>30</v>
      </c>
      <c r="N246" s="8">
        <v>30</v>
      </c>
      <c r="O246" s="14" t="s">
        <v>3948</v>
      </c>
    </row>
    <row r="247" spans="1:16" ht="15" customHeight="1" x14ac:dyDescent="0.3">
      <c r="A247" s="7" t="s">
        <v>3935</v>
      </c>
      <c r="B247" s="7">
        <v>7146581</v>
      </c>
      <c r="C247" s="8">
        <v>1</v>
      </c>
      <c r="D247" s="8">
        <v>921774851</v>
      </c>
      <c r="E247" s="8" t="str">
        <f t="shared" si="16"/>
        <v>92177485144</v>
      </c>
      <c r="F247" s="8" t="s">
        <v>3791</v>
      </c>
      <c r="G247" s="8">
        <v>1</v>
      </c>
      <c r="H247" s="8">
        <v>20250401</v>
      </c>
      <c r="I247" s="8" t="str">
        <f t="shared" si="13"/>
        <v>4/1/2025</v>
      </c>
      <c r="J247" s="8">
        <v>20250201</v>
      </c>
      <c r="K247" s="8" t="str">
        <f t="shared" si="14"/>
        <v>2/1/2025</v>
      </c>
      <c r="L247" s="8" t="s">
        <v>65</v>
      </c>
      <c r="M247" s="8">
        <v>30</v>
      </c>
      <c r="N247" s="8">
        <v>30</v>
      </c>
      <c r="O247" s="14" t="s">
        <v>3948</v>
      </c>
    </row>
    <row r="248" spans="1:16" ht="15" customHeight="1" x14ac:dyDescent="0.3">
      <c r="A248" s="7" t="s">
        <v>3935</v>
      </c>
      <c r="B248" s="7">
        <v>7146581</v>
      </c>
      <c r="C248" s="8">
        <v>1</v>
      </c>
      <c r="D248" s="8">
        <v>921776573</v>
      </c>
      <c r="E248" s="8" t="str">
        <f t="shared" si="16"/>
        <v>92177657344</v>
      </c>
      <c r="F248" s="8" t="s">
        <v>3793</v>
      </c>
      <c r="G248" s="8">
        <v>1</v>
      </c>
      <c r="H248" s="8">
        <v>20250301</v>
      </c>
      <c r="I248" s="8" t="str">
        <f t="shared" si="13"/>
        <v>3/1/2025</v>
      </c>
      <c r="J248" s="8">
        <v>20250201</v>
      </c>
      <c r="K248" s="8" t="str">
        <f t="shared" si="14"/>
        <v>2/1/2025</v>
      </c>
      <c r="L248" s="8" t="s">
        <v>65</v>
      </c>
      <c r="M248" s="8">
        <v>30</v>
      </c>
      <c r="N248" s="8">
        <v>30</v>
      </c>
      <c r="O248" s="14" t="s">
        <v>3948</v>
      </c>
    </row>
    <row r="249" spans="1:16" ht="15" customHeight="1" x14ac:dyDescent="0.3">
      <c r="A249" s="7" t="s">
        <v>3935</v>
      </c>
      <c r="B249" s="7">
        <v>7146581</v>
      </c>
      <c r="C249" s="8">
        <v>1</v>
      </c>
      <c r="D249" s="8">
        <v>921777101</v>
      </c>
      <c r="E249" s="8" t="str">
        <f t="shared" si="16"/>
        <v>92177710144</v>
      </c>
      <c r="F249" s="8" t="s">
        <v>3797</v>
      </c>
      <c r="G249" s="8">
        <v>1</v>
      </c>
      <c r="H249" s="8">
        <v>20250501</v>
      </c>
      <c r="I249" s="8" t="str">
        <f t="shared" si="13"/>
        <v>5/1/2025</v>
      </c>
      <c r="J249" s="8">
        <v>20250401</v>
      </c>
      <c r="K249" s="8" t="str">
        <f t="shared" si="14"/>
        <v>4/1/2025</v>
      </c>
      <c r="L249" s="8" t="s">
        <v>65</v>
      </c>
      <c r="M249" s="8">
        <v>30</v>
      </c>
      <c r="N249" s="8">
        <v>30</v>
      </c>
      <c r="O249" s="14" t="s">
        <v>3948</v>
      </c>
    </row>
    <row r="250" spans="1:16" ht="15" customHeight="1" x14ac:dyDescent="0.3">
      <c r="A250" s="7" t="s">
        <v>3935</v>
      </c>
      <c r="B250" s="7">
        <v>7146581</v>
      </c>
      <c r="C250" s="8">
        <v>1</v>
      </c>
      <c r="D250" s="8">
        <v>921777250</v>
      </c>
      <c r="E250" s="8" t="str">
        <f t="shared" si="16"/>
        <v>92177725044</v>
      </c>
      <c r="F250" s="8" t="s">
        <v>3799</v>
      </c>
      <c r="G250" s="8">
        <v>1</v>
      </c>
      <c r="H250" s="8">
        <v>20250401</v>
      </c>
      <c r="I250" s="8" t="str">
        <f t="shared" si="13"/>
        <v>4/1/2025</v>
      </c>
      <c r="J250" s="8">
        <v>20250201</v>
      </c>
      <c r="K250" s="8" t="str">
        <f t="shared" si="14"/>
        <v>2/1/2025</v>
      </c>
      <c r="L250" s="8" t="s">
        <v>65</v>
      </c>
      <c r="M250" s="8">
        <v>30</v>
      </c>
      <c r="N250" s="8">
        <v>30</v>
      </c>
      <c r="O250" s="14" t="s">
        <v>3948</v>
      </c>
    </row>
    <row r="251" spans="1:16" ht="15" customHeight="1" x14ac:dyDescent="0.3">
      <c r="A251" s="7" t="s">
        <v>3935</v>
      </c>
      <c r="B251" s="7">
        <v>7146581</v>
      </c>
      <c r="C251" s="8">
        <v>1</v>
      </c>
      <c r="D251" s="8">
        <v>921777250</v>
      </c>
      <c r="E251" s="8" t="str">
        <f t="shared" si="16"/>
        <v>92177725044</v>
      </c>
      <c r="F251" s="8" t="s">
        <v>3799</v>
      </c>
      <c r="G251" s="8">
        <v>1</v>
      </c>
      <c r="H251" s="8">
        <v>20250301</v>
      </c>
      <c r="I251" s="8" t="str">
        <f t="shared" si="13"/>
        <v>3/1/2025</v>
      </c>
      <c r="J251" s="8">
        <v>20250201</v>
      </c>
      <c r="K251" s="8" t="str">
        <f t="shared" si="14"/>
        <v>2/1/2025</v>
      </c>
      <c r="L251" s="8" t="s">
        <v>65</v>
      </c>
      <c r="M251" s="8">
        <v>30</v>
      </c>
      <c r="N251" s="8">
        <v>30</v>
      </c>
      <c r="O251" s="14" t="s">
        <v>3948</v>
      </c>
    </row>
    <row r="252" spans="1:16" ht="15" customHeight="1" x14ac:dyDescent="0.3">
      <c r="A252" s="7" t="s">
        <v>3935</v>
      </c>
      <c r="B252" s="7">
        <v>7146581</v>
      </c>
      <c r="C252" s="8">
        <v>1</v>
      </c>
      <c r="D252" s="8">
        <v>921779895</v>
      </c>
      <c r="E252" s="8" t="str">
        <f t="shared" si="16"/>
        <v>92177989544</v>
      </c>
      <c r="F252" s="8" t="s">
        <v>3805</v>
      </c>
      <c r="G252" s="8">
        <v>1</v>
      </c>
      <c r="H252" s="8">
        <v>20250401</v>
      </c>
      <c r="I252" s="8" t="str">
        <f t="shared" si="13"/>
        <v>4/1/2025</v>
      </c>
      <c r="J252" s="8">
        <v>20250301</v>
      </c>
      <c r="K252" s="8" t="str">
        <f t="shared" si="14"/>
        <v>3/1/2025</v>
      </c>
      <c r="L252" s="8" t="s">
        <v>65</v>
      </c>
      <c r="M252" s="8">
        <v>30</v>
      </c>
      <c r="N252" s="8">
        <v>30</v>
      </c>
      <c r="O252" s="14" t="s">
        <v>3948</v>
      </c>
    </row>
    <row r="253" spans="1:16" ht="15" customHeight="1" x14ac:dyDescent="0.3">
      <c r="A253" s="7" t="s">
        <v>3935</v>
      </c>
      <c r="B253" s="7">
        <v>7146581</v>
      </c>
      <c r="C253" s="8">
        <v>2</v>
      </c>
      <c r="D253" s="8">
        <v>890204280</v>
      </c>
      <c r="E253" s="8" t="str">
        <f t="shared" si="16"/>
        <v>89020428044</v>
      </c>
      <c r="F253" s="8" t="s">
        <v>3600</v>
      </c>
      <c r="G253" s="8">
        <v>1</v>
      </c>
      <c r="H253" s="8">
        <v>20250401</v>
      </c>
      <c r="I253" s="8" t="str">
        <f t="shared" si="13"/>
        <v>4/1/2025</v>
      </c>
      <c r="J253" s="8">
        <v>20250201</v>
      </c>
      <c r="K253" s="8" t="str">
        <f t="shared" si="14"/>
        <v>2/1/2025</v>
      </c>
      <c r="L253" s="8" t="s">
        <v>65</v>
      </c>
      <c r="M253" s="8">
        <v>30</v>
      </c>
      <c r="N253" s="8">
        <v>60</v>
      </c>
      <c r="O253" s="14" t="s">
        <v>3948</v>
      </c>
      <c r="P253" s="6" t="s">
        <v>3952</v>
      </c>
    </row>
    <row r="254" spans="1:16" ht="15" customHeight="1" x14ac:dyDescent="0.3">
      <c r="A254" s="7" t="s">
        <v>3935</v>
      </c>
      <c r="B254" s="7">
        <v>7146581</v>
      </c>
      <c r="C254" s="8">
        <v>2</v>
      </c>
      <c r="D254" s="8">
        <v>921512188</v>
      </c>
      <c r="E254" s="8" t="str">
        <f t="shared" si="16"/>
        <v>92151218844</v>
      </c>
      <c r="F254" s="8" t="s">
        <v>3701</v>
      </c>
      <c r="G254" s="8">
        <v>1</v>
      </c>
      <c r="H254" s="8">
        <v>20250401</v>
      </c>
      <c r="I254" s="8" t="str">
        <f t="shared" si="13"/>
        <v>4/1/2025</v>
      </c>
      <c r="J254" s="8">
        <v>20250101</v>
      </c>
      <c r="K254" s="8" t="str">
        <f t="shared" si="14"/>
        <v>1/1/2025</v>
      </c>
      <c r="L254" s="8" t="s">
        <v>65</v>
      </c>
      <c r="M254" s="8">
        <v>30</v>
      </c>
      <c r="N254" s="8">
        <v>60</v>
      </c>
      <c r="O254" s="14" t="s">
        <v>3948</v>
      </c>
      <c r="P254" s="6" t="s">
        <v>3952</v>
      </c>
    </row>
    <row r="255" spans="1:16" ht="15" customHeight="1" x14ac:dyDescent="0.3">
      <c r="A255" s="7" t="s">
        <v>3935</v>
      </c>
      <c r="B255" s="7">
        <v>7146581</v>
      </c>
      <c r="C255" s="8">
        <v>2</v>
      </c>
      <c r="D255" s="8">
        <v>921727311</v>
      </c>
      <c r="E255" s="8" t="str">
        <f t="shared" si="16"/>
        <v>92172731144</v>
      </c>
      <c r="F255" s="8" t="s">
        <v>3761</v>
      </c>
      <c r="G255" s="8">
        <v>1</v>
      </c>
      <c r="H255" s="8">
        <v>20250401</v>
      </c>
      <c r="I255" s="8" t="str">
        <f t="shared" si="13"/>
        <v>4/1/2025</v>
      </c>
      <c r="J255" s="8">
        <v>20240701</v>
      </c>
      <c r="K255" s="8" t="str">
        <f t="shared" si="14"/>
        <v>7/1/2024</v>
      </c>
      <c r="L255" s="8" t="s">
        <v>65</v>
      </c>
      <c r="M255" s="8">
        <v>30</v>
      </c>
      <c r="N255" s="8">
        <v>60</v>
      </c>
      <c r="O255" s="14" t="s">
        <v>3948</v>
      </c>
      <c r="P255" s="6" t="s">
        <v>3952</v>
      </c>
    </row>
    <row r="256" spans="1:16" ht="15" customHeight="1" x14ac:dyDescent="0.3">
      <c r="A256" s="7" t="s">
        <v>3935</v>
      </c>
      <c r="B256" s="7">
        <v>7146581</v>
      </c>
      <c r="C256" s="8">
        <v>2</v>
      </c>
      <c r="D256" s="8">
        <v>921733611</v>
      </c>
      <c r="E256" s="8" t="str">
        <f t="shared" si="16"/>
        <v>92173361144</v>
      </c>
      <c r="F256" s="8" t="s">
        <v>3763</v>
      </c>
      <c r="G256" s="8">
        <v>1</v>
      </c>
      <c r="H256" s="8">
        <v>20250401</v>
      </c>
      <c r="I256" s="8" t="str">
        <f t="shared" si="13"/>
        <v>4/1/2025</v>
      </c>
      <c r="J256" s="8">
        <v>20240801</v>
      </c>
      <c r="K256" s="8" t="str">
        <f t="shared" si="14"/>
        <v>8/1/2024</v>
      </c>
      <c r="L256" s="8" t="s">
        <v>65</v>
      </c>
      <c r="M256" s="8">
        <v>30</v>
      </c>
      <c r="N256" s="8">
        <v>60</v>
      </c>
      <c r="O256" s="14" t="s">
        <v>3948</v>
      </c>
      <c r="P256" s="6" t="s">
        <v>3952</v>
      </c>
    </row>
    <row r="257" spans="1:37" ht="15" customHeight="1" x14ac:dyDescent="0.3">
      <c r="A257" s="7" t="s">
        <v>3935</v>
      </c>
      <c r="B257" s="7">
        <v>7146581</v>
      </c>
      <c r="C257" s="8">
        <v>2</v>
      </c>
      <c r="D257" s="8">
        <v>921735859</v>
      </c>
      <c r="E257" s="8" t="str">
        <f t="shared" si="16"/>
        <v>92173585944</v>
      </c>
      <c r="F257" s="8" t="s">
        <v>3767</v>
      </c>
      <c r="G257" s="8">
        <v>1</v>
      </c>
      <c r="H257" s="8">
        <v>20250401</v>
      </c>
      <c r="I257" s="8" t="str">
        <f t="shared" si="13"/>
        <v>4/1/2025</v>
      </c>
      <c r="J257" s="8">
        <v>20240901</v>
      </c>
      <c r="K257" s="8" t="str">
        <f t="shared" si="14"/>
        <v>9/1/2024</v>
      </c>
      <c r="L257" s="8" t="s">
        <v>65</v>
      </c>
      <c r="M257" s="8">
        <v>30</v>
      </c>
      <c r="N257" s="8">
        <v>60</v>
      </c>
      <c r="O257" s="14" t="s">
        <v>3948</v>
      </c>
      <c r="P257" s="6" t="s">
        <v>3952</v>
      </c>
    </row>
    <row r="258" spans="1:37" ht="15" customHeight="1" x14ac:dyDescent="0.3">
      <c r="A258" s="7" t="s">
        <v>3935</v>
      </c>
      <c r="B258" s="7">
        <v>7146581</v>
      </c>
      <c r="C258" s="8">
        <v>2</v>
      </c>
      <c r="D258" s="8">
        <v>921748758</v>
      </c>
      <c r="E258" s="8" t="str">
        <f t="shared" si="16"/>
        <v>92174875844</v>
      </c>
      <c r="F258" s="8" t="s">
        <v>3781</v>
      </c>
      <c r="G258" s="8">
        <v>1</v>
      </c>
      <c r="H258" s="8">
        <v>20250401</v>
      </c>
      <c r="I258" s="8" t="str">
        <f t="shared" si="13"/>
        <v>4/1/2025</v>
      </c>
      <c r="J258" s="8">
        <v>20250101</v>
      </c>
      <c r="K258" s="8" t="str">
        <f t="shared" si="14"/>
        <v>1/1/2025</v>
      </c>
      <c r="L258" s="8" t="s">
        <v>65</v>
      </c>
      <c r="M258" s="8">
        <v>30</v>
      </c>
      <c r="N258" s="8">
        <v>60</v>
      </c>
      <c r="O258" s="14" t="s">
        <v>3948</v>
      </c>
      <c r="P258" s="6" t="s">
        <v>3952</v>
      </c>
    </row>
    <row r="259" spans="1:37" ht="15" customHeight="1" x14ac:dyDescent="0.3">
      <c r="A259" s="7" t="s">
        <v>3935</v>
      </c>
      <c r="B259" s="7">
        <v>7146581</v>
      </c>
      <c r="C259" s="8">
        <v>2</v>
      </c>
      <c r="D259" s="8">
        <v>921749411</v>
      </c>
      <c r="E259" s="8" t="str">
        <f t="shared" si="16"/>
        <v>92174941144</v>
      </c>
      <c r="F259" s="8" t="s">
        <v>3783</v>
      </c>
      <c r="G259" s="8">
        <v>1</v>
      </c>
      <c r="H259" s="8">
        <v>20250401</v>
      </c>
      <c r="I259" s="8" t="str">
        <f t="shared" ref="I259:I322" si="17">TEXT(DATE(LEFT(H259,4), MID(H259,5,2), RIGHT(H259,2)), "M/d/yyyy")</f>
        <v>4/1/2025</v>
      </c>
      <c r="J259" s="8">
        <v>20250101</v>
      </c>
      <c r="K259" s="8" t="str">
        <f t="shared" ref="K259:K322" si="18">TEXT(DATE(LEFT(J259,4), MID(J259,5,2), RIGHT(J259,2)), "M/d/yyyy")</f>
        <v>1/1/2025</v>
      </c>
      <c r="L259" s="8" t="s">
        <v>65</v>
      </c>
      <c r="M259" s="8">
        <v>30</v>
      </c>
      <c r="N259" s="8">
        <v>60</v>
      </c>
      <c r="O259" s="14" t="s">
        <v>3948</v>
      </c>
      <c r="P259" s="6" t="s">
        <v>3952</v>
      </c>
    </row>
    <row r="260" spans="1:37" ht="15" customHeight="1" x14ac:dyDescent="0.3">
      <c r="A260" s="7" t="s">
        <v>3935</v>
      </c>
      <c r="B260" s="7">
        <v>7146581</v>
      </c>
      <c r="C260" s="8">
        <v>2</v>
      </c>
      <c r="D260" s="8">
        <v>921779523</v>
      </c>
      <c r="E260" s="8" t="str">
        <f t="shared" si="16"/>
        <v>92177952344</v>
      </c>
      <c r="F260" s="8" t="s">
        <v>3803</v>
      </c>
      <c r="G260" s="8">
        <v>1</v>
      </c>
      <c r="H260" s="8">
        <v>20250401</v>
      </c>
      <c r="I260" s="8" t="str">
        <f t="shared" si="17"/>
        <v>4/1/2025</v>
      </c>
      <c r="J260" s="8">
        <v>20250301</v>
      </c>
      <c r="K260" s="8" t="str">
        <f t="shared" si="18"/>
        <v>3/1/2025</v>
      </c>
      <c r="L260" s="8" t="s">
        <v>65</v>
      </c>
      <c r="M260" s="8">
        <v>30</v>
      </c>
      <c r="N260" s="8">
        <v>60</v>
      </c>
      <c r="O260" s="14" t="s">
        <v>3948</v>
      </c>
      <c r="P260" s="6" t="s">
        <v>3952</v>
      </c>
      <c r="AK260" s="12"/>
    </row>
    <row r="261" spans="1:37" ht="15" customHeight="1" x14ac:dyDescent="0.3">
      <c r="A261" s="7" t="s">
        <v>3935</v>
      </c>
      <c r="B261" s="7">
        <v>7146581</v>
      </c>
      <c r="C261" s="8">
        <v>4</v>
      </c>
      <c r="D261" s="8">
        <v>921083981</v>
      </c>
      <c r="E261" s="8" t="str">
        <f t="shared" si="16"/>
        <v>92108398144</v>
      </c>
      <c r="F261" s="8" t="s">
        <v>3651</v>
      </c>
      <c r="G261" s="8">
        <v>1</v>
      </c>
      <c r="H261" s="8">
        <v>20250401</v>
      </c>
      <c r="I261" s="8" t="str">
        <f t="shared" si="17"/>
        <v>4/1/2025</v>
      </c>
      <c r="J261" s="8">
        <v>20250201</v>
      </c>
      <c r="K261" s="8" t="str">
        <f t="shared" si="18"/>
        <v>2/1/2025</v>
      </c>
      <c r="L261" s="8" t="s">
        <v>65</v>
      </c>
      <c r="M261" s="8">
        <v>30</v>
      </c>
      <c r="N261" s="8">
        <v>120</v>
      </c>
      <c r="O261" s="14" t="s">
        <v>3948</v>
      </c>
      <c r="P261" s="6" t="s">
        <v>3954</v>
      </c>
      <c r="AK261" s="12"/>
    </row>
    <row r="262" spans="1:37" ht="15" customHeight="1" x14ac:dyDescent="0.3">
      <c r="A262" s="7" t="s">
        <v>3935</v>
      </c>
      <c r="B262" s="7">
        <v>7146581</v>
      </c>
      <c r="C262" s="8">
        <v>4</v>
      </c>
      <c r="D262" s="8">
        <v>921083981</v>
      </c>
      <c r="E262" s="8" t="str">
        <f t="shared" si="16"/>
        <v>92108398144</v>
      </c>
      <c r="F262" s="8" t="s">
        <v>3651</v>
      </c>
      <c r="G262" s="8">
        <v>1</v>
      </c>
      <c r="H262" s="8">
        <v>20250301</v>
      </c>
      <c r="I262" s="8" t="str">
        <f t="shared" si="17"/>
        <v>3/1/2025</v>
      </c>
      <c r="J262" s="8">
        <v>20250201</v>
      </c>
      <c r="K262" s="8" t="str">
        <f t="shared" si="18"/>
        <v>2/1/2025</v>
      </c>
      <c r="L262" s="8" t="s">
        <v>65</v>
      </c>
      <c r="M262" s="8">
        <v>30</v>
      </c>
      <c r="N262" s="8">
        <v>120</v>
      </c>
      <c r="O262" s="14" t="s">
        <v>3948</v>
      </c>
      <c r="P262" s="6" t="s">
        <v>3954</v>
      </c>
    </row>
    <row r="263" spans="1:37" ht="15" customHeight="1" x14ac:dyDescent="0.2">
      <c r="A263" s="7" t="s">
        <v>3935</v>
      </c>
      <c r="B263" s="7">
        <v>7146581</v>
      </c>
      <c r="C263" s="8">
        <v>1</v>
      </c>
      <c r="D263" s="8">
        <v>920776236</v>
      </c>
      <c r="E263" s="8" t="str">
        <f t="shared" ref="E263:E273" si="19">CONCATENATE(D263,55)</f>
        <v>92077623655</v>
      </c>
      <c r="F263" s="8" t="s">
        <v>3621</v>
      </c>
      <c r="G263" s="8">
        <v>1</v>
      </c>
      <c r="H263" s="8">
        <v>20250401</v>
      </c>
      <c r="I263" s="8" t="str">
        <f t="shared" si="17"/>
        <v>4/1/2025</v>
      </c>
      <c r="J263" s="8">
        <v>20210101</v>
      </c>
      <c r="K263" s="8" t="str">
        <f t="shared" si="18"/>
        <v>1/1/2021</v>
      </c>
      <c r="L263" s="8" t="s">
        <v>138</v>
      </c>
      <c r="M263" s="8">
        <v>20</v>
      </c>
      <c r="N263" s="8">
        <v>20</v>
      </c>
      <c r="O263" s="6" t="s">
        <v>3946</v>
      </c>
    </row>
    <row r="264" spans="1:37" ht="15" customHeight="1" x14ac:dyDescent="0.2">
      <c r="A264" s="7" t="s">
        <v>3935</v>
      </c>
      <c r="B264" s="7">
        <v>7146581</v>
      </c>
      <c r="C264" s="8">
        <v>1</v>
      </c>
      <c r="D264" s="8">
        <v>921360562</v>
      </c>
      <c r="E264" s="8" t="str">
        <f t="shared" si="19"/>
        <v>92136056255</v>
      </c>
      <c r="F264" s="8" t="s">
        <v>3672</v>
      </c>
      <c r="G264" s="8">
        <v>1</v>
      </c>
      <c r="H264" s="8">
        <v>20250401</v>
      </c>
      <c r="I264" s="8" t="str">
        <f t="shared" si="17"/>
        <v>4/1/2025</v>
      </c>
      <c r="J264" s="8">
        <v>20231001</v>
      </c>
      <c r="K264" s="8" t="str">
        <f t="shared" si="18"/>
        <v>10/1/2023</v>
      </c>
      <c r="L264" s="8" t="s">
        <v>138</v>
      </c>
      <c r="M264" s="8">
        <v>20</v>
      </c>
      <c r="N264" s="8">
        <v>20</v>
      </c>
      <c r="O264" s="6" t="s">
        <v>3946</v>
      </c>
    </row>
    <row r="265" spans="1:37" ht="15" customHeight="1" x14ac:dyDescent="0.2">
      <c r="A265" s="7" t="s">
        <v>3935</v>
      </c>
      <c r="B265" s="7">
        <v>7146581</v>
      </c>
      <c r="C265" s="8">
        <v>1</v>
      </c>
      <c r="D265" s="8">
        <v>921362789</v>
      </c>
      <c r="E265" s="8" t="str">
        <f t="shared" si="19"/>
        <v>92136278955</v>
      </c>
      <c r="F265" s="8" t="s">
        <v>3674</v>
      </c>
      <c r="G265" s="8">
        <v>1</v>
      </c>
      <c r="H265" s="8">
        <v>20250401</v>
      </c>
      <c r="I265" s="8" t="str">
        <f t="shared" si="17"/>
        <v>4/1/2025</v>
      </c>
      <c r="J265" s="8">
        <v>20170901</v>
      </c>
      <c r="K265" s="8" t="str">
        <f t="shared" si="18"/>
        <v>9/1/2017</v>
      </c>
      <c r="L265" s="8" t="s">
        <v>138</v>
      </c>
      <c r="M265" s="8">
        <v>20</v>
      </c>
      <c r="N265" s="8">
        <v>20</v>
      </c>
      <c r="O265" s="6" t="s">
        <v>3946</v>
      </c>
    </row>
    <row r="266" spans="1:37" ht="15" customHeight="1" x14ac:dyDescent="0.2">
      <c r="A266" s="7" t="s">
        <v>3935</v>
      </c>
      <c r="B266" s="7">
        <v>7146581</v>
      </c>
      <c r="C266" s="8">
        <v>1</v>
      </c>
      <c r="D266" s="8">
        <v>921435591</v>
      </c>
      <c r="E266" s="8" t="str">
        <f t="shared" si="19"/>
        <v>92143559155</v>
      </c>
      <c r="F266" s="8" t="s">
        <v>3681</v>
      </c>
      <c r="G266" s="8">
        <v>1</v>
      </c>
      <c r="H266" s="8">
        <v>20250401</v>
      </c>
      <c r="I266" s="8" t="str">
        <f t="shared" si="17"/>
        <v>4/1/2025</v>
      </c>
      <c r="J266" s="8">
        <v>20190101</v>
      </c>
      <c r="K266" s="8" t="str">
        <f t="shared" si="18"/>
        <v>1/1/2019</v>
      </c>
      <c r="L266" s="8" t="s">
        <v>138</v>
      </c>
      <c r="M266" s="8">
        <v>20</v>
      </c>
      <c r="N266" s="8">
        <v>20</v>
      </c>
      <c r="O266" s="6" t="s">
        <v>3946</v>
      </c>
    </row>
    <row r="267" spans="1:37" ht="15" customHeight="1" x14ac:dyDescent="0.2">
      <c r="A267" s="7" t="s">
        <v>3935</v>
      </c>
      <c r="B267" s="7">
        <v>7146581</v>
      </c>
      <c r="C267" s="8">
        <v>1</v>
      </c>
      <c r="D267" s="8">
        <v>921517353</v>
      </c>
      <c r="E267" s="8" t="str">
        <f t="shared" si="19"/>
        <v>92151735355</v>
      </c>
      <c r="F267" s="8" t="s">
        <v>3703</v>
      </c>
      <c r="G267" s="8">
        <v>1</v>
      </c>
      <c r="H267" s="8">
        <v>20250401</v>
      </c>
      <c r="I267" s="8" t="str">
        <f t="shared" si="17"/>
        <v>4/1/2025</v>
      </c>
      <c r="J267" s="8">
        <v>20200401</v>
      </c>
      <c r="K267" s="8" t="str">
        <f t="shared" si="18"/>
        <v>4/1/2020</v>
      </c>
      <c r="L267" s="8" t="s">
        <v>138</v>
      </c>
      <c r="M267" s="8">
        <v>20</v>
      </c>
      <c r="N267" s="8">
        <v>20</v>
      </c>
      <c r="O267" s="6" t="s">
        <v>3946</v>
      </c>
    </row>
    <row r="268" spans="1:37" ht="15" customHeight="1" x14ac:dyDescent="0.2">
      <c r="A268" s="7" t="s">
        <v>3935</v>
      </c>
      <c r="B268" s="7">
        <v>7146581</v>
      </c>
      <c r="C268" s="8">
        <v>1</v>
      </c>
      <c r="D268" s="8">
        <v>921574346</v>
      </c>
      <c r="E268" s="8" t="str">
        <f t="shared" si="19"/>
        <v>92157434655</v>
      </c>
      <c r="F268" s="8" t="s">
        <v>3707</v>
      </c>
      <c r="G268" s="8">
        <v>1</v>
      </c>
      <c r="H268" s="8">
        <v>20250401</v>
      </c>
      <c r="I268" s="8" t="str">
        <f t="shared" si="17"/>
        <v>4/1/2025</v>
      </c>
      <c r="J268" s="8">
        <v>20210701</v>
      </c>
      <c r="K268" s="8" t="str">
        <f t="shared" si="18"/>
        <v>7/1/2021</v>
      </c>
      <c r="L268" s="8" t="s">
        <v>138</v>
      </c>
      <c r="M268" s="8">
        <v>20</v>
      </c>
      <c r="N268" s="8">
        <v>20</v>
      </c>
      <c r="O268" s="6" t="s">
        <v>3946</v>
      </c>
    </row>
    <row r="269" spans="1:37" ht="15" customHeight="1" x14ac:dyDescent="0.2">
      <c r="A269" s="7" t="s">
        <v>3935</v>
      </c>
      <c r="B269" s="7">
        <v>7146581</v>
      </c>
      <c r="C269" s="8">
        <v>1</v>
      </c>
      <c r="D269" s="8">
        <v>921625641</v>
      </c>
      <c r="E269" s="8" t="str">
        <f t="shared" si="19"/>
        <v>92162564155</v>
      </c>
      <c r="F269" s="8" t="s">
        <v>3723</v>
      </c>
      <c r="G269" s="8">
        <v>1</v>
      </c>
      <c r="H269" s="8">
        <v>20250401</v>
      </c>
      <c r="I269" s="8" t="str">
        <f t="shared" si="17"/>
        <v>4/1/2025</v>
      </c>
      <c r="J269" s="8">
        <v>20221101</v>
      </c>
      <c r="K269" s="8" t="str">
        <f t="shared" si="18"/>
        <v>11/1/2022</v>
      </c>
      <c r="L269" s="8" t="s">
        <v>138</v>
      </c>
      <c r="M269" s="8">
        <v>20</v>
      </c>
      <c r="N269" s="8">
        <v>20</v>
      </c>
      <c r="O269" s="6" t="s">
        <v>3946</v>
      </c>
    </row>
    <row r="270" spans="1:37" ht="15" customHeight="1" x14ac:dyDescent="0.2">
      <c r="A270" s="7" t="s">
        <v>3935</v>
      </c>
      <c r="B270" s="7">
        <v>7146581</v>
      </c>
      <c r="C270" s="8">
        <v>1</v>
      </c>
      <c r="D270" s="8">
        <v>921637899</v>
      </c>
      <c r="E270" s="8" t="str">
        <f t="shared" si="19"/>
        <v>92163789955</v>
      </c>
      <c r="F270" s="8" t="s">
        <v>3725</v>
      </c>
      <c r="G270" s="8">
        <v>1</v>
      </c>
      <c r="H270" s="8">
        <v>20250401</v>
      </c>
      <c r="I270" s="8" t="str">
        <f t="shared" si="17"/>
        <v>4/1/2025</v>
      </c>
      <c r="J270" s="8">
        <v>20230101</v>
      </c>
      <c r="K270" s="8" t="str">
        <f t="shared" si="18"/>
        <v>1/1/2023</v>
      </c>
      <c r="L270" s="8" t="s">
        <v>138</v>
      </c>
      <c r="M270" s="8">
        <v>20</v>
      </c>
      <c r="N270" s="8">
        <v>20</v>
      </c>
      <c r="O270" s="6" t="s">
        <v>3946</v>
      </c>
    </row>
    <row r="271" spans="1:37" ht="15" customHeight="1" x14ac:dyDescent="0.2">
      <c r="A271" s="7" t="s">
        <v>3935</v>
      </c>
      <c r="B271" s="7">
        <v>7146581</v>
      </c>
      <c r="C271" s="8">
        <v>2</v>
      </c>
      <c r="D271" s="8">
        <v>920773378</v>
      </c>
      <c r="E271" s="8" t="str">
        <f t="shared" si="19"/>
        <v>92077337855</v>
      </c>
      <c r="F271" s="8" t="s">
        <v>3619</v>
      </c>
      <c r="G271" s="8">
        <v>1</v>
      </c>
      <c r="H271" s="8">
        <v>20250301</v>
      </c>
      <c r="I271" s="8" t="str">
        <f t="shared" si="17"/>
        <v>3/1/2025</v>
      </c>
      <c r="J271" s="8">
        <v>20150101</v>
      </c>
      <c r="K271" s="8" t="str">
        <f t="shared" si="18"/>
        <v>1/1/2015</v>
      </c>
      <c r="L271" s="8" t="s">
        <v>138</v>
      </c>
      <c r="M271" s="8">
        <v>20</v>
      </c>
      <c r="N271" s="8">
        <v>40</v>
      </c>
      <c r="O271" s="6" t="s">
        <v>3946</v>
      </c>
      <c r="P271" s="6" t="s">
        <v>3952</v>
      </c>
    </row>
    <row r="272" spans="1:37" ht="15" customHeight="1" x14ac:dyDescent="0.2">
      <c r="A272" s="7" t="s">
        <v>3935</v>
      </c>
      <c r="B272" s="7">
        <v>7146581</v>
      </c>
      <c r="C272" s="8">
        <v>2</v>
      </c>
      <c r="D272" s="8">
        <v>921656286</v>
      </c>
      <c r="E272" s="8" t="str">
        <f t="shared" si="19"/>
        <v>92165628655</v>
      </c>
      <c r="F272" s="8" t="s">
        <v>3737</v>
      </c>
      <c r="G272" s="8">
        <v>1</v>
      </c>
      <c r="H272" s="8">
        <v>20250401</v>
      </c>
      <c r="I272" s="8" t="str">
        <f t="shared" si="17"/>
        <v>4/1/2025</v>
      </c>
      <c r="J272" s="8">
        <v>20230401</v>
      </c>
      <c r="K272" s="8" t="str">
        <f t="shared" si="18"/>
        <v>4/1/2023</v>
      </c>
      <c r="L272" s="8" t="s">
        <v>138</v>
      </c>
      <c r="M272" s="8">
        <v>20</v>
      </c>
      <c r="N272" s="8">
        <v>40</v>
      </c>
      <c r="O272" s="6" t="s">
        <v>3946</v>
      </c>
      <c r="P272" s="6" t="s">
        <v>3952</v>
      </c>
    </row>
    <row r="273" spans="1:16" ht="15" customHeight="1" x14ac:dyDescent="0.2">
      <c r="A273" s="7" t="s">
        <v>3935</v>
      </c>
      <c r="B273" s="7">
        <v>7146581</v>
      </c>
      <c r="C273" s="8">
        <v>5</v>
      </c>
      <c r="D273" s="8">
        <v>921318489</v>
      </c>
      <c r="E273" s="8" t="str">
        <f t="shared" si="19"/>
        <v>92131848955</v>
      </c>
      <c r="F273" s="8" t="s">
        <v>3668</v>
      </c>
      <c r="G273" s="8">
        <v>1</v>
      </c>
      <c r="H273" s="8">
        <v>20250401</v>
      </c>
      <c r="I273" s="8" t="str">
        <f t="shared" si="17"/>
        <v>4/1/2025</v>
      </c>
      <c r="J273" s="8">
        <v>20190101</v>
      </c>
      <c r="K273" s="8" t="str">
        <f t="shared" si="18"/>
        <v>1/1/2019</v>
      </c>
      <c r="L273" s="8" t="s">
        <v>138</v>
      </c>
      <c r="M273" s="8">
        <v>20</v>
      </c>
      <c r="N273" s="8">
        <v>100</v>
      </c>
      <c r="O273" s="6" t="s">
        <v>3946</v>
      </c>
      <c r="P273" s="6" t="s">
        <v>3955</v>
      </c>
    </row>
    <row r="274" spans="1:16" ht="15" customHeight="1" x14ac:dyDescent="0.2">
      <c r="A274" s="7" t="s">
        <v>3935</v>
      </c>
      <c r="B274" s="7">
        <v>7146581</v>
      </c>
      <c r="D274" s="8">
        <v>921482123</v>
      </c>
      <c r="E274" s="8" t="str">
        <f>CONCATENATE(1,D274)</f>
        <v>1921482123</v>
      </c>
      <c r="F274" s="8" t="s">
        <v>3691</v>
      </c>
      <c r="G274" s="8">
        <v>71.290000000000006</v>
      </c>
      <c r="H274" s="8">
        <v>20250401</v>
      </c>
      <c r="I274" s="8" t="str">
        <f t="shared" si="17"/>
        <v>4/1/2025</v>
      </c>
      <c r="J274" s="8">
        <v>20250101</v>
      </c>
      <c r="K274" s="8" t="str">
        <f t="shared" si="18"/>
        <v>1/1/2025</v>
      </c>
      <c r="L274" s="8" t="s">
        <v>116</v>
      </c>
      <c r="M274" s="8">
        <v>0.04</v>
      </c>
      <c r="N274" s="8">
        <v>2.85</v>
      </c>
      <c r="O274" s="6" t="s">
        <v>3938</v>
      </c>
    </row>
    <row r="275" spans="1:16" ht="15" customHeight="1" x14ac:dyDescent="0.2">
      <c r="A275" s="7" t="s">
        <v>3935</v>
      </c>
      <c r="B275" s="7">
        <v>7146581</v>
      </c>
      <c r="D275" s="8">
        <v>920887150</v>
      </c>
      <c r="E275" s="8" t="str">
        <f>CONCATENATE(1,D275)</f>
        <v>1920887150</v>
      </c>
      <c r="F275" s="8" t="s">
        <v>3637</v>
      </c>
      <c r="G275" s="8">
        <v>108.28</v>
      </c>
      <c r="H275" s="8">
        <v>20250401</v>
      </c>
      <c r="I275" s="8" t="str">
        <f t="shared" si="17"/>
        <v>4/1/2025</v>
      </c>
      <c r="J275" s="8">
        <v>20250101</v>
      </c>
      <c r="K275" s="8" t="str">
        <f t="shared" si="18"/>
        <v>1/1/2025</v>
      </c>
      <c r="L275" s="8" t="s">
        <v>116</v>
      </c>
      <c r="M275" s="8">
        <v>0.06</v>
      </c>
      <c r="N275" s="8">
        <v>6.5</v>
      </c>
      <c r="O275" s="6" t="s">
        <v>3938</v>
      </c>
    </row>
    <row r="276" spans="1:16" ht="15" customHeight="1" x14ac:dyDescent="0.2">
      <c r="A276" s="7" t="s">
        <v>3935</v>
      </c>
      <c r="B276" s="7">
        <v>7146581</v>
      </c>
      <c r="D276" s="8">
        <v>957198740</v>
      </c>
      <c r="E276" s="8" t="str">
        <f t="shared" ref="E276:E286" si="20">CONCATENATE(D276,7)</f>
        <v>9571987407</v>
      </c>
      <c r="F276" s="8" t="s">
        <v>3594</v>
      </c>
      <c r="G276" s="8">
        <v>129.53</v>
      </c>
      <c r="H276" s="8">
        <v>20250301</v>
      </c>
      <c r="I276" s="8" t="str">
        <f t="shared" si="17"/>
        <v>3/1/2025</v>
      </c>
      <c r="J276" s="8">
        <v>20250101</v>
      </c>
      <c r="K276" s="8" t="str">
        <f t="shared" si="18"/>
        <v>1/1/2025</v>
      </c>
      <c r="L276" s="8" t="s">
        <v>398</v>
      </c>
      <c r="M276" s="8">
        <v>0.1</v>
      </c>
      <c r="N276" s="8">
        <v>12.95</v>
      </c>
      <c r="O276" s="6" t="s">
        <v>3942</v>
      </c>
    </row>
    <row r="277" spans="1:16" ht="15" customHeight="1" x14ac:dyDescent="0.2">
      <c r="A277" s="7" t="s">
        <v>3935</v>
      </c>
      <c r="B277" s="7">
        <v>7146581</v>
      </c>
      <c r="D277" s="8">
        <v>957204738</v>
      </c>
      <c r="E277" s="8" t="str">
        <f t="shared" si="20"/>
        <v>9572047387</v>
      </c>
      <c r="F277" s="8" t="s">
        <v>3874</v>
      </c>
      <c r="G277" s="8">
        <v>129.53</v>
      </c>
      <c r="H277" s="8">
        <v>20250304</v>
      </c>
      <c r="I277" s="8" t="str">
        <f t="shared" si="17"/>
        <v>3/4/2025</v>
      </c>
      <c r="J277" s="8">
        <v>20250104</v>
      </c>
      <c r="K277" s="8" t="str">
        <f t="shared" si="18"/>
        <v>1/4/2025</v>
      </c>
      <c r="L277" s="8" t="s">
        <v>398</v>
      </c>
      <c r="M277" s="8">
        <v>0.1</v>
      </c>
      <c r="N277" s="8">
        <v>12.95</v>
      </c>
      <c r="O277" s="6" t="s">
        <v>3942</v>
      </c>
    </row>
    <row r="278" spans="1:16" ht="15" customHeight="1" x14ac:dyDescent="0.2">
      <c r="A278" s="7" t="s">
        <v>3935</v>
      </c>
      <c r="B278" s="7">
        <v>7146581</v>
      </c>
      <c r="D278" s="8">
        <v>957204738</v>
      </c>
      <c r="E278" s="8" t="str">
        <f t="shared" si="20"/>
        <v>9572047387</v>
      </c>
      <c r="F278" s="8" t="s">
        <v>3874</v>
      </c>
      <c r="G278" s="8">
        <v>129.53</v>
      </c>
      <c r="H278" s="8">
        <v>20250204</v>
      </c>
      <c r="I278" s="8" t="str">
        <f t="shared" si="17"/>
        <v>2/4/2025</v>
      </c>
      <c r="J278" s="8">
        <v>20250104</v>
      </c>
      <c r="K278" s="8" t="str">
        <f t="shared" si="18"/>
        <v>1/4/2025</v>
      </c>
      <c r="L278" s="8" t="s">
        <v>398</v>
      </c>
      <c r="M278" s="8">
        <v>0.1</v>
      </c>
      <c r="N278" s="8">
        <v>12.95</v>
      </c>
      <c r="O278" s="6" t="s">
        <v>3942</v>
      </c>
    </row>
    <row r="279" spans="1:16" ht="15" customHeight="1" x14ac:dyDescent="0.2">
      <c r="A279" s="7" t="s">
        <v>3935</v>
      </c>
      <c r="B279" s="7">
        <v>7146581</v>
      </c>
      <c r="D279" s="8">
        <v>957198773</v>
      </c>
      <c r="E279" s="8" t="str">
        <f t="shared" si="20"/>
        <v>9571987737</v>
      </c>
      <c r="F279" s="8" t="s">
        <v>3596</v>
      </c>
      <c r="G279" s="8">
        <v>132.47</v>
      </c>
      <c r="H279" s="8">
        <v>20250301</v>
      </c>
      <c r="I279" s="8" t="str">
        <f t="shared" si="17"/>
        <v>3/1/2025</v>
      </c>
      <c r="J279" s="8">
        <v>20250101</v>
      </c>
      <c r="K279" s="8" t="str">
        <f t="shared" si="18"/>
        <v>1/1/2025</v>
      </c>
      <c r="L279" s="8" t="s">
        <v>398</v>
      </c>
      <c r="M279" s="8">
        <v>0.1</v>
      </c>
      <c r="N279" s="8">
        <v>13.25</v>
      </c>
      <c r="O279" s="6" t="s">
        <v>3942</v>
      </c>
    </row>
    <row r="280" spans="1:16" ht="15" customHeight="1" x14ac:dyDescent="0.2">
      <c r="A280" s="7" t="s">
        <v>3935</v>
      </c>
      <c r="B280" s="7">
        <v>7146581</v>
      </c>
      <c r="D280" s="8">
        <v>957199024</v>
      </c>
      <c r="E280" s="8" t="str">
        <f t="shared" si="20"/>
        <v>9571990247</v>
      </c>
      <c r="F280" s="8" t="s">
        <v>3844</v>
      </c>
      <c r="G280" s="8">
        <v>170.27</v>
      </c>
      <c r="H280" s="8">
        <v>20250303</v>
      </c>
      <c r="I280" s="8" t="str">
        <f t="shared" si="17"/>
        <v>3/3/2025</v>
      </c>
      <c r="J280" s="8">
        <v>20241203</v>
      </c>
      <c r="K280" s="8" t="str">
        <f t="shared" si="18"/>
        <v>12/3/2024</v>
      </c>
      <c r="L280" s="8" t="s">
        <v>398</v>
      </c>
      <c r="M280" s="8">
        <v>0.1</v>
      </c>
      <c r="N280" s="8">
        <v>17.03</v>
      </c>
      <c r="O280" s="6" t="s">
        <v>3942</v>
      </c>
    </row>
    <row r="281" spans="1:16" ht="15" customHeight="1" x14ac:dyDescent="0.2">
      <c r="A281" s="7" t="s">
        <v>3935</v>
      </c>
      <c r="B281" s="7">
        <v>7146581</v>
      </c>
      <c r="D281" s="8">
        <v>957199653</v>
      </c>
      <c r="E281" s="8" t="str">
        <f t="shared" si="20"/>
        <v>9571996537</v>
      </c>
      <c r="F281" s="8" t="s">
        <v>3848</v>
      </c>
      <c r="G281" s="8">
        <v>181.94</v>
      </c>
      <c r="H281" s="8">
        <v>20250401</v>
      </c>
      <c r="I281" s="8" t="str">
        <f t="shared" si="17"/>
        <v>4/1/2025</v>
      </c>
      <c r="J281" s="8">
        <v>20250101</v>
      </c>
      <c r="K281" s="8" t="str">
        <f t="shared" si="18"/>
        <v>1/1/2025</v>
      </c>
      <c r="L281" s="8" t="s">
        <v>398</v>
      </c>
      <c r="M281" s="8">
        <v>0.1</v>
      </c>
      <c r="N281" s="8">
        <v>18.190000000000001</v>
      </c>
      <c r="O281" s="6" t="s">
        <v>3942</v>
      </c>
    </row>
    <row r="282" spans="1:16" ht="15" customHeight="1" x14ac:dyDescent="0.2">
      <c r="A282" s="7" t="s">
        <v>3935</v>
      </c>
      <c r="B282" s="7">
        <v>7146581</v>
      </c>
      <c r="D282" s="8">
        <v>957203139</v>
      </c>
      <c r="E282" s="8" t="str">
        <f t="shared" si="20"/>
        <v>9572031397</v>
      </c>
      <c r="F282" s="8" t="s">
        <v>3863</v>
      </c>
      <c r="G282" s="8">
        <v>189.49</v>
      </c>
      <c r="H282" s="8">
        <v>20250301</v>
      </c>
      <c r="I282" s="8" t="str">
        <f t="shared" si="17"/>
        <v>3/1/2025</v>
      </c>
      <c r="J282" s="8">
        <v>20250101</v>
      </c>
      <c r="K282" s="8" t="str">
        <f t="shared" si="18"/>
        <v>1/1/2025</v>
      </c>
      <c r="L282" s="8" t="s">
        <v>398</v>
      </c>
      <c r="M282" s="8">
        <v>0.1</v>
      </c>
      <c r="N282" s="8">
        <v>18.95</v>
      </c>
      <c r="O282" s="6" t="s">
        <v>3942</v>
      </c>
    </row>
    <row r="283" spans="1:16" ht="15" customHeight="1" x14ac:dyDescent="0.2">
      <c r="A283" s="7" t="s">
        <v>3935</v>
      </c>
      <c r="B283" s="7">
        <v>7146581</v>
      </c>
      <c r="D283" s="8">
        <v>957196012</v>
      </c>
      <c r="E283" s="8" t="str">
        <f t="shared" si="20"/>
        <v>9571960127</v>
      </c>
      <c r="F283" s="8" t="s">
        <v>3819</v>
      </c>
      <c r="G283" s="8">
        <v>267.76</v>
      </c>
      <c r="H283" s="8">
        <v>20250401</v>
      </c>
      <c r="I283" s="8" t="str">
        <f t="shared" si="17"/>
        <v>4/1/2025</v>
      </c>
      <c r="J283" s="8">
        <v>20250101</v>
      </c>
      <c r="K283" s="8" t="str">
        <f t="shared" si="18"/>
        <v>1/1/2025</v>
      </c>
      <c r="L283" s="8" t="s">
        <v>398</v>
      </c>
      <c r="M283" s="8">
        <v>0.1</v>
      </c>
      <c r="N283" s="8">
        <v>26.78</v>
      </c>
      <c r="O283" s="6" t="s">
        <v>3942</v>
      </c>
    </row>
    <row r="284" spans="1:16" ht="15" customHeight="1" x14ac:dyDescent="0.2">
      <c r="A284" s="7" t="s">
        <v>3935</v>
      </c>
      <c r="B284" s="7">
        <v>7146581</v>
      </c>
      <c r="D284" s="8">
        <v>957196012</v>
      </c>
      <c r="E284" s="8" t="str">
        <f t="shared" si="20"/>
        <v>9571960127</v>
      </c>
      <c r="F284" s="8" t="s">
        <v>3819</v>
      </c>
      <c r="G284" s="8">
        <v>267.76</v>
      </c>
      <c r="H284" s="8">
        <v>20250301</v>
      </c>
      <c r="I284" s="8" t="str">
        <f t="shared" si="17"/>
        <v>3/1/2025</v>
      </c>
      <c r="J284" s="8">
        <v>20250101</v>
      </c>
      <c r="K284" s="8" t="str">
        <f t="shared" si="18"/>
        <v>1/1/2025</v>
      </c>
      <c r="L284" s="8" t="s">
        <v>398</v>
      </c>
      <c r="M284" s="8">
        <v>0.1</v>
      </c>
      <c r="N284" s="8">
        <v>26.78</v>
      </c>
      <c r="O284" s="6" t="s">
        <v>3942</v>
      </c>
    </row>
    <row r="285" spans="1:16" ht="15" customHeight="1" x14ac:dyDescent="0.2">
      <c r="A285" s="7" t="s">
        <v>3935</v>
      </c>
      <c r="B285" s="7">
        <v>7146581</v>
      </c>
      <c r="D285" s="8">
        <v>957203142</v>
      </c>
      <c r="E285" s="8" t="str">
        <f t="shared" si="20"/>
        <v>9572031427</v>
      </c>
      <c r="F285" s="8" t="s">
        <v>3865</v>
      </c>
      <c r="G285" s="8">
        <v>296.19</v>
      </c>
      <c r="H285" s="8">
        <v>20250301</v>
      </c>
      <c r="I285" s="8" t="str">
        <f t="shared" si="17"/>
        <v>3/1/2025</v>
      </c>
      <c r="J285" s="8">
        <v>20250101</v>
      </c>
      <c r="K285" s="8" t="str">
        <f t="shared" si="18"/>
        <v>1/1/2025</v>
      </c>
      <c r="L285" s="8" t="s">
        <v>398</v>
      </c>
      <c r="M285" s="8">
        <v>0.1</v>
      </c>
      <c r="N285" s="8">
        <v>29.62</v>
      </c>
      <c r="O285" s="6" t="s">
        <v>3942</v>
      </c>
    </row>
    <row r="286" spans="1:16" ht="15" customHeight="1" x14ac:dyDescent="0.2">
      <c r="A286" s="7" t="s">
        <v>3935</v>
      </c>
      <c r="B286" s="7">
        <v>7146581</v>
      </c>
      <c r="C286" s="6">
        <v>-1</v>
      </c>
      <c r="D286" s="8">
        <v>957196012</v>
      </c>
      <c r="E286" s="8" t="str">
        <f t="shared" si="20"/>
        <v>9571960127</v>
      </c>
      <c r="F286" s="8" t="s">
        <v>3819</v>
      </c>
      <c r="G286" s="6">
        <v>-267.76</v>
      </c>
      <c r="H286" s="8">
        <v>20250301</v>
      </c>
      <c r="I286" s="8" t="str">
        <f t="shared" si="17"/>
        <v>3/1/2025</v>
      </c>
      <c r="J286" s="8">
        <v>20250101</v>
      </c>
      <c r="K286" s="8" t="str">
        <f t="shared" si="18"/>
        <v>1/1/2025</v>
      </c>
      <c r="L286" s="8" t="s">
        <v>398</v>
      </c>
      <c r="M286" s="8">
        <v>0.1</v>
      </c>
      <c r="N286" s="8">
        <v>-26.78</v>
      </c>
      <c r="O286" s="6" t="s">
        <v>3942</v>
      </c>
    </row>
    <row r="287" spans="1:16" ht="15" customHeight="1" x14ac:dyDescent="0.2">
      <c r="A287" s="7" t="s">
        <v>3935</v>
      </c>
      <c r="B287" s="7">
        <v>7146581</v>
      </c>
      <c r="D287" s="8">
        <v>957194802</v>
      </c>
      <c r="E287" s="8" t="str">
        <f>CONCATENATE(D287,8)</f>
        <v>9571948028</v>
      </c>
      <c r="F287" s="8" t="s">
        <v>3585</v>
      </c>
      <c r="G287" s="8">
        <v>288.86</v>
      </c>
      <c r="H287" s="8">
        <v>20250301</v>
      </c>
      <c r="I287" s="8" t="str">
        <f t="shared" si="17"/>
        <v>3/1/2025</v>
      </c>
      <c r="J287" s="8">
        <v>20241201</v>
      </c>
      <c r="K287" s="8" t="str">
        <f t="shared" si="18"/>
        <v>12/1/2024</v>
      </c>
      <c r="L287" s="8" t="s">
        <v>924</v>
      </c>
      <c r="M287" s="8">
        <v>0.05</v>
      </c>
      <c r="N287" s="8">
        <v>14.44</v>
      </c>
      <c r="O287" s="6" t="s">
        <v>3939</v>
      </c>
    </row>
    <row r="288" spans="1:16" ht="15" customHeight="1" x14ac:dyDescent="0.2">
      <c r="A288" s="7" t="s">
        <v>3935</v>
      </c>
      <c r="B288" s="7">
        <v>7146581</v>
      </c>
      <c r="D288" s="8">
        <v>957197502</v>
      </c>
      <c r="E288" s="8" t="str">
        <f>CONCATENATE(D288,8)</f>
        <v>9571975028</v>
      </c>
      <c r="F288" s="8" t="s">
        <v>3829</v>
      </c>
      <c r="G288" s="8">
        <v>303.29000000000002</v>
      </c>
      <c r="H288" s="8">
        <v>20250301</v>
      </c>
      <c r="I288" s="8" t="str">
        <f t="shared" si="17"/>
        <v>3/1/2025</v>
      </c>
      <c r="J288" s="8">
        <v>20250101</v>
      </c>
      <c r="K288" s="8" t="str">
        <f t="shared" si="18"/>
        <v>1/1/2025</v>
      </c>
      <c r="L288" s="8" t="s">
        <v>924</v>
      </c>
      <c r="M288" s="8">
        <v>0.05</v>
      </c>
      <c r="N288" s="8">
        <v>15.16</v>
      </c>
      <c r="O288" s="6" t="s">
        <v>3939</v>
      </c>
    </row>
    <row r="289" spans="1:36" ht="15" customHeight="1" x14ac:dyDescent="0.2">
      <c r="A289" s="7" t="s">
        <v>3935</v>
      </c>
      <c r="B289" s="7">
        <v>7146581</v>
      </c>
      <c r="D289" s="8">
        <v>957197493</v>
      </c>
      <c r="E289" s="8" t="str">
        <f>CONCATENATE(D289,8)</f>
        <v>9571974938</v>
      </c>
      <c r="F289" s="8" t="s">
        <v>3825</v>
      </c>
      <c r="G289" s="8">
        <v>353.67</v>
      </c>
      <c r="H289" s="8">
        <v>20250301</v>
      </c>
      <c r="I289" s="8" t="str">
        <f t="shared" si="17"/>
        <v>3/1/2025</v>
      </c>
      <c r="J289" s="8">
        <v>20250101</v>
      </c>
      <c r="K289" s="8" t="str">
        <f t="shared" si="18"/>
        <v>1/1/2025</v>
      </c>
      <c r="L289" s="8" t="s">
        <v>924</v>
      </c>
      <c r="M289" s="8">
        <v>0.05</v>
      </c>
      <c r="N289" s="8">
        <v>17.68</v>
      </c>
      <c r="O289" s="6" t="s">
        <v>3939</v>
      </c>
    </row>
    <row r="290" spans="1:36" ht="15" customHeight="1" x14ac:dyDescent="0.2">
      <c r="A290" s="7" t="s">
        <v>3935</v>
      </c>
      <c r="B290" s="7">
        <v>7146581</v>
      </c>
      <c r="D290" s="8">
        <v>957194804</v>
      </c>
      <c r="E290" s="8" t="str">
        <f>CONCATENATE(D290,8)</f>
        <v>9571948048</v>
      </c>
      <c r="F290" s="8" t="s">
        <v>3814</v>
      </c>
      <c r="G290" s="8">
        <v>371.27</v>
      </c>
      <c r="H290" s="8">
        <v>20250301</v>
      </c>
      <c r="I290" s="8" t="str">
        <f t="shared" si="17"/>
        <v>3/1/2025</v>
      </c>
      <c r="J290" s="8">
        <v>20241201</v>
      </c>
      <c r="K290" s="8" t="str">
        <f t="shared" si="18"/>
        <v>12/1/2024</v>
      </c>
      <c r="L290" s="8" t="s">
        <v>924</v>
      </c>
      <c r="M290" s="8">
        <v>0.05</v>
      </c>
      <c r="N290" s="8">
        <v>18.559999999999999</v>
      </c>
      <c r="O290" s="6" t="s">
        <v>3939</v>
      </c>
    </row>
    <row r="291" spans="1:36" ht="15" customHeight="1" x14ac:dyDescent="0.2">
      <c r="A291" s="7" t="s">
        <v>3935</v>
      </c>
      <c r="B291" s="7">
        <v>7146581</v>
      </c>
      <c r="D291" s="8">
        <v>957201158</v>
      </c>
      <c r="E291" s="8" t="str">
        <f>CONCATENATE(D291,8)</f>
        <v>9572011588</v>
      </c>
      <c r="F291" s="8" t="s">
        <v>3855</v>
      </c>
      <c r="G291" s="8">
        <v>420.69</v>
      </c>
      <c r="H291" s="8">
        <v>20250301</v>
      </c>
      <c r="I291" s="8" t="str">
        <f t="shared" si="17"/>
        <v>3/1/2025</v>
      </c>
      <c r="J291" s="8">
        <v>20250101</v>
      </c>
      <c r="K291" s="8" t="str">
        <f t="shared" si="18"/>
        <v>1/1/2025</v>
      </c>
      <c r="L291" s="8" t="s">
        <v>924</v>
      </c>
      <c r="M291" s="8">
        <v>0.05</v>
      </c>
      <c r="N291" s="8">
        <v>21.03</v>
      </c>
      <c r="O291" s="6" t="s">
        <v>3939</v>
      </c>
    </row>
    <row r="292" spans="1:36" ht="15" customHeight="1" x14ac:dyDescent="0.2">
      <c r="A292" s="7" t="s">
        <v>3935</v>
      </c>
      <c r="B292" s="7">
        <v>7146581</v>
      </c>
      <c r="D292" s="8">
        <v>957204238</v>
      </c>
      <c r="E292" s="8" t="str">
        <f t="shared" ref="E292:E299" si="21">CONCATENATE(D292,9)</f>
        <v>9572042389</v>
      </c>
      <c r="F292" s="8" t="s">
        <v>3869</v>
      </c>
      <c r="G292" s="8">
        <v>128.49</v>
      </c>
      <c r="H292" s="8">
        <v>20250301</v>
      </c>
      <c r="I292" s="8" t="str">
        <f t="shared" si="17"/>
        <v>3/1/2025</v>
      </c>
      <c r="J292" s="8">
        <v>20250101</v>
      </c>
      <c r="K292" s="8" t="str">
        <f t="shared" si="18"/>
        <v>1/1/2025</v>
      </c>
      <c r="L292" s="8" t="s">
        <v>980</v>
      </c>
      <c r="M292" s="8">
        <v>0.18</v>
      </c>
      <c r="N292" s="8">
        <v>23.13</v>
      </c>
      <c r="O292" s="6" t="s">
        <v>3944</v>
      </c>
    </row>
    <row r="293" spans="1:36" ht="15" customHeight="1" x14ac:dyDescent="0.2">
      <c r="A293" s="7" t="s">
        <v>3935</v>
      </c>
      <c r="B293" s="7">
        <v>7146581</v>
      </c>
      <c r="D293" s="8">
        <v>957204238</v>
      </c>
      <c r="E293" s="8" t="str">
        <f t="shared" si="21"/>
        <v>9572042389</v>
      </c>
      <c r="F293" s="8" t="s">
        <v>3869</v>
      </c>
      <c r="G293" s="8">
        <v>128.49</v>
      </c>
      <c r="H293" s="8">
        <v>20250201</v>
      </c>
      <c r="I293" s="8" t="str">
        <f t="shared" si="17"/>
        <v>2/1/2025</v>
      </c>
      <c r="J293" s="8">
        <v>20250101</v>
      </c>
      <c r="K293" s="8" t="str">
        <f t="shared" si="18"/>
        <v>1/1/2025</v>
      </c>
      <c r="L293" s="8" t="s">
        <v>980</v>
      </c>
      <c r="M293" s="8">
        <v>0.18</v>
      </c>
      <c r="N293" s="8">
        <v>23.13</v>
      </c>
      <c r="O293" s="6" t="s">
        <v>3944</v>
      </c>
    </row>
    <row r="294" spans="1:36" ht="15" customHeight="1" x14ac:dyDescent="0.2">
      <c r="A294" s="7" t="s">
        <v>3935</v>
      </c>
      <c r="B294" s="7">
        <v>7146581</v>
      </c>
      <c r="D294" s="8">
        <v>957201883</v>
      </c>
      <c r="E294" s="8" t="str">
        <f t="shared" si="21"/>
        <v>9572018839</v>
      </c>
      <c r="F294" s="8" t="s">
        <v>3859</v>
      </c>
      <c r="G294" s="8">
        <v>135.58000000000001</v>
      </c>
      <c r="H294" s="8">
        <v>20250301</v>
      </c>
      <c r="I294" s="8" t="str">
        <f t="shared" si="17"/>
        <v>3/1/2025</v>
      </c>
      <c r="J294" s="8">
        <v>20250101</v>
      </c>
      <c r="K294" s="8" t="str">
        <f t="shared" si="18"/>
        <v>1/1/2025</v>
      </c>
      <c r="L294" s="8" t="s">
        <v>980</v>
      </c>
      <c r="M294" s="8">
        <v>0.18</v>
      </c>
      <c r="N294" s="8">
        <v>24.4</v>
      </c>
      <c r="O294" s="6" t="s">
        <v>3944</v>
      </c>
    </row>
    <row r="295" spans="1:36" ht="15" customHeight="1" x14ac:dyDescent="0.2">
      <c r="A295" s="7" t="s">
        <v>3935</v>
      </c>
      <c r="B295" s="7">
        <v>7146581</v>
      </c>
      <c r="D295" s="8">
        <v>957197648</v>
      </c>
      <c r="E295" s="8" t="str">
        <f t="shared" si="21"/>
        <v>9571976489</v>
      </c>
      <c r="F295" s="8" t="s">
        <v>3833</v>
      </c>
      <c r="G295" s="8">
        <v>147.44</v>
      </c>
      <c r="H295" s="8">
        <v>20250301</v>
      </c>
      <c r="I295" s="8" t="str">
        <f t="shared" si="17"/>
        <v>3/1/2025</v>
      </c>
      <c r="J295" s="8">
        <v>20250101</v>
      </c>
      <c r="K295" s="8" t="str">
        <f t="shared" si="18"/>
        <v>1/1/2025</v>
      </c>
      <c r="L295" s="8" t="s">
        <v>980</v>
      </c>
      <c r="M295" s="8">
        <v>0.18</v>
      </c>
      <c r="N295" s="8">
        <v>26.54</v>
      </c>
      <c r="O295" s="6" t="s">
        <v>3944</v>
      </c>
    </row>
    <row r="296" spans="1:36" ht="15" customHeight="1" x14ac:dyDescent="0.2">
      <c r="A296" s="7" t="s">
        <v>3935</v>
      </c>
      <c r="B296" s="7">
        <v>7146581</v>
      </c>
      <c r="D296" s="8">
        <v>957197648</v>
      </c>
      <c r="E296" s="8" t="str">
        <f t="shared" si="21"/>
        <v>9571976489</v>
      </c>
      <c r="F296" s="8" t="s">
        <v>3833</v>
      </c>
      <c r="G296" s="8">
        <v>147.44</v>
      </c>
      <c r="H296" s="8">
        <v>20250201</v>
      </c>
      <c r="I296" s="8" t="str">
        <f t="shared" si="17"/>
        <v>2/1/2025</v>
      </c>
      <c r="J296" s="8">
        <v>20250101</v>
      </c>
      <c r="K296" s="8" t="str">
        <f t="shared" si="18"/>
        <v>1/1/2025</v>
      </c>
      <c r="L296" s="8" t="s">
        <v>980</v>
      </c>
      <c r="M296" s="8">
        <v>0.18</v>
      </c>
      <c r="N296" s="8">
        <v>26.54</v>
      </c>
      <c r="O296" s="6" t="s">
        <v>3944</v>
      </c>
    </row>
    <row r="297" spans="1:36" ht="15" customHeight="1" x14ac:dyDescent="0.2">
      <c r="A297" s="7" t="s">
        <v>3935</v>
      </c>
      <c r="B297" s="7">
        <v>7146581</v>
      </c>
      <c r="D297" s="8">
        <v>957193300</v>
      </c>
      <c r="E297" s="8" t="str">
        <f t="shared" si="21"/>
        <v>9571933009</v>
      </c>
      <c r="F297" s="8" t="s">
        <v>3807</v>
      </c>
      <c r="G297" s="8">
        <v>182.65</v>
      </c>
      <c r="H297" s="8">
        <v>20250301</v>
      </c>
      <c r="I297" s="8" t="str">
        <f t="shared" si="17"/>
        <v>3/1/2025</v>
      </c>
      <c r="J297" s="8">
        <v>20241201</v>
      </c>
      <c r="K297" s="8" t="str">
        <f t="shared" si="18"/>
        <v>12/1/2024</v>
      </c>
      <c r="L297" s="8" t="s">
        <v>980</v>
      </c>
      <c r="M297" s="8">
        <v>0.18</v>
      </c>
      <c r="N297" s="8">
        <v>32.880000000000003</v>
      </c>
      <c r="O297" s="6" t="s">
        <v>3944</v>
      </c>
    </row>
    <row r="298" spans="1:36" ht="15" customHeight="1" x14ac:dyDescent="0.2">
      <c r="A298" s="7" t="s">
        <v>3935</v>
      </c>
      <c r="B298" s="7">
        <v>7146581</v>
      </c>
      <c r="D298" s="8">
        <v>957200242</v>
      </c>
      <c r="E298" s="8" t="str">
        <f t="shared" si="21"/>
        <v>9572002429</v>
      </c>
      <c r="F298" s="8" t="s">
        <v>3851</v>
      </c>
      <c r="G298" s="8">
        <v>229.67</v>
      </c>
      <c r="H298" s="8">
        <v>20250401</v>
      </c>
      <c r="I298" s="8" t="str">
        <f t="shared" si="17"/>
        <v>4/1/2025</v>
      </c>
      <c r="J298" s="8">
        <v>20250101</v>
      </c>
      <c r="K298" s="8" t="str">
        <f t="shared" si="18"/>
        <v>1/1/2025</v>
      </c>
      <c r="L298" s="8" t="s">
        <v>980</v>
      </c>
      <c r="M298" s="8">
        <v>0.18</v>
      </c>
      <c r="N298" s="8">
        <v>41.34</v>
      </c>
      <c r="O298" s="6" t="s">
        <v>3944</v>
      </c>
    </row>
    <row r="299" spans="1:36" ht="15" customHeight="1" x14ac:dyDescent="0.2">
      <c r="A299" s="7" t="s">
        <v>3935</v>
      </c>
      <c r="B299" s="7">
        <v>7146581</v>
      </c>
      <c r="D299" s="8">
        <v>957200242</v>
      </c>
      <c r="E299" s="8" t="str">
        <f t="shared" si="21"/>
        <v>9572002429</v>
      </c>
      <c r="F299" s="8" t="s">
        <v>3851</v>
      </c>
      <c r="G299" s="8">
        <v>229.67</v>
      </c>
      <c r="H299" s="8">
        <v>20250301</v>
      </c>
      <c r="I299" s="8" t="str">
        <f t="shared" si="17"/>
        <v>3/1/2025</v>
      </c>
      <c r="J299" s="8">
        <v>20250101</v>
      </c>
      <c r="K299" s="8" t="str">
        <f t="shared" si="18"/>
        <v>1/1/2025</v>
      </c>
      <c r="L299" s="8" t="s">
        <v>980</v>
      </c>
      <c r="M299" s="8">
        <v>0.18</v>
      </c>
      <c r="N299" s="8">
        <v>41.34</v>
      </c>
      <c r="O299" s="6" t="s">
        <v>3944</v>
      </c>
    </row>
    <row r="300" spans="1:36" ht="15" customHeight="1" x14ac:dyDescent="0.2">
      <c r="A300" s="7" t="s">
        <v>3935</v>
      </c>
      <c r="B300" s="7">
        <v>7146581</v>
      </c>
      <c r="D300" s="8">
        <v>957197833</v>
      </c>
      <c r="E300" s="8" t="str">
        <f>CONCATENATE(D300,0)</f>
        <v>9571978330</v>
      </c>
      <c r="F300" s="8" t="s">
        <v>3837</v>
      </c>
      <c r="G300" s="8">
        <v>229.1</v>
      </c>
      <c r="H300" s="8">
        <v>20250326</v>
      </c>
      <c r="I300" s="8" t="str">
        <f t="shared" si="17"/>
        <v>3/26/2025</v>
      </c>
      <c r="J300" s="8">
        <v>20241126</v>
      </c>
      <c r="K300" s="8" t="str">
        <f t="shared" si="18"/>
        <v>11/26/2024</v>
      </c>
      <c r="L300" s="8" t="s">
        <v>959</v>
      </c>
      <c r="M300" s="8">
        <v>0.09</v>
      </c>
      <c r="N300" s="8">
        <v>20.62</v>
      </c>
      <c r="O300" s="12" t="s">
        <v>3941</v>
      </c>
    </row>
    <row r="301" spans="1:36" ht="15" customHeight="1" x14ac:dyDescent="0.2">
      <c r="A301" s="10" t="s">
        <v>3931</v>
      </c>
      <c r="B301" s="10">
        <v>21348299</v>
      </c>
      <c r="C301" s="11">
        <v>1</v>
      </c>
      <c r="D301" s="11">
        <v>921748119</v>
      </c>
      <c r="E301" s="8" t="str">
        <f>CONCATENATE(D301,22)</f>
        <v>92174811922</v>
      </c>
      <c r="F301" s="11" t="s">
        <v>3556</v>
      </c>
      <c r="G301" s="8">
        <v>1</v>
      </c>
      <c r="H301" s="11">
        <v>20250401</v>
      </c>
      <c r="I301" s="8" t="str">
        <f t="shared" si="17"/>
        <v>4/1/2025</v>
      </c>
      <c r="J301" s="11">
        <v>20250101</v>
      </c>
      <c r="K301" s="8" t="str">
        <f t="shared" si="18"/>
        <v>1/1/2025</v>
      </c>
      <c r="L301" s="11" t="s">
        <v>56</v>
      </c>
      <c r="M301" s="11">
        <v>25</v>
      </c>
      <c r="N301" s="11">
        <v>25</v>
      </c>
      <c r="O301" s="6" t="s">
        <v>3947</v>
      </c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</row>
    <row r="302" spans="1:36" ht="15" customHeight="1" x14ac:dyDescent="0.2">
      <c r="A302" s="10" t="s">
        <v>3931</v>
      </c>
      <c r="B302" s="10">
        <v>21348299</v>
      </c>
      <c r="C302" s="11">
        <v>1</v>
      </c>
      <c r="D302" s="11">
        <v>921754273</v>
      </c>
      <c r="E302" s="8" t="str">
        <f>CONCATENATE(D302,33)</f>
        <v>92175427333</v>
      </c>
      <c r="F302" s="11" t="s">
        <v>3559</v>
      </c>
      <c r="G302" s="8">
        <v>1</v>
      </c>
      <c r="H302" s="11">
        <v>20250401</v>
      </c>
      <c r="I302" s="8" t="str">
        <f t="shared" si="17"/>
        <v>4/1/2025</v>
      </c>
      <c r="J302" s="11">
        <v>20250101</v>
      </c>
      <c r="K302" s="8" t="str">
        <f t="shared" si="18"/>
        <v>1/1/2025</v>
      </c>
      <c r="L302" s="11" t="s">
        <v>198</v>
      </c>
      <c r="M302" s="11">
        <v>20</v>
      </c>
      <c r="N302" s="11">
        <v>20</v>
      </c>
      <c r="O302" s="6" t="s">
        <v>3950</v>
      </c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</row>
    <row r="303" spans="1:36" ht="15" customHeight="1" x14ac:dyDescent="0.2">
      <c r="A303" s="10" t="s">
        <v>3931</v>
      </c>
      <c r="B303" s="10">
        <v>21348299</v>
      </c>
      <c r="C303" s="11">
        <v>1</v>
      </c>
      <c r="D303" s="11">
        <v>921757425</v>
      </c>
      <c r="E303" s="8" t="str">
        <f>CONCATENATE(D303,33)</f>
        <v>92175742533</v>
      </c>
      <c r="F303" s="11" t="s">
        <v>3561</v>
      </c>
      <c r="G303" s="8">
        <v>1</v>
      </c>
      <c r="H303" s="11">
        <v>20250401</v>
      </c>
      <c r="I303" s="8" t="str">
        <f t="shared" si="17"/>
        <v>4/1/2025</v>
      </c>
      <c r="J303" s="11">
        <v>20250101</v>
      </c>
      <c r="K303" s="8" t="str">
        <f t="shared" si="18"/>
        <v>1/1/2025</v>
      </c>
      <c r="L303" s="11" t="s">
        <v>198</v>
      </c>
      <c r="M303" s="11">
        <v>20</v>
      </c>
      <c r="N303" s="11">
        <v>20</v>
      </c>
      <c r="O303" s="6" t="s">
        <v>3950</v>
      </c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</row>
    <row r="304" spans="1:36" ht="15" customHeight="1" x14ac:dyDescent="0.2">
      <c r="A304" s="10" t="s">
        <v>3931</v>
      </c>
      <c r="B304" s="10">
        <v>21348299</v>
      </c>
      <c r="C304" s="11">
        <v>1</v>
      </c>
      <c r="D304" s="11">
        <v>921757733</v>
      </c>
      <c r="E304" s="8" t="str">
        <f>CONCATENATE(D304,33)</f>
        <v>92175773333</v>
      </c>
      <c r="F304" s="11" t="s">
        <v>3563</v>
      </c>
      <c r="G304" s="8">
        <v>1</v>
      </c>
      <c r="H304" s="11">
        <v>20250401</v>
      </c>
      <c r="I304" s="8" t="str">
        <f t="shared" si="17"/>
        <v>4/1/2025</v>
      </c>
      <c r="J304" s="11">
        <v>20250101</v>
      </c>
      <c r="K304" s="8" t="str">
        <f t="shared" si="18"/>
        <v>1/1/2025</v>
      </c>
      <c r="L304" s="11" t="s">
        <v>198</v>
      </c>
      <c r="M304" s="11">
        <v>20</v>
      </c>
      <c r="N304" s="11">
        <v>20</v>
      </c>
      <c r="O304" s="6" t="s">
        <v>3950</v>
      </c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</row>
    <row r="305" spans="1:16" ht="15" customHeight="1" x14ac:dyDescent="0.2">
      <c r="A305" s="7" t="s">
        <v>3906</v>
      </c>
      <c r="B305" s="7">
        <v>19586992</v>
      </c>
      <c r="C305" s="8">
        <v>1</v>
      </c>
      <c r="D305" s="8">
        <v>921083457</v>
      </c>
      <c r="E305" s="8" t="str">
        <f t="shared" ref="E305:E315" si="22">CONCATENATE(D305,22)</f>
        <v>92108345722</v>
      </c>
      <c r="F305" s="8" t="s">
        <v>2449</v>
      </c>
      <c r="G305" s="8">
        <v>1</v>
      </c>
      <c r="H305" s="8">
        <v>20250401</v>
      </c>
      <c r="I305" s="8" t="str">
        <f t="shared" si="17"/>
        <v>4/1/2025</v>
      </c>
      <c r="J305" s="8">
        <v>20150201</v>
      </c>
      <c r="K305" s="8" t="str">
        <f t="shared" si="18"/>
        <v>2/1/2015</v>
      </c>
      <c r="L305" s="8" t="s">
        <v>56</v>
      </c>
      <c r="M305" s="8">
        <v>20</v>
      </c>
      <c r="N305" s="8">
        <v>20</v>
      </c>
      <c r="O305" s="6" t="s">
        <v>3947</v>
      </c>
    </row>
    <row r="306" spans="1:16" ht="15" customHeight="1" x14ac:dyDescent="0.2">
      <c r="A306" s="7" t="s">
        <v>3906</v>
      </c>
      <c r="B306" s="7">
        <v>19586992</v>
      </c>
      <c r="C306" s="8">
        <v>1</v>
      </c>
      <c r="D306" s="8">
        <v>921143709</v>
      </c>
      <c r="E306" s="8" t="str">
        <f t="shared" si="22"/>
        <v>92114370922</v>
      </c>
      <c r="F306" s="8" t="s">
        <v>2452</v>
      </c>
      <c r="G306" s="8">
        <v>1</v>
      </c>
      <c r="H306" s="8">
        <v>20250401</v>
      </c>
      <c r="I306" s="8" t="str">
        <f t="shared" si="17"/>
        <v>4/1/2025</v>
      </c>
      <c r="J306" s="8">
        <v>20220101</v>
      </c>
      <c r="K306" s="8" t="str">
        <f t="shared" si="18"/>
        <v>1/1/2022</v>
      </c>
      <c r="L306" s="8" t="s">
        <v>56</v>
      </c>
      <c r="M306" s="8">
        <v>20</v>
      </c>
      <c r="N306" s="8">
        <v>20</v>
      </c>
      <c r="O306" s="6" t="s">
        <v>3947</v>
      </c>
    </row>
    <row r="307" spans="1:16" ht="15" customHeight="1" x14ac:dyDescent="0.2">
      <c r="A307" s="7" t="s">
        <v>3906</v>
      </c>
      <c r="B307" s="7">
        <v>19586992</v>
      </c>
      <c r="C307" s="8">
        <v>1</v>
      </c>
      <c r="D307" s="8">
        <v>921574058</v>
      </c>
      <c r="E307" s="8" t="str">
        <f t="shared" si="22"/>
        <v>92157405822</v>
      </c>
      <c r="F307" s="8" t="s">
        <v>2458</v>
      </c>
      <c r="G307" s="8">
        <v>1</v>
      </c>
      <c r="H307" s="8">
        <v>20250401</v>
      </c>
      <c r="I307" s="8" t="str">
        <f t="shared" si="17"/>
        <v>4/1/2025</v>
      </c>
      <c r="J307" s="8">
        <v>20210701</v>
      </c>
      <c r="K307" s="8" t="str">
        <f t="shared" si="18"/>
        <v>7/1/2021</v>
      </c>
      <c r="L307" s="8" t="s">
        <v>56</v>
      </c>
      <c r="M307" s="8">
        <v>20</v>
      </c>
      <c r="N307" s="8">
        <v>20</v>
      </c>
      <c r="O307" s="6" t="s">
        <v>3947</v>
      </c>
    </row>
    <row r="308" spans="1:16" ht="15" customHeight="1" x14ac:dyDescent="0.2">
      <c r="A308" s="7" t="s">
        <v>3906</v>
      </c>
      <c r="B308" s="7">
        <v>19586992</v>
      </c>
      <c r="C308" s="8">
        <v>1</v>
      </c>
      <c r="D308" s="8">
        <v>921604268</v>
      </c>
      <c r="E308" s="8" t="str">
        <f t="shared" si="22"/>
        <v>92160426822</v>
      </c>
      <c r="F308" s="8" t="s">
        <v>2460</v>
      </c>
      <c r="G308" s="8">
        <v>1</v>
      </c>
      <c r="H308" s="8">
        <v>20250401</v>
      </c>
      <c r="I308" s="8" t="str">
        <f t="shared" si="17"/>
        <v>4/1/2025</v>
      </c>
      <c r="J308" s="8">
        <v>20220201</v>
      </c>
      <c r="K308" s="8" t="str">
        <f t="shared" si="18"/>
        <v>2/1/2022</v>
      </c>
      <c r="L308" s="8" t="s">
        <v>56</v>
      </c>
      <c r="M308" s="8">
        <v>20</v>
      </c>
      <c r="N308" s="8">
        <v>20</v>
      </c>
      <c r="O308" s="6" t="s">
        <v>3947</v>
      </c>
    </row>
    <row r="309" spans="1:16" ht="15" customHeight="1" x14ac:dyDescent="0.2">
      <c r="A309" s="7" t="s">
        <v>3906</v>
      </c>
      <c r="B309" s="7">
        <v>19586992</v>
      </c>
      <c r="C309" s="8">
        <v>1</v>
      </c>
      <c r="D309" s="8">
        <v>921611263</v>
      </c>
      <c r="E309" s="8" t="str">
        <f t="shared" si="22"/>
        <v>92161126322</v>
      </c>
      <c r="F309" s="8" t="s">
        <v>2462</v>
      </c>
      <c r="G309" s="8">
        <v>1</v>
      </c>
      <c r="H309" s="8">
        <v>20250401</v>
      </c>
      <c r="I309" s="8" t="str">
        <f t="shared" si="17"/>
        <v>4/1/2025</v>
      </c>
      <c r="J309" s="8">
        <v>20220501</v>
      </c>
      <c r="K309" s="8" t="str">
        <f t="shared" si="18"/>
        <v>5/1/2022</v>
      </c>
      <c r="L309" s="8" t="s">
        <v>56</v>
      </c>
      <c r="M309" s="8">
        <v>20</v>
      </c>
      <c r="N309" s="8">
        <v>20</v>
      </c>
      <c r="O309" s="6" t="s">
        <v>3947</v>
      </c>
    </row>
    <row r="310" spans="1:16" ht="15" customHeight="1" x14ac:dyDescent="0.2">
      <c r="A310" s="7" t="s">
        <v>3906</v>
      </c>
      <c r="B310" s="7">
        <v>19586992</v>
      </c>
      <c r="C310" s="8">
        <v>1</v>
      </c>
      <c r="D310" s="8">
        <v>921650117</v>
      </c>
      <c r="E310" s="8" t="str">
        <f t="shared" si="22"/>
        <v>92165011722</v>
      </c>
      <c r="F310" s="8" t="s">
        <v>2464</v>
      </c>
      <c r="G310" s="8">
        <v>1</v>
      </c>
      <c r="H310" s="8">
        <v>20250401</v>
      </c>
      <c r="I310" s="8" t="str">
        <f t="shared" si="17"/>
        <v>4/1/2025</v>
      </c>
      <c r="J310" s="8">
        <v>20230201</v>
      </c>
      <c r="K310" s="8" t="str">
        <f t="shared" si="18"/>
        <v>2/1/2023</v>
      </c>
      <c r="L310" s="8" t="s">
        <v>56</v>
      </c>
      <c r="M310" s="8">
        <v>20</v>
      </c>
      <c r="N310" s="8">
        <v>20</v>
      </c>
      <c r="O310" s="6" t="s">
        <v>3947</v>
      </c>
    </row>
    <row r="311" spans="1:16" ht="15" customHeight="1" x14ac:dyDescent="0.2">
      <c r="A311" s="7" t="s">
        <v>3906</v>
      </c>
      <c r="B311" s="7">
        <v>19586992</v>
      </c>
      <c r="C311" s="8">
        <v>3</v>
      </c>
      <c r="D311" s="8">
        <v>921573663</v>
      </c>
      <c r="E311" s="8" t="str">
        <f t="shared" si="22"/>
        <v>92157366322</v>
      </c>
      <c r="F311" s="8" t="s">
        <v>2456</v>
      </c>
      <c r="G311" s="8">
        <v>1</v>
      </c>
      <c r="H311" s="8">
        <v>20250401</v>
      </c>
      <c r="I311" s="8" t="str">
        <f t="shared" si="17"/>
        <v>4/1/2025</v>
      </c>
      <c r="J311" s="8">
        <v>20210701</v>
      </c>
      <c r="K311" s="8" t="str">
        <f t="shared" si="18"/>
        <v>7/1/2021</v>
      </c>
      <c r="L311" s="8" t="s">
        <v>56</v>
      </c>
      <c r="M311" s="8">
        <v>20</v>
      </c>
      <c r="N311" s="8">
        <v>60</v>
      </c>
      <c r="O311" s="6" t="s">
        <v>3947</v>
      </c>
      <c r="P311" s="6" t="s">
        <v>3953</v>
      </c>
    </row>
    <row r="312" spans="1:16" ht="15" customHeight="1" x14ac:dyDescent="0.2">
      <c r="A312" s="7" t="s">
        <v>3906</v>
      </c>
      <c r="B312" s="7">
        <v>19586992</v>
      </c>
      <c r="C312" s="8">
        <v>1</v>
      </c>
      <c r="D312" s="8">
        <v>921732281</v>
      </c>
      <c r="E312" s="8" t="str">
        <f t="shared" si="22"/>
        <v>92173228122</v>
      </c>
      <c r="F312" s="8" t="s">
        <v>2472</v>
      </c>
      <c r="G312" s="8">
        <v>1</v>
      </c>
      <c r="H312" s="8">
        <v>20250401</v>
      </c>
      <c r="I312" s="8" t="str">
        <f t="shared" si="17"/>
        <v>4/1/2025</v>
      </c>
      <c r="J312" s="8">
        <v>20240801</v>
      </c>
      <c r="K312" s="8" t="str">
        <f t="shared" si="18"/>
        <v>8/1/2024</v>
      </c>
      <c r="L312" s="8" t="s">
        <v>56</v>
      </c>
      <c r="M312" s="8">
        <v>25</v>
      </c>
      <c r="N312" s="8">
        <v>25</v>
      </c>
      <c r="O312" s="6" t="s">
        <v>3947</v>
      </c>
    </row>
    <row r="313" spans="1:16" ht="15" customHeight="1" x14ac:dyDescent="0.2">
      <c r="A313" s="7" t="s">
        <v>3906</v>
      </c>
      <c r="B313" s="7">
        <v>19586992</v>
      </c>
      <c r="C313" s="8">
        <v>1</v>
      </c>
      <c r="D313" s="8">
        <v>921749845</v>
      </c>
      <c r="E313" s="8" t="str">
        <f t="shared" si="22"/>
        <v>92174984522</v>
      </c>
      <c r="F313" s="8" t="s">
        <v>2476</v>
      </c>
      <c r="G313" s="8">
        <v>1</v>
      </c>
      <c r="H313" s="8">
        <v>20250401</v>
      </c>
      <c r="I313" s="8" t="str">
        <f t="shared" si="17"/>
        <v>4/1/2025</v>
      </c>
      <c r="J313" s="8">
        <v>20250101</v>
      </c>
      <c r="K313" s="8" t="str">
        <f t="shared" si="18"/>
        <v>1/1/2025</v>
      </c>
      <c r="L313" s="8" t="s">
        <v>56</v>
      </c>
      <c r="M313" s="8">
        <v>25</v>
      </c>
      <c r="N313" s="8">
        <v>25</v>
      </c>
      <c r="O313" s="6" t="s">
        <v>3947</v>
      </c>
    </row>
    <row r="314" spans="1:16" ht="15" customHeight="1" x14ac:dyDescent="0.2">
      <c r="A314" s="7" t="s">
        <v>3906</v>
      </c>
      <c r="B314" s="7">
        <v>19586992</v>
      </c>
      <c r="C314" s="8">
        <v>1</v>
      </c>
      <c r="D314" s="8">
        <v>921752189</v>
      </c>
      <c r="E314" s="8" t="str">
        <f t="shared" si="22"/>
        <v>92175218922</v>
      </c>
      <c r="F314" s="8" t="s">
        <v>2478</v>
      </c>
      <c r="G314" s="8">
        <v>1</v>
      </c>
      <c r="H314" s="8">
        <v>20250401</v>
      </c>
      <c r="I314" s="8" t="str">
        <f t="shared" si="17"/>
        <v>4/1/2025</v>
      </c>
      <c r="J314" s="8">
        <v>20250101</v>
      </c>
      <c r="K314" s="8" t="str">
        <f t="shared" si="18"/>
        <v>1/1/2025</v>
      </c>
      <c r="L314" s="8" t="s">
        <v>56</v>
      </c>
      <c r="M314" s="8">
        <v>25</v>
      </c>
      <c r="N314" s="8">
        <v>25</v>
      </c>
      <c r="O314" s="6" t="s">
        <v>3947</v>
      </c>
    </row>
    <row r="315" spans="1:16" ht="15" customHeight="1" x14ac:dyDescent="0.2">
      <c r="A315" s="7" t="s">
        <v>3906</v>
      </c>
      <c r="B315" s="7">
        <v>19586992</v>
      </c>
      <c r="C315" s="8">
        <v>1</v>
      </c>
      <c r="D315" s="8">
        <v>921761599</v>
      </c>
      <c r="E315" s="8" t="str">
        <f t="shared" si="22"/>
        <v>92176159922</v>
      </c>
      <c r="F315" s="8" t="s">
        <v>2480</v>
      </c>
      <c r="G315" s="8">
        <v>1</v>
      </c>
      <c r="H315" s="8">
        <v>20250401</v>
      </c>
      <c r="I315" s="8" t="str">
        <f t="shared" si="17"/>
        <v>4/1/2025</v>
      </c>
      <c r="J315" s="8">
        <v>20250101</v>
      </c>
      <c r="K315" s="8" t="str">
        <f t="shared" si="18"/>
        <v>1/1/2025</v>
      </c>
      <c r="L315" s="8" t="s">
        <v>56</v>
      </c>
      <c r="M315" s="8">
        <v>25</v>
      </c>
      <c r="N315" s="8">
        <v>25</v>
      </c>
      <c r="O315" s="6" t="s">
        <v>3947</v>
      </c>
    </row>
    <row r="316" spans="1:16" ht="15" customHeight="1" x14ac:dyDescent="0.2">
      <c r="A316" s="7" t="s">
        <v>3906</v>
      </c>
      <c r="B316" s="7">
        <v>19586992</v>
      </c>
      <c r="C316" s="8">
        <v>1</v>
      </c>
      <c r="D316" s="8">
        <v>921535672</v>
      </c>
      <c r="E316" s="8" t="str">
        <f>CONCATENATE(D316,33)</f>
        <v>92153567233</v>
      </c>
      <c r="F316" s="8" t="s">
        <v>2454</v>
      </c>
      <c r="G316" s="8">
        <v>1</v>
      </c>
      <c r="H316" s="8">
        <v>20250401</v>
      </c>
      <c r="I316" s="8" t="str">
        <f t="shared" si="17"/>
        <v>4/1/2025</v>
      </c>
      <c r="J316" s="8">
        <v>20201201</v>
      </c>
      <c r="K316" s="8" t="str">
        <f t="shared" si="18"/>
        <v>12/1/2020</v>
      </c>
      <c r="L316" s="8" t="s">
        <v>198</v>
      </c>
      <c r="M316" s="8">
        <v>15</v>
      </c>
      <c r="N316" s="8">
        <v>15</v>
      </c>
      <c r="O316" s="6" t="s">
        <v>3950</v>
      </c>
    </row>
    <row r="317" spans="1:16" ht="15" customHeight="1" x14ac:dyDescent="0.2">
      <c r="A317" s="7" t="s">
        <v>3906</v>
      </c>
      <c r="B317" s="7">
        <v>19586992</v>
      </c>
      <c r="C317" s="8">
        <v>1</v>
      </c>
      <c r="D317" s="8">
        <v>921535672</v>
      </c>
      <c r="E317" s="8" t="str">
        <f>CONCATENATE(D317,33)</f>
        <v>92153567233</v>
      </c>
      <c r="F317" s="8" t="s">
        <v>2454</v>
      </c>
      <c r="G317" s="8">
        <v>1</v>
      </c>
      <c r="H317" s="8">
        <v>20250301</v>
      </c>
      <c r="I317" s="8" t="str">
        <f t="shared" si="17"/>
        <v>3/1/2025</v>
      </c>
      <c r="J317" s="8">
        <v>20201201</v>
      </c>
      <c r="K317" s="8" t="str">
        <f t="shared" si="18"/>
        <v>12/1/2020</v>
      </c>
      <c r="L317" s="8" t="s">
        <v>198</v>
      </c>
      <c r="M317" s="8">
        <v>15</v>
      </c>
      <c r="N317" s="8">
        <v>15</v>
      </c>
      <c r="O317" s="6" t="s">
        <v>3950</v>
      </c>
    </row>
    <row r="318" spans="1:16" ht="15" customHeight="1" x14ac:dyDescent="0.2">
      <c r="A318" s="7" t="s">
        <v>3906</v>
      </c>
      <c r="B318" s="7">
        <v>19586992</v>
      </c>
      <c r="C318" s="8">
        <v>1</v>
      </c>
      <c r="D318" s="8">
        <v>921723906</v>
      </c>
      <c r="E318" s="8" t="str">
        <f>CONCATENATE(D318,33)</f>
        <v>92172390633</v>
      </c>
      <c r="F318" s="8" t="s">
        <v>2468</v>
      </c>
      <c r="G318" s="8">
        <v>1</v>
      </c>
      <c r="H318" s="8">
        <v>20250401</v>
      </c>
      <c r="I318" s="8" t="str">
        <f t="shared" si="17"/>
        <v>4/1/2025</v>
      </c>
      <c r="J318" s="8">
        <v>20240601</v>
      </c>
      <c r="K318" s="8" t="str">
        <f t="shared" si="18"/>
        <v>6/1/2024</v>
      </c>
      <c r="L318" s="8" t="s">
        <v>198</v>
      </c>
      <c r="M318" s="8">
        <v>20</v>
      </c>
      <c r="N318" s="8">
        <v>20</v>
      </c>
      <c r="O318" s="6" t="s">
        <v>3950</v>
      </c>
    </row>
    <row r="319" spans="1:16" ht="15" customHeight="1" x14ac:dyDescent="0.2">
      <c r="A319" s="7" t="s">
        <v>3906</v>
      </c>
      <c r="B319" s="7">
        <v>19586992</v>
      </c>
      <c r="C319" s="8">
        <v>1</v>
      </c>
      <c r="D319" s="8">
        <v>921731241</v>
      </c>
      <c r="E319" s="8" t="str">
        <f>CONCATENATE(D319,33)</f>
        <v>92173124133</v>
      </c>
      <c r="F319" s="8" t="s">
        <v>2470</v>
      </c>
      <c r="G319" s="8">
        <v>1</v>
      </c>
      <c r="H319" s="8">
        <v>20250401</v>
      </c>
      <c r="I319" s="8" t="str">
        <f t="shared" si="17"/>
        <v>4/1/2025</v>
      </c>
      <c r="J319" s="8">
        <v>20240801</v>
      </c>
      <c r="K319" s="8" t="str">
        <f t="shared" si="18"/>
        <v>8/1/2024</v>
      </c>
      <c r="L319" s="8" t="s">
        <v>198</v>
      </c>
      <c r="M319" s="8">
        <v>20</v>
      </c>
      <c r="N319" s="8">
        <v>20</v>
      </c>
      <c r="O319" s="6" t="s">
        <v>3950</v>
      </c>
    </row>
    <row r="320" spans="1:16" ht="15" customHeight="1" x14ac:dyDescent="0.3">
      <c r="A320" s="7" t="s">
        <v>3906</v>
      </c>
      <c r="B320" s="7">
        <v>19586992</v>
      </c>
      <c r="C320" s="8">
        <v>1</v>
      </c>
      <c r="D320" s="8">
        <v>921720485</v>
      </c>
      <c r="E320" s="8" t="str">
        <f>CONCATENATE(D320,44)</f>
        <v>92172048544</v>
      </c>
      <c r="F320" s="8" t="s">
        <v>2466</v>
      </c>
      <c r="G320" s="8">
        <v>1</v>
      </c>
      <c r="H320" s="8">
        <v>20250401</v>
      </c>
      <c r="I320" s="8" t="str">
        <f t="shared" si="17"/>
        <v>4/1/2025</v>
      </c>
      <c r="J320" s="8">
        <v>20240601</v>
      </c>
      <c r="K320" s="8" t="str">
        <f t="shared" si="18"/>
        <v>6/1/2024</v>
      </c>
      <c r="L320" s="8" t="s">
        <v>65</v>
      </c>
      <c r="M320" s="8">
        <v>30</v>
      </c>
      <c r="N320" s="8">
        <v>30</v>
      </c>
      <c r="O320" s="14" t="s">
        <v>3948</v>
      </c>
    </row>
    <row r="321" spans="1:16" ht="15" customHeight="1" x14ac:dyDescent="0.3">
      <c r="A321" s="7" t="s">
        <v>3906</v>
      </c>
      <c r="B321" s="7">
        <v>19586992</v>
      </c>
      <c r="C321" s="8">
        <v>2</v>
      </c>
      <c r="D321" s="8">
        <v>921735463</v>
      </c>
      <c r="E321" s="8" t="str">
        <f>CONCATENATE(D321,44)</f>
        <v>92173546344</v>
      </c>
      <c r="F321" s="8" t="s">
        <v>2474</v>
      </c>
      <c r="G321" s="8">
        <v>1</v>
      </c>
      <c r="H321" s="8">
        <v>20250401</v>
      </c>
      <c r="I321" s="8" t="str">
        <f t="shared" si="17"/>
        <v>4/1/2025</v>
      </c>
      <c r="J321" s="8">
        <v>20240901</v>
      </c>
      <c r="K321" s="8" t="str">
        <f t="shared" si="18"/>
        <v>9/1/2024</v>
      </c>
      <c r="L321" s="8" t="s">
        <v>65</v>
      </c>
      <c r="M321" s="8">
        <v>30</v>
      </c>
      <c r="N321" s="8">
        <v>60</v>
      </c>
      <c r="O321" s="14" t="s">
        <v>3948</v>
      </c>
      <c r="P321" s="6" t="s">
        <v>3952</v>
      </c>
    </row>
    <row r="322" spans="1:16" ht="15" customHeight="1" x14ac:dyDescent="0.2">
      <c r="A322" s="7" t="s">
        <v>3916</v>
      </c>
      <c r="B322" s="7">
        <v>21104854</v>
      </c>
      <c r="C322" s="8">
        <v>1</v>
      </c>
      <c r="D322" s="8">
        <v>921547998</v>
      </c>
      <c r="E322" s="8" t="str">
        <f t="shared" ref="E322:E327" si="23">CONCATENATE(D322,22)</f>
        <v>92154799822</v>
      </c>
      <c r="F322" s="8" t="s">
        <v>3080</v>
      </c>
      <c r="G322" s="8">
        <v>1</v>
      </c>
      <c r="H322" s="8">
        <v>20250401</v>
      </c>
      <c r="I322" s="8" t="str">
        <f t="shared" si="17"/>
        <v>4/1/2025</v>
      </c>
      <c r="J322" s="8">
        <v>20210101</v>
      </c>
      <c r="K322" s="8" t="str">
        <f t="shared" si="18"/>
        <v>1/1/2021</v>
      </c>
      <c r="L322" s="8" t="s">
        <v>56</v>
      </c>
      <c r="M322" s="8">
        <v>20</v>
      </c>
      <c r="N322" s="8">
        <v>20</v>
      </c>
      <c r="O322" s="6" t="s">
        <v>3947</v>
      </c>
    </row>
    <row r="323" spans="1:16" ht="15" customHeight="1" x14ac:dyDescent="0.2">
      <c r="A323" s="7" t="s">
        <v>3916</v>
      </c>
      <c r="B323" s="7">
        <v>21104854</v>
      </c>
      <c r="C323" s="8">
        <v>1</v>
      </c>
      <c r="D323" s="8">
        <v>920796228</v>
      </c>
      <c r="E323" s="8" t="str">
        <f t="shared" si="23"/>
        <v>92079622822</v>
      </c>
      <c r="F323" s="8" t="s">
        <v>3072</v>
      </c>
      <c r="G323" s="8">
        <v>1</v>
      </c>
      <c r="H323" s="8">
        <v>20250401</v>
      </c>
      <c r="I323" s="8" t="str">
        <f t="shared" ref="I323:I386" si="24">TEXT(DATE(LEFT(H323,4), MID(H323,5,2), RIGHT(H323,2)), "M/d/yyyy")</f>
        <v>4/1/2025</v>
      </c>
      <c r="J323" s="8">
        <v>20250101</v>
      </c>
      <c r="K323" s="8" t="str">
        <f t="shared" ref="K323:K386" si="25">TEXT(DATE(LEFT(J323,4), MID(J323,5,2), RIGHT(J323,2)), "M/d/yyyy")</f>
        <v>1/1/2025</v>
      </c>
      <c r="L323" s="8" t="s">
        <v>56</v>
      </c>
      <c r="M323" s="8">
        <v>25</v>
      </c>
      <c r="N323" s="8">
        <v>25</v>
      </c>
      <c r="O323" s="6" t="s">
        <v>3947</v>
      </c>
    </row>
    <row r="324" spans="1:16" ht="15" customHeight="1" x14ac:dyDescent="0.2">
      <c r="A324" s="7" t="s">
        <v>3916</v>
      </c>
      <c r="B324" s="7">
        <v>21104854</v>
      </c>
      <c r="C324" s="8">
        <v>1</v>
      </c>
      <c r="D324" s="8">
        <v>921091850</v>
      </c>
      <c r="E324" s="8" t="str">
        <f t="shared" si="23"/>
        <v>92109185022</v>
      </c>
      <c r="F324" s="8" t="s">
        <v>3076</v>
      </c>
      <c r="G324" s="8">
        <v>1</v>
      </c>
      <c r="H324" s="8">
        <v>20250401</v>
      </c>
      <c r="I324" s="8" t="str">
        <f t="shared" si="24"/>
        <v>4/1/2025</v>
      </c>
      <c r="J324" s="8">
        <v>20250201</v>
      </c>
      <c r="K324" s="8" t="str">
        <f t="shared" si="25"/>
        <v>2/1/2025</v>
      </c>
      <c r="L324" s="8" t="s">
        <v>56</v>
      </c>
      <c r="M324" s="8">
        <v>25</v>
      </c>
      <c r="N324" s="8">
        <v>25</v>
      </c>
      <c r="O324" s="6" t="s">
        <v>3947</v>
      </c>
    </row>
    <row r="325" spans="1:16" ht="15" customHeight="1" x14ac:dyDescent="0.2">
      <c r="A325" s="7" t="s">
        <v>3916</v>
      </c>
      <c r="B325" s="7">
        <v>21104854</v>
      </c>
      <c r="C325" s="8">
        <v>1</v>
      </c>
      <c r="D325" s="8">
        <v>921091850</v>
      </c>
      <c r="E325" s="8" t="str">
        <f t="shared" si="23"/>
        <v>92109185022</v>
      </c>
      <c r="F325" s="8" t="s">
        <v>3076</v>
      </c>
      <c r="G325" s="8">
        <v>1</v>
      </c>
      <c r="H325" s="8">
        <v>20250301</v>
      </c>
      <c r="I325" s="8" t="str">
        <f t="shared" si="24"/>
        <v>3/1/2025</v>
      </c>
      <c r="J325" s="8">
        <v>20250201</v>
      </c>
      <c r="K325" s="8" t="str">
        <f t="shared" si="25"/>
        <v>2/1/2025</v>
      </c>
      <c r="L325" s="8" t="s">
        <v>56</v>
      </c>
      <c r="M325" s="8">
        <v>25</v>
      </c>
      <c r="N325" s="8">
        <v>25</v>
      </c>
      <c r="O325" s="6" t="s">
        <v>3947</v>
      </c>
    </row>
    <row r="326" spans="1:16" ht="15" customHeight="1" x14ac:dyDescent="0.2">
      <c r="A326" s="7" t="s">
        <v>3916</v>
      </c>
      <c r="B326" s="7">
        <v>21104854</v>
      </c>
      <c r="C326" s="8">
        <v>1</v>
      </c>
      <c r="D326" s="8">
        <v>921773349</v>
      </c>
      <c r="E326" s="8" t="str">
        <f t="shared" si="23"/>
        <v>92177334922</v>
      </c>
      <c r="F326" s="8" t="s">
        <v>3091</v>
      </c>
      <c r="G326" s="8">
        <v>1</v>
      </c>
      <c r="H326" s="8">
        <v>20250401</v>
      </c>
      <c r="I326" s="8" t="str">
        <f t="shared" si="24"/>
        <v>4/1/2025</v>
      </c>
      <c r="J326" s="8">
        <v>20250201</v>
      </c>
      <c r="K326" s="8" t="str">
        <f t="shared" si="25"/>
        <v>2/1/2025</v>
      </c>
      <c r="L326" s="8" t="s">
        <v>56</v>
      </c>
      <c r="M326" s="8">
        <v>25</v>
      </c>
      <c r="N326" s="8">
        <v>25</v>
      </c>
      <c r="O326" s="6" t="s">
        <v>3947</v>
      </c>
    </row>
    <row r="327" spans="1:16" ht="15" customHeight="1" x14ac:dyDescent="0.2">
      <c r="A327" s="7" t="s">
        <v>3916</v>
      </c>
      <c r="B327" s="7">
        <v>21104854</v>
      </c>
      <c r="C327" s="8">
        <v>1</v>
      </c>
      <c r="D327" s="8">
        <v>921778267</v>
      </c>
      <c r="E327" s="8" t="str">
        <f t="shared" si="23"/>
        <v>92177826722</v>
      </c>
      <c r="F327" s="8" t="s">
        <v>3095</v>
      </c>
      <c r="G327" s="8">
        <v>1</v>
      </c>
      <c r="H327" s="8">
        <v>20250401</v>
      </c>
      <c r="I327" s="8" t="str">
        <f t="shared" si="24"/>
        <v>4/1/2025</v>
      </c>
      <c r="J327" s="8">
        <v>20250301</v>
      </c>
      <c r="K327" s="8" t="str">
        <f t="shared" si="25"/>
        <v>3/1/2025</v>
      </c>
      <c r="L327" s="8" t="s">
        <v>56</v>
      </c>
      <c r="M327" s="8">
        <v>25</v>
      </c>
      <c r="N327" s="8">
        <v>25</v>
      </c>
      <c r="O327" s="6" t="s">
        <v>3947</v>
      </c>
    </row>
    <row r="328" spans="1:16" ht="15" customHeight="1" x14ac:dyDescent="0.2">
      <c r="A328" s="7" t="s">
        <v>3916</v>
      </c>
      <c r="B328" s="7">
        <v>21104854</v>
      </c>
      <c r="C328" s="8">
        <v>1</v>
      </c>
      <c r="D328" s="8">
        <v>920825168</v>
      </c>
      <c r="E328" s="8" t="str">
        <f>CONCATENATE(D328,33)</f>
        <v>92082516833</v>
      </c>
      <c r="F328" s="8" t="s">
        <v>3074</v>
      </c>
      <c r="G328" s="8">
        <v>1</v>
      </c>
      <c r="H328" s="8">
        <v>20250401</v>
      </c>
      <c r="I328" s="8" t="str">
        <f t="shared" si="24"/>
        <v>4/1/2025</v>
      </c>
      <c r="J328" s="8">
        <v>20250101</v>
      </c>
      <c r="K328" s="8" t="str">
        <f t="shared" si="25"/>
        <v>1/1/2025</v>
      </c>
      <c r="L328" s="8" t="s">
        <v>198</v>
      </c>
      <c r="M328" s="8">
        <v>20</v>
      </c>
      <c r="N328" s="8">
        <v>20</v>
      </c>
      <c r="O328" s="6" t="s">
        <v>3950</v>
      </c>
    </row>
    <row r="329" spans="1:16" ht="15" customHeight="1" x14ac:dyDescent="0.2">
      <c r="A329" s="7" t="s">
        <v>3916</v>
      </c>
      <c r="B329" s="7">
        <v>21104854</v>
      </c>
      <c r="C329" s="8">
        <v>1</v>
      </c>
      <c r="D329" s="8">
        <v>920825168</v>
      </c>
      <c r="E329" s="8" t="str">
        <f>CONCATENATE(D329,33)</f>
        <v>92082516833</v>
      </c>
      <c r="F329" s="8" t="s">
        <v>3074</v>
      </c>
      <c r="G329" s="8">
        <v>1</v>
      </c>
      <c r="H329" s="8">
        <v>20250301</v>
      </c>
      <c r="I329" s="8" t="str">
        <f t="shared" si="24"/>
        <v>3/1/2025</v>
      </c>
      <c r="J329" s="8">
        <v>20250101</v>
      </c>
      <c r="K329" s="8" t="str">
        <f t="shared" si="25"/>
        <v>1/1/2025</v>
      </c>
      <c r="L329" s="8" t="s">
        <v>198</v>
      </c>
      <c r="M329" s="8">
        <v>20</v>
      </c>
      <c r="N329" s="8">
        <v>20</v>
      </c>
      <c r="O329" s="6" t="s">
        <v>3950</v>
      </c>
    </row>
    <row r="330" spans="1:16" ht="15" customHeight="1" x14ac:dyDescent="0.2">
      <c r="A330" s="7" t="s">
        <v>3916</v>
      </c>
      <c r="B330" s="7">
        <v>21104854</v>
      </c>
      <c r="C330" s="8">
        <v>1</v>
      </c>
      <c r="D330" s="8">
        <v>921759477</v>
      </c>
      <c r="E330" s="8" t="str">
        <f>CONCATENATE(D330,33)</f>
        <v>92175947733</v>
      </c>
      <c r="F330" s="8" t="s">
        <v>3089</v>
      </c>
      <c r="G330" s="8">
        <v>1</v>
      </c>
      <c r="H330" s="8">
        <v>20250301</v>
      </c>
      <c r="I330" s="8" t="str">
        <f t="shared" si="24"/>
        <v>3/1/2025</v>
      </c>
      <c r="J330" s="8">
        <v>20250101</v>
      </c>
      <c r="K330" s="8" t="str">
        <f t="shared" si="25"/>
        <v>1/1/2025</v>
      </c>
      <c r="L330" s="8" t="s">
        <v>198</v>
      </c>
      <c r="M330" s="8">
        <v>20</v>
      </c>
      <c r="N330" s="8">
        <v>20</v>
      </c>
      <c r="O330" s="6" t="s">
        <v>3950</v>
      </c>
    </row>
    <row r="331" spans="1:16" ht="15" customHeight="1" x14ac:dyDescent="0.2">
      <c r="A331" s="7" t="s">
        <v>3916</v>
      </c>
      <c r="B331" s="7">
        <v>21104854</v>
      </c>
      <c r="C331" s="8">
        <v>1</v>
      </c>
      <c r="D331" s="8">
        <v>921773888</v>
      </c>
      <c r="E331" s="8" t="str">
        <f>CONCATENATE(D331,33)</f>
        <v>92177388833</v>
      </c>
      <c r="F331" s="8" t="s">
        <v>3093</v>
      </c>
      <c r="G331" s="8">
        <v>1</v>
      </c>
      <c r="H331" s="8">
        <v>20250401</v>
      </c>
      <c r="I331" s="8" t="str">
        <f t="shared" si="24"/>
        <v>4/1/2025</v>
      </c>
      <c r="J331" s="8">
        <v>20250201</v>
      </c>
      <c r="K331" s="8" t="str">
        <f t="shared" si="25"/>
        <v>2/1/2025</v>
      </c>
      <c r="L331" s="8" t="s">
        <v>198</v>
      </c>
      <c r="M331" s="8">
        <v>20</v>
      </c>
      <c r="N331" s="8">
        <v>20</v>
      </c>
      <c r="O331" s="6" t="s">
        <v>3950</v>
      </c>
    </row>
    <row r="332" spans="1:16" ht="15" customHeight="1" x14ac:dyDescent="0.3">
      <c r="A332" s="7" t="s">
        <v>3916</v>
      </c>
      <c r="B332" s="7">
        <v>21104854</v>
      </c>
      <c r="C332" s="8">
        <v>1</v>
      </c>
      <c r="D332" s="8">
        <v>921478193</v>
      </c>
      <c r="E332" s="8" t="str">
        <f t="shared" ref="E332:E338" si="26">CONCATENATE(D332,44)</f>
        <v>92147819344</v>
      </c>
      <c r="F332" s="8" t="s">
        <v>3078</v>
      </c>
      <c r="G332" s="8">
        <v>1</v>
      </c>
      <c r="H332" s="8">
        <v>20250401</v>
      </c>
      <c r="I332" s="8" t="str">
        <f t="shared" si="24"/>
        <v>4/1/2025</v>
      </c>
      <c r="J332" s="8">
        <v>20250101</v>
      </c>
      <c r="K332" s="8" t="str">
        <f t="shared" si="25"/>
        <v>1/1/2025</v>
      </c>
      <c r="L332" s="8" t="s">
        <v>65</v>
      </c>
      <c r="M332" s="8">
        <v>30</v>
      </c>
      <c r="N332" s="8">
        <v>30</v>
      </c>
      <c r="O332" s="14" t="s">
        <v>3948</v>
      </c>
    </row>
    <row r="333" spans="1:16" ht="15" customHeight="1" x14ac:dyDescent="0.3">
      <c r="A333" s="7" t="s">
        <v>3916</v>
      </c>
      <c r="B333" s="7">
        <v>21104854</v>
      </c>
      <c r="C333" s="8">
        <v>1</v>
      </c>
      <c r="D333" s="8">
        <v>921478193</v>
      </c>
      <c r="E333" s="8" t="str">
        <f t="shared" si="26"/>
        <v>92147819344</v>
      </c>
      <c r="F333" s="8" t="s">
        <v>3078</v>
      </c>
      <c r="G333" s="8">
        <v>1</v>
      </c>
      <c r="H333" s="8">
        <v>20250301</v>
      </c>
      <c r="I333" s="8" t="str">
        <f t="shared" si="24"/>
        <v>3/1/2025</v>
      </c>
      <c r="J333" s="8">
        <v>20250101</v>
      </c>
      <c r="K333" s="8" t="str">
        <f t="shared" si="25"/>
        <v>1/1/2025</v>
      </c>
      <c r="L333" s="8" t="s">
        <v>65</v>
      </c>
      <c r="M333" s="8">
        <v>30</v>
      </c>
      <c r="N333" s="8">
        <v>30</v>
      </c>
      <c r="O333" s="14" t="s">
        <v>3948</v>
      </c>
    </row>
    <row r="334" spans="1:16" ht="15" customHeight="1" x14ac:dyDescent="0.3">
      <c r="A334" s="7" t="s">
        <v>3916</v>
      </c>
      <c r="B334" s="7">
        <v>21104854</v>
      </c>
      <c r="C334" s="8">
        <v>1</v>
      </c>
      <c r="D334" s="8">
        <v>921739499</v>
      </c>
      <c r="E334" s="8" t="str">
        <f t="shared" si="26"/>
        <v>92173949944</v>
      </c>
      <c r="F334" s="8" t="s">
        <v>3085</v>
      </c>
      <c r="G334" s="8">
        <v>1</v>
      </c>
      <c r="H334" s="8">
        <v>20250401</v>
      </c>
      <c r="I334" s="8" t="str">
        <f t="shared" si="24"/>
        <v>4/1/2025</v>
      </c>
      <c r="J334" s="8">
        <v>20241001</v>
      </c>
      <c r="K334" s="8" t="str">
        <f t="shared" si="25"/>
        <v>10/1/2024</v>
      </c>
      <c r="L334" s="8" t="s">
        <v>65</v>
      </c>
      <c r="M334" s="8">
        <v>30</v>
      </c>
      <c r="N334" s="8">
        <v>30</v>
      </c>
      <c r="O334" s="14" t="s">
        <v>3948</v>
      </c>
    </row>
    <row r="335" spans="1:16" ht="15" customHeight="1" x14ac:dyDescent="0.3">
      <c r="A335" s="7" t="s">
        <v>3916</v>
      </c>
      <c r="B335" s="7">
        <v>21104854</v>
      </c>
      <c r="C335" s="8">
        <v>1</v>
      </c>
      <c r="D335" s="8">
        <v>921740792</v>
      </c>
      <c r="E335" s="8" t="str">
        <f t="shared" si="26"/>
        <v>92174079244</v>
      </c>
      <c r="F335" s="8" t="s">
        <v>3087</v>
      </c>
      <c r="G335" s="8">
        <v>1</v>
      </c>
      <c r="H335" s="8">
        <v>20250401</v>
      </c>
      <c r="I335" s="8" t="str">
        <f t="shared" si="24"/>
        <v>4/1/2025</v>
      </c>
      <c r="J335" s="8">
        <v>20241001</v>
      </c>
      <c r="K335" s="8" t="str">
        <f t="shared" si="25"/>
        <v>10/1/2024</v>
      </c>
      <c r="L335" s="8" t="s">
        <v>65</v>
      </c>
      <c r="M335" s="8">
        <v>30</v>
      </c>
      <c r="N335" s="8">
        <v>30</v>
      </c>
      <c r="O335" s="14" t="s">
        <v>3948</v>
      </c>
    </row>
    <row r="336" spans="1:16" ht="15" customHeight="1" x14ac:dyDescent="0.3">
      <c r="A336" s="7" t="s">
        <v>3916</v>
      </c>
      <c r="B336" s="7">
        <v>21104854</v>
      </c>
      <c r="C336" s="8">
        <v>1</v>
      </c>
      <c r="D336" s="8">
        <v>921740792</v>
      </c>
      <c r="E336" s="8" t="str">
        <f t="shared" si="26"/>
        <v>92174079244</v>
      </c>
      <c r="F336" s="8" t="s">
        <v>3087</v>
      </c>
      <c r="G336" s="8">
        <v>1</v>
      </c>
      <c r="H336" s="8">
        <v>20250301</v>
      </c>
      <c r="I336" s="8" t="str">
        <f t="shared" si="24"/>
        <v>3/1/2025</v>
      </c>
      <c r="J336" s="8">
        <v>20241001</v>
      </c>
      <c r="K336" s="8" t="str">
        <f t="shared" si="25"/>
        <v>10/1/2024</v>
      </c>
      <c r="L336" s="8" t="s">
        <v>65</v>
      </c>
      <c r="M336" s="8">
        <v>30</v>
      </c>
      <c r="N336" s="8">
        <v>30</v>
      </c>
      <c r="O336" s="14" t="s">
        <v>3948</v>
      </c>
    </row>
    <row r="337" spans="1:16" ht="15" customHeight="1" x14ac:dyDescent="0.3">
      <c r="A337" s="7" t="s">
        <v>3916</v>
      </c>
      <c r="B337" s="7">
        <v>21104854</v>
      </c>
      <c r="C337" s="8">
        <v>1</v>
      </c>
      <c r="D337" s="8">
        <v>921740792</v>
      </c>
      <c r="E337" s="8" t="str">
        <f t="shared" si="26"/>
        <v>92174079244</v>
      </c>
      <c r="F337" s="8" t="s">
        <v>3087</v>
      </c>
      <c r="G337" s="8">
        <v>1</v>
      </c>
      <c r="H337" s="8">
        <v>20250201</v>
      </c>
      <c r="I337" s="8" t="str">
        <f t="shared" si="24"/>
        <v>2/1/2025</v>
      </c>
      <c r="J337" s="8">
        <v>20241001</v>
      </c>
      <c r="K337" s="8" t="str">
        <f t="shared" si="25"/>
        <v>10/1/2024</v>
      </c>
      <c r="L337" s="8" t="s">
        <v>65</v>
      </c>
      <c r="M337" s="8">
        <v>30</v>
      </c>
      <c r="N337" s="8">
        <v>30</v>
      </c>
      <c r="O337" s="14" t="s">
        <v>3948</v>
      </c>
    </row>
    <row r="338" spans="1:16" ht="15" customHeight="1" x14ac:dyDescent="0.3">
      <c r="A338" s="7" t="s">
        <v>3916</v>
      </c>
      <c r="B338" s="7">
        <v>21104854</v>
      </c>
      <c r="C338" s="8">
        <v>2</v>
      </c>
      <c r="D338" s="8">
        <v>921780125</v>
      </c>
      <c r="E338" s="8" t="str">
        <f t="shared" si="26"/>
        <v>92178012544</v>
      </c>
      <c r="F338" s="8" t="s">
        <v>3097</v>
      </c>
      <c r="G338" s="8">
        <v>1</v>
      </c>
      <c r="H338" s="8">
        <v>20250401</v>
      </c>
      <c r="I338" s="8" t="str">
        <f t="shared" si="24"/>
        <v>4/1/2025</v>
      </c>
      <c r="J338" s="8">
        <v>20250301</v>
      </c>
      <c r="K338" s="8" t="str">
        <f t="shared" si="25"/>
        <v>3/1/2025</v>
      </c>
      <c r="L338" s="8" t="s">
        <v>65</v>
      </c>
      <c r="M338" s="8">
        <v>30</v>
      </c>
      <c r="N338" s="8">
        <v>60</v>
      </c>
      <c r="O338" s="14" t="s">
        <v>3948</v>
      </c>
      <c r="P338" s="6" t="s">
        <v>3952</v>
      </c>
    </row>
    <row r="339" spans="1:16" ht="15" customHeight="1" x14ac:dyDescent="0.2">
      <c r="A339" s="7" t="s">
        <v>3916</v>
      </c>
      <c r="B339" s="7">
        <v>21104854</v>
      </c>
      <c r="C339" s="8">
        <v>1</v>
      </c>
      <c r="D339" s="8">
        <v>921663457</v>
      </c>
      <c r="E339" s="8" t="str">
        <f>CONCATENATE(D339,55)</f>
        <v>92166345755</v>
      </c>
      <c r="F339" s="8" t="s">
        <v>3082</v>
      </c>
      <c r="G339" s="8">
        <v>1</v>
      </c>
      <c r="H339" s="8">
        <v>20250401</v>
      </c>
      <c r="I339" s="8" t="str">
        <f t="shared" si="24"/>
        <v>4/1/2025</v>
      </c>
      <c r="J339" s="8">
        <v>20230701</v>
      </c>
      <c r="K339" s="8" t="str">
        <f t="shared" si="25"/>
        <v>7/1/2023</v>
      </c>
      <c r="L339" s="8" t="s">
        <v>138</v>
      </c>
      <c r="M339" s="8">
        <v>20</v>
      </c>
      <c r="N339" s="8">
        <v>20</v>
      </c>
      <c r="O339" s="6" t="s">
        <v>3946</v>
      </c>
    </row>
    <row r="340" spans="1:16" ht="15" customHeight="1" x14ac:dyDescent="0.2">
      <c r="A340" s="7" t="s">
        <v>3916</v>
      </c>
      <c r="B340" s="7">
        <v>21104854</v>
      </c>
      <c r="D340" s="8">
        <v>921663457</v>
      </c>
      <c r="E340" s="8" t="str">
        <f>CONCATENATE(1,D340)</f>
        <v>1921663457</v>
      </c>
      <c r="F340" s="8" t="s">
        <v>3082</v>
      </c>
      <c r="G340" s="8">
        <v>18.04</v>
      </c>
      <c r="H340" s="8">
        <v>20250401</v>
      </c>
      <c r="I340" s="8" t="str">
        <f t="shared" si="24"/>
        <v>4/1/2025</v>
      </c>
      <c r="J340" s="8">
        <v>20250101</v>
      </c>
      <c r="K340" s="8" t="str">
        <f t="shared" si="25"/>
        <v>1/1/2025</v>
      </c>
      <c r="L340" s="8" t="s">
        <v>116</v>
      </c>
      <c r="M340" s="8">
        <v>0.06</v>
      </c>
      <c r="N340" s="8">
        <v>1.08</v>
      </c>
      <c r="O340" s="6" t="s">
        <v>3938</v>
      </c>
    </row>
    <row r="341" spans="1:16" ht="15" customHeight="1" x14ac:dyDescent="0.2">
      <c r="A341" s="7" t="s">
        <v>3916</v>
      </c>
      <c r="B341" s="7">
        <v>21104854</v>
      </c>
      <c r="D341" s="8">
        <v>957199978</v>
      </c>
      <c r="E341" s="8" t="str">
        <f>CONCATENATE(D341,7)</f>
        <v>9571999787</v>
      </c>
      <c r="F341" s="8" t="s">
        <v>3099</v>
      </c>
      <c r="G341" s="8">
        <v>189.49</v>
      </c>
      <c r="H341" s="8">
        <v>20250301</v>
      </c>
      <c r="I341" s="8" t="str">
        <f t="shared" si="24"/>
        <v>3/1/2025</v>
      </c>
      <c r="J341" s="8">
        <v>20250101</v>
      </c>
      <c r="K341" s="8" t="str">
        <f t="shared" si="25"/>
        <v>1/1/2025</v>
      </c>
      <c r="L341" s="8" t="s">
        <v>398</v>
      </c>
      <c r="M341" s="8">
        <v>0.1</v>
      </c>
      <c r="N341" s="8">
        <v>18.95</v>
      </c>
      <c r="O341" s="6" t="s">
        <v>3942</v>
      </c>
    </row>
    <row r="342" spans="1:16" ht="15" customHeight="1" x14ac:dyDescent="0.2">
      <c r="A342" s="7" t="s">
        <v>3918</v>
      </c>
      <c r="B342" s="7">
        <v>20003537</v>
      </c>
      <c r="C342" s="8">
        <v>1</v>
      </c>
      <c r="D342" s="8">
        <v>890193468</v>
      </c>
      <c r="E342" s="8" t="str">
        <f t="shared" ref="E342:E347" si="27">CONCATENATE(D342,22)</f>
        <v>89019346822</v>
      </c>
      <c r="F342" s="8" t="s">
        <v>3116</v>
      </c>
      <c r="G342" s="8">
        <v>1</v>
      </c>
      <c r="H342" s="8">
        <v>20250401</v>
      </c>
      <c r="I342" s="8" t="str">
        <f t="shared" si="24"/>
        <v>4/1/2025</v>
      </c>
      <c r="J342" s="8">
        <v>20230101</v>
      </c>
      <c r="K342" s="8" t="str">
        <f t="shared" si="25"/>
        <v>1/1/2023</v>
      </c>
      <c r="L342" s="8" t="s">
        <v>56</v>
      </c>
      <c r="M342" s="8">
        <v>20</v>
      </c>
      <c r="N342" s="8">
        <v>20</v>
      </c>
      <c r="O342" s="6" t="s">
        <v>3947</v>
      </c>
    </row>
    <row r="343" spans="1:16" ht="15" customHeight="1" x14ac:dyDescent="0.2">
      <c r="A343" s="7" t="s">
        <v>3918</v>
      </c>
      <c r="B343" s="7">
        <v>20003537</v>
      </c>
      <c r="C343" s="8">
        <v>1</v>
      </c>
      <c r="D343" s="8">
        <v>921632916</v>
      </c>
      <c r="E343" s="8" t="str">
        <f t="shared" si="27"/>
        <v>92163291622</v>
      </c>
      <c r="F343" s="8" t="s">
        <v>3131</v>
      </c>
      <c r="G343" s="8">
        <v>1</v>
      </c>
      <c r="H343" s="8">
        <v>20250401</v>
      </c>
      <c r="I343" s="8" t="str">
        <f t="shared" si="24"/>
        <v>4/1/2025</v>
      </c>
      <c r="J343" s="8">
        <v>20230101</v>
      </c>
      <c r="K343" s="8" t="str">
        <f t="shared" si="25"/>
        <v>1/1/2023</v>
      </c>
      <c r="L343" s="8" t="s">
        <v>56</v>
      </c>
      <c r="M343" s="8">
        <v>20</v>
      </c>
      <c r="N343" s="8">
        <v>20</v>
      </c>
      <c r="O343" s="6" t="s">
        <v>3947</v>
      </c>
    </row>
    <row r="344" spans="1:16" ht="15" customHeight="1" x14ac:dyDescent="0.2">
      <c r="A344" s="7" t="s">
        <v>3918</v>
      </c>
      <c r="B344" s="7">
        <v>20003537</v>
      </c>
      <c r="C344" s="8">
        <v>1</v>
      </c>
      <c r="D344" s="8">
        <v>921649707</v>
      </c>
      <c r="E344" s="8" t="str">
        <f t="shared" si="27"/>
        <v>92164970722</v>
      </c>
      <c r="F344" s="8" t="s">
        <v>3133</v>
      </c>
      <c r="G344" s="8">
        <v>1</v>
      </c>
      <c r="H344" s="8">
        <v>20250401</v>
      </c>
      <c r="I344" s="8" t="str">
        <f t="shared" si="24"/>
        <v>4/1/2025</v>
      </c>
      <c r="J344" s="8">
        <v>20230101</v>
      </c>
      <c r="K344" s="8" t="str">
        <f t="shared" si="25"/>
        <v>1/1/2023</v>
      </c>
      <c r="L344" s="8" t="s">
        <v>56</v>
      </c>
      <c r="M344" s="8">
        <v>20</v>
      </c>
      <c r="N344" s="8">
        <v>20</v>
      </c>
      <c r="O344" s="6" t="s">
        <v>3947</v>
      </c>
    </row>
    <row r="345" spans="1:16" ht="15" customHeight="1" x14ac:dyDescent="0.2">
      <c r="A345" s="7" t="s">
        <v>3918</v>
      </c>
      <c r="B345" s="7">
        <v>20003537</v>
      </c>
      <c r="C345" s="8">
        <v>4</v>
      </c>
      <c r="D345" s="8">
        <v>890582992</v>
      </c>
      <c r="E345" s="8" t="str">
        <f t="shared" si="27"/>
        <v>89058299222</v>
      </c>
      <c r="F345" s="8" t="s">
        <v>3119</v>
      </c>
      <c r="G345" s="8">
        <v>1</v>
      </c>
      <c r="H345" s="8">
        <v>20250401</v>
      </c>
      <c r="I345" s="8" t="str">
        <f t="shared" si="24"/>
        <v>4/1/2025</v>
      </c>
      <c r="J345" s="8">
        <v>20230101</v>
      </c>
      <c r="K345" s="8" t="str">
        <f t="shared" si="25"/>
        <v>1/1/2023</v>
      </c>
      <c r="L345" s="8" t="s">
        <v>56</v>
      </c>
      <c r="M345" s="8">
        <v>20</v>
      </c>
      <c r="N345" s="8">
        <v>80</v>
      </c>
      <c r="O345" s="6" t="s">
        <v>3947</v>
      </c>
      <c r="P345" s="6" t="s">
        <v>3954</v>
      </c>
    </row>
    <row r="346" spans="1:16" ht="15" customHeight="1" x14ac:dyDescent="0.2">
      <c r="A346" s="7" t="s">
        <v>3918</v>
      </c>
      <c r="B346" s="7">
        <v>20003537</v>
      </c>
      <c r="C346" s="8">
        <v>4</v>
      </c>
      <c r="D346" s="8">
        <v>890582992</v>
      </c>
      <c r="E346" s="8" t="str">
        <f t="shared" si="27"/>
        <v>89058299222</v>
      </c>
      <c r="F346" s="8" t="s">
        <v>3119</v>
      </c>
      <c r="G346" s="8">
        <v>1</v>
      </c>
      <c r="H346" s="8">
        <v>20250301</v>
      </c>
      <c r="I346" s="8" t="str">
        <f t="shared" si="24"/>
        <v>3/1/2025</v>
      </c>
      <c r="J346" s="8">
        <v>20230101</v>
      </c>
      <c r="K346" s="8" t="str">
        <f t="shared" si="25"/>
        <v>1/1/2023</v>
      </c>
      <c r="L346" s="8" t="s">
        <v>56</v>
      </c>
      <c r="M346" s="8">
        <v>20</v>
      </c>
      <c r="N346" s="8">
        <v>80</v>
      </c>
      <c r="O346" s="6" t="s">
        <v>3947</v>
      </c>
      <c r="P346" s="6" t="s">
        <v>3954</v>
      </c>
    </row>
    <row r="347" spans="1:16" ht="15" customHeight="1" x14ac:dyDescent="0.2">
      <c r="A347" s="7" t="s">
        <v>3918</v>
      </c>
      <c r="B347" s="7">
        <v>20003537</v>
      </c>
      <c r="C347" s="8">
        <v>1</v>
      </c>
      <c r="D347" s="8">
        <v>921422828</v>
      </c>
      <c r="E347" s="8" t="str">
        <f t="shared" si="27"/>
        <v>92142282822</v>
      </c>
      <c r="F347" s="8" t="s">
        <v>3125</v>
      </c>
      <c r="G347" s="8">
        <v>1</v>
      </c>
      <c r="H347" s="8">
        <v>20250401</v>
      </c>
      <c r="I347" s="8" t="str">
        <f t="shared" si="24"/>
        <v>4/1/2025</v>
      </c>
      <c r="J347" s="8">
        <v>20240801</v>
      </c>
      <c r="K347" s="8" t="str">
        <f t="shared" si="25"/>
        <v>8/1/2024</v>
      </c>
      <c r="L347" s="8" t="s">
        <v>56</v>
      </c>
      <c r="M347" s="8">
        <v>25</v>
      </c>
      <c r="N347" s="8">
        <v>25</v>
      </c>
      <c r="O347" s="6" t="s">
        <v>3947</v>
      </c>
    </row>
    <row r="348" spans="1:16" ht="15" customHeight="1" x14ac:dyDescent="0.3">
      <c r="A348" s="7" t="s">
        <v>3918</v>
      </c>
      <c r="B348" s="7">
        <v>20003537</v>
      </c>
      <c r="C348" s="8">
        <v>1</v>
      </c>
      <c r="D348" s="8">
        <v>921258551</v>
      </c>
      <c r="E348" s="8" t="str">
        <f>CONCATENATE(D348,44)</f>
        <v>92125855144</v>
      </c>
      <c r="F348" s="8" t="s">
        <v>3123</v>
      </c>
      <c r="G348" s="8">
        <v>1</v>
      </c>
      <c r="H348" s="8">
        <v>20250401</v>
      </c>
      <c r="I348" s="8" t="str">
        <f t="shared" si="24"/>
        <v>4/1/2025</v>
      </c>
      <c r="J348" s="8">
        <v>20240301</v>
      </c>
      <c r="K348" s="8" t="str">
        <f t="shared" si="25"/>
        <v>3/1/2024</v>
      </c>
      <c r="L348" s="8" t="s">
        <v>65</v>
      </c>
      <c r="M348" s="8">
        <v>25</v>
      </c>
      <c r="N348" s="8">
        <v>25</v>
      </c>
      <c r="O348" s="14" t="s">
        <v>3948</v>
      </c>
    </row>
    <row r="349" spans="1:16" ht="15" customHeight="1" x14ac:dyDescent="0.3">
      <c r="A349" s="7" t="s">
        <v>3918</v>
      </c>
      <c r="B349" s="7">
        <v>20003537</v>
      </c>
      <c r="C349" s="8">
        <v>1</v>
      </c>
      <c r="D349" s="8">
        <v>921594843</v>
      </c>
      <c r="E349" s="8" t="str">
        <f>CONCATENATE(D349,44)</f>
        <v>92159484344</v>
      </c>
      <c r="F349" s="8" t="s">
        <v>3127</v>
      </c>
      <c r="G349" s="8">
        <v>1</v>
      </c>
      <c r="H349" s="8">
        <v>20250401</v>
      </c>
      <c r="I349" s="8" t="str">
        <f t="shared" si="24"/>
        <v>4/1/2025</v>
      </c>
      <c r="J349" s="8">
        <v>20240101</v>
      </c>
      <c r="K349" s="8" t="str">
        <f t="shared" si="25"/>
        <v>1/1/2024</v>
      </c>
      <c r="L349" s="8" t="s">
        <v>65</v>
      </c>
      <c r="M349" s="8">
        <v>25</v>
      </c>
      <c r="N349" s="8">
        <v>25</v>
      </c>
      <c r="O349" s="14" t="s">
        <v>3948</v>
      </c>
    </row>
    <row r="350" spans="1:16" ht="15" customHeight="1" x14ac:dyDescent="0.3">
      <c r="A350" s="7" t="s">
        <v>3918</v>
      </c>
      <c r="B350" s="7">
        <v>20003537</v>
      </c>
      <c r="C350" s="8">
        <v>1</v>
      </c>
      <c r="D350" s="8">
        <v>921614734</v>
      </c>
      <c r="E350" s="8" t="str">
        <f>CONCATENATE(D350,44)</f>
        <v>92161473444</v>
      </c>
      <c r="F350" s="8" t="s">
        <v>3129</v>
      </c>
      <c r="G350" s="8">
        <v>1</v>
      </c>
      <c r="H350" s="8">
        <v>20250401</v>
      </c>
      <c r="I350" s="8" t="str">
        <f t="shared" si="24"/>
        <v>4/1/2025</v>
      </c>
      <c r="J350" s="8">
        <v>20231101</v>
      </c>
      <c r="K350" s="8" t="str">
        <f t="shared" si="25"/>
        <v>11/1/2023</v>
      </c>
      <c r="L350" s="8" t="s">
        <v>65</v>
      </c>
      <c r="M350" s="8">
        <v>25</v>
      </c>
      <c r="N350" s="8">
        <v>25</v>
      </c>
      <c r="O350" s="14" t="s">
        <v>3948</v>
      </c>
    </row>
    <row r="351" spans="1:16" ht="15" customHeight="1" x14ac:dyDescent="0.3">
      <c r="A351" s="7" t="s">
        <v>3918</v>
      </c>
      <c r="B351" s="7">
        <v>20003537</v>
      </c>
      <c r="C351" s="8">
        <v>1</v>
      </c>
      <c r="D351" s="8">
        <v>921655868</v>
      </c>
      <c r="E351" s="8" t="str">
        <f>CONCATENATE(D351,44)</f>
        <v>92165586844</v>
      </c>
      <c r="F351" s="8" t="s">
        <v>3137</v>
      </c>
      <c r="G351" s="8">
        <v>1</v>
      </c>
      <c r="H351" s="8">
        <v>20250401</v>
      </c>
      <c r="I351" s="8" t="str">
        <f t="shared" si="24"/>
        <v>4/1/2025</v>
      </c>
      <c r="J351" s="8">
        <v>20230401</v>
      </c>
      <c r="K351" s="8" t="str">
        <f t="shared" si="25"/>
        <v>4/1/2023</v>
      </c>
      <c r="L351" s="8" t="s">
        <v>65</v>
      </c>
      <c r="M351" s="8">
        <v>25</v>
      </c>
      <c r="N351" s="8">
        <v>25</v>
      </c>
      <c r="O351" s="14" t="s">
        <v>3948</v>
      </c>
    </row>
    <row r="352" spans="1:16" ht="15" customHeight="1" x14ac:dyDescent="0.2">
      <c r="A352" s="7" t="s">
        <v>3905</v>
      </c>
      <c r="B352" s="7">
        <v>19681796</v>
      </c>
      <c r="C352" s="8">
        <v>1</v>
      </c>
      <c r="D352" s="8">
        <v>920865373</v>
      </c>
      <c r="E352" s="8" t="str">
        <f t="shared" ref="E352:E366" si="28">CONCATENATE(D352,22)</f>
        <v>92086537322</v>
      </c>
      <c r="F352" s="8" t="s">
        <v>2354</v>
      </c>
      <c r="G352" s="8">
        <v>1</v>
      </c>
      <c r="H352" s="8">
        <v>20250401</v>
      </c>
      <c r="I352" s="8" t="str">
        <f t="shared" si="24"/>
        <v>4/1/2025</v>
      </c>
      <c r="J352" s="8">
        <v>20240201</v>
      </c>
      <c r="K352" s="8" t="str">
        <f t="shared" si="25"/>
        <v>2/1/2024</v>
      </c>
      <c r="L352" s="8" t="s">
        <v>56</v>
      </c>
      <c r="M352" s="8">
        <v>20</v>
      </c>
      <c r="N352" s="8">
        <v>20</v>
      </c>
      <c r="O352" s="6" t="s">
        <v>3947</v>
      </c>
    </row>
    <row r="353" spans="1:16" ht="15" customHeight="1" x14ac:dyDescent="0.2">
      <c r="A353" s="7" t="s">
        <v>3905</v>
      </c>
      <c r="B353" s="7">
        <v>19681796</v>
      </c>
      <c r="C353" s="8">
        <v>1</v>
      </c>
      <c r="D353" s="8">
        <v>920915016</v>
      </c>
      <c r="E353" s="8" t="str">
        <f t="shared" si="28"/>
        <v>92091501622</v>
      </c>
      <c r="F353" s="8" t="s">
        <v>2358</v>
      </c>
      <c r="G353" s="8">
        <v>1</v>
      </c>
      <c r="H353" s="8">
        <v>20250401</v>
      </c>
      <c r="I353" s="8" t="str">
        <f t="shared" si="24"/>
        <v>4/1/2025</v>
      </c>
      <c r="J353" s="8">
        <v>20140501</v>
      </c>
      <c r="K353" s="8" t="str">
        <f t="shared" si="25"/>
        <v>5/1/2014</v>
      </c>
      <c r="L353" s="8" t="s">
        <v>56</v>
      </c>
      <c r="M353" s="8">
        <v>20</v>
      </c>
      <c r="N353" s="8">
        <v>20</v>
      </c>
      <c r="O353" s="6" t="s">
        <v>3947</v>
      </c>
    </row>
    <row r="354" spans="1:16" ht="15" customHeight="1" x14ac:dyDescent="0.2">
      <c r="A354" s="7" t="s">
        <v>3905</v>
      </c>
      <c r="B354" s="7">
        <v>19681796</v>
      </c>
      <c r="C354" s="8">
        <v>1</v>
      </c>
      <c r="D354" s="8">
        <v>921364191</v>
      </c>
      <c r="E354" s="8" t="str">
        <f t="shared" si="28"/>
        <v>92136419122</v>
      </c>
      <c r="F354" s="8" t="s">
        <v>2362</v>
      </c>
      <c r="G354" s="8">
        <v>1</v>
      </c>
      <c r="H354" s="8">
        <v>20250401</v>
      </c>
      <c r="I354" s="8" t="str">
        <f t="shared" si="24"/>
        <v>4/1/2025</v>
      </c>
      <c r="J354" s="8">
        <v>20240301</v>
      </c>
      <c r="K354" s="8" t="str">
        <f t="shared" si="25"/>
        <v>3/1/2024</v>
      </c>
      <c r="L354" s="8" t="s">
        <v>56</v>
      </c>
      <c r="M354" s="8">
        <v>20</v>
      </c>
      <c r="N354" s="8">
        <v>20</v>
      </c>
      <c r="O354" s="6" t="s">
        <v>3947</v>
      </c>
    </row>
    <row r="355" spans="1:16" ht="15" customHeight="1" x14ac:dyDescent="0.2">
      <c r="A355" s="7" t="s">
        <v>3905</v>
      </c>
      <c r="B355" s="7">
        <v>19681796</v>
      </c>
      <c r="C355" s="8">
        <v>1</v>
      </c>
      <c r="D355" s="8">
        <v>921389339</v>
      </c>
      <c r="E355" s="8" t="str">
        <f t="shared" si="28"/>
        <v>92138933922</v>
      </c>
      <c r="F355" s="8" t="s">
        <v>2364</v>
      </c>
      <c r="G355" s="8">
        <v>1</v>
      </c>
      <c r="H355" s="8">
        <v>20250401</v>
      </c>
      <c r="I355" s="8" t="str">
        <f t="shared" si="24"/>
        <v>4/1/2025</v>
      </c>
      <c r="J355" s="8">
        <v>20180101</v>
      </c>
      <c r="K355" s="8" t="str">
        <f t="shared" si="25"/>
        <v>1/1/2018</v>
      </c>
      <c r="L355" s="8" t="s">
        <v>56</v>
      </c>
      <c r="M355" s="8">
        <v>20</v>
      </c>
      <c r="N355" s="8">
        <v>20</v>
      </c>
      <c r="O355" s="6" t="s">
        <v>3947</v>
      </c>
    </row>
    <row r="356" spans="1:16" ht="15" customHeight="1" x14ac:dyDescent="0.2">
      <c r="A356" s="7" t="s">
        <v>3905</v>
      </c>
      <c r="B356" s="7">
        <v>19681796</v>
      </c>
      <c r="C356" s="8">
        <v>1</v>
      </c>
      <c r="D356" s="8">
        <v>921453737</v>
      </c>
      <c r="E356" s="8" t="str">
        <f t="shared" si="28"/>
        <v>92145373722</v>
      </c>
      <c r="F356" s="8" t="s">
        <v>2366</v>
      </c>
      <c r="G356" s="8">
        <v>1</v>
      </c>
      <c r="H356" s="8">
        <v>20250401</v>
      </c>
      <c r="I356" s="8" t="str">
        <f t="shared" si="24"/>
        <v>4/1/2025</v>
      </c>
      <c r="J356" s="8">
        <v>20220701</v>
      </c>
      <c r="K356" s="8" t="str">
        <f t="shared" si="25"/>
        <v>7/1/2022</v>
      </c>
      <c r="L356" s="8" t="s">
        <v>56</v>
      </c>
      <c r="M356" s="8">
        <v>20</v>
      </c>
      <c r="N356" s="8">
        <v>20</v>
      </c>
      <c r="O356" s="6" t="s">
        <v>3947</v>
      </c>
    </row>
    <row r="357" spans="1:16" ht="15" customHeight="1" x14ac:dyDescent="0.2">
      <c r="A357" s="7" t="s">
        <v>3905</v>
      </c>
      <c r="B357" s="7">
        <v>19681796</v>
      </c>
      <c r="C357" s="8">
        <v>1</v>
      </c>
      <c r="D357" s="8">
        <v>921555774</v>
      </c>
      <c r="E357" s="8" t="str">
        <f t="shared" si="28"/>
        <v>92155577422</v>
      </c>
      <c r="F357" s="8" t="s">
        <v>2372</v>
      </c>
      <c r="G357" s="8">
        <v>1</v>
      </c>
      <c r="H357" s="8">
        <v>20250401</v>
      </c>
      <c r="I357" s="8" t="str">
        <f t="shared" si="24"/>
        <v>4/1/2025</v>
      </c>
      <c r="J357" s="8">
        <v>20210201</v>
      </c>
      <c r="K357" s="8" t="str">
        <f t="shared" si="25"/>
        <v>2/1/2021</v>
      </c>
      <c r="L357" s="8" t="s">
        <v>56</v>
      </c>
      <c r="M357" s="8">
        <v>20</v>
      </c>
      <c r="N357" s="8">
        <v>20</v>
      </c>
      <c r="O357" s="6" t="s">
        <v>3947</v>
      </c>
    </row>
    <row r="358" spans="1:16" ht="15" customHeight="1" x14ac:dyDescent="0.2">
      <c r="A358" s="7" t="s">
        <v>3905</v>
      </c>
      <c r="B358" s="7">
        <v>19681796</v>
      </c>
      <c r="C358" s="8">
        <v>1</v>
      </c>
      <c r="D358" s="8">
        <v>921609075</v>
      </c>
      <c r="E358" s="8" t="str">
        <f t="shared" si="28"/>
        <v>92160907522</v>
      </c>
      <c r="F358" s="8" t="s">
        <v>2376</v>
      </c>
      <c r="G358" s="8">
        <v>1</v>
      </c>
      <c r="H358" s="8">
        <v>20250401</v>
      </c>
      <c r="I358" s="8" t="str">
        <f t="shared" si="24"/>
        <v>4/1/2025</v>
      </c>
      <c r="J358" s="8">
        <v>20220301</v>
      </c>
      <c r="K358" s="8" t="str">
        <f t="shared" si="25"/>
        <v>3/1/2022</v>
      </c>
      <c r="L358" s="8" t="s">
        <v>56</v>
      </c>
      <c r="M358" s="8">
        <v>20</v>
      </c>
      <c r="N358" s="8">
        <v>20</v>
      </c>
      <c r="O358" s="6" t="s">
        <v>3947</v>
      </c>
    </row>
    <row r="359" spans="1:16" ht="15" customHeight="1" x14ac:dyDescent="0.2">
      <c r="A359" s="7" t="s">
        <v>3905</v>
      </c>
      <c r="B359" s="7">
        <v>19681796</v>
      </c>
      <c r="C359" s="8">
        <v>1</v>
      </c>
      <c r="D359" s="8">
        <v>921649424</v>
      </c>
      <c r="E359" s="8" t="str">
        <f t="shared" si="28"/>
        <v>92164942422</v>
      </c>
      <c r="F359" s="8" t="s">
        <v>2382</v>
      </c>
      <c r="G359" s="8">
        <v>1</v>
      </c>
      <c r="H359" s="8">
        <v>20250401</v>
      </c>
      <c r="I359" s="8" t="str">
        <f t="shared" si="24"/>
        <v>4/1/2025</v>
      </c>
      <c r="J359" s="8">
        <v>20230201</v>
      </c>
      <c r="K359" s="8" t="str">
        <f t="shared" si="25"/>
        <v>2/1/2023</v>
      </c>
      <c r="L359" s="8" t="s">
        <v>56</v>
      </c>
      <c r="M359" s="8">
        <v>20</v>
      </c>
      <c r="N359" s="8">
        <v>20</v>
      </c>
      <c r="O359" s="6" t="s">
        <v>3947</v>
      </c>
    </row>
    <row r="360" spans="1:16" ht="15" customHeight="1" x14ac:dyDescent="0.2">
      <c r="A360" s="7" t="s">
        <v>3905</v>
      </c>
      <c r="B360" s="7">
        <v>19681796</v>
      </c>
      <c r="C360" s="8">
        <v>1</v>
      </c>
      <c r="D360" s="8">
        <v>921649424</v>
      </c>
      <c r="E360" s="8" t="str">
        <f t="shared" si="28"/>
        <v>92164942422</v>
      </c>
      <c r="F360" s="8" t="s">
        <v>2382</v>
      </c>
      <c r="G360" s="8">
        <v>1</v>
      </c>
      <c r="H360" s="8">
        <v>20250301</v>
      </c>
      <c r="I360" s="8" t="str">
        <f t="shared" si="24"/>
        <v>3/1/2025</v>
      </c>
      <c r="J360" s="8">
        <v>20230201</v>
      </c>
      <c r="K360" s="8" t="str">
        <f t="shared" si="25"/>
        <v>2/1/2023</v>
      </c>
      <c r="L360" s="8" t="s">
        <v>56</v>
      </c>
      <c r="M360" s="8">
        <v>20</v>
      </c>
      <c r="N360" s="8">
        <v>20</v>
      </c>
      <c r="O360" s="6" t="s">
        <v>3947</v>
      </c>
    </row>
    <row r="361" spans="1:16" ht="15" customHeight="1" x14ac:dyDescent="0.2">
      <c r="A361" s="7" t="s">
        <v>3905</v>
      </c>
      <c r="B361" s="7">
        <v>19681796</v>
      </c>
      <c r="C361" s="8">
        <v>1</v>
      </c>
      <c r="D361" s="8">
        <v>921671680</v>
      </c>
      <c r="E361" s="8" t="str">
        <f t="shared" si="28"/>
        <v>92167168022</v>
      </c>
      <c r="F361" s="8" t="s">
        <v>2384</v>
      </c>
      <c r="G361" s="8">
        <v>1</v>
      </c>
      <c r="H361" s="8">
        <v>20250401</v>
      </c>
      <c r="I361" s="8" t="str">
        <f t="shared" si="24"/>
        <v>4/1/2025</v>
      </c>
      <c r="J361" s="8">
        <v>20231001</v>
      </c>
      <c r="K361" s="8" t="str">
        <f t="shared" si="25"/>
        <v>10/1/2023</v>
      </c>
      <c r="L361" s="8" t="s">
        <v>56</v>
      </c>
      <c r="M361" s="8">
        <v>20</v>
      </c>
      <c r="N361" s="8">
        <v>20</v>
      </c>
      <c r="O361" s="6" t="s">
        <v>3947</v>
      </c>
    </row>
    <row r="362" spans="1:16" ht="15" customHeight="1" x14ac:dyDescent="0.2">
      <c r="A362" s="7" t="s">
        <v>3905</v>
      </c>
      <c r="B362" s="7">
        <v>19681796</v>
      </c>
      <c r="C362" s="8">
        <v>1</v>
      </c>
      <c r="D362" s="8">
        <v>921693521</v>
      </c>
      <c r="E362" s="8" t="str">
        <f t="shared" si="28"/>
        <v>92169352122</v>
      </c>
      <c r="F362" s="8" t="s">
        <v>2390</v>
      </c>
      <c r="G362" s="8">
        <v>1</v>
      </c>
      <c r="H362" s="8">
        <v>20250401</v>
      </c>
      <c r="I362" s="8" t="str">
        <f t="shared" si="24"/>
        <v>4/1/2025</v>
      </c>
      <c r="J362" s="8">
        <v>20240101</v>
      </c>
      <c r="K362" s="8" t="str">
        <f t="shared" si="25"/>
        <v>1/1/2024</v>
      </c>
      <c r="L362" s="8" t="s">
        <v>56</v>
      </c>
      <c r="M362" s="8">
        <v>20</v>
      </c>
      <c r="N362" s="8">
        <v>20</v>
      </c>
      <c r="O362" s="6" t="s">
        <v>3947</v>
      </c>
    </row>
    <row r="363" spans="1:16" ht="15" customHeight="1" x14ac:dyDescent="0.2">
      <c r="A363" s="7" t="s">
        <v>3905</v>
      </c>
      <c r="B363" s="7">
        <v>19681796</v>
      </c>
      <c r="C363" s="8">
        <v>1</v>
      </c>
      <c r="D363" s="8">
        <v>921707635</v>
      </c>
      <c r="E363" s="8" t="str">
        <f t="shared" si="28"/>
        <v>92170763522</v>
      </c>
      <c r="F363" s="8" t="s">
        <v>2392</v>
      </c>
      <c r="G363" s="8">
        <v>1</v>
      </c>
      <c r="H363" s="8">
        <v>20250401</v>
      </c>
      <c r="I363" s="8" t="str">
        <f t="shared" si="24"/>
        <v>4/1/2025</v>
      </c>
      <c r="J363" s="8">
        <v>20240201</v>
      </c>
      <c r="K363" s="8" t="str">
        <f t="shared" si="25"/>
        <v>2/1/2024</v>
      </c>
      <c r="L363" s="8" t="s">
        <v>56</v>
      </c>
      <c r="M363" s="8">
        <v>20</v>
      </c>
      <c r="N363" s="8">
        <v>20</v>
      </c>
      <c r="O363" s="6" t="s">
        <v>3947</v>
      </c>
    </row>
    <row r="364" spans="1:16" ht="15" customHeight="1" x14ac:dyDescent="0.2">
      <c r="A364" s="7" t="s">
        <v>3905</v>
      </c>
      <c r="B364" s="7">
        <v>19681796</v>
      </c>
      <c r="C364" s="8">
        <v>2</v>
      </c>
      <c r="D364" s="8">
        <v>921675138</v>
      </c>
      <c r="E364" s="8" t="str">
        <f t="shared" si="28"/>
        <v>92167513822</v>
      </c>
      <c r="F364" s="8" t="s">
        <v>2388</v>
      </c>
      <c r="G364" s="8">
        <v>1</v>
      </c>
      <c r="H364" s="8">
        <v>20250401</v>
      </c>
      <c r="I364" s="8" t="str">
        <f t="shared" si="24"/>
        <v>4/1/2025</v>
      </c>
      <c r="J364" s="8">
        <v>20231101</v>
      </c>
      <c r="K364" s="8" t="str">
        <f t="shared" si="25"/>
        <v>11/1/2023</v>
      </c>
      <c r="L364" s="8" t="s">
        <v>56</v>
      </c>
      <c r="M364" s="8">
        <v>20</v>
      </c>
      <c r="N364" s="8">
        <v>40</v>
      </c>
      <c r="O364" s="6" t="s">
        <v>3947</v>
      </c>
      <c r="P364" s="6" t="s">
        <v>3952</v>
      </c>
    </row>
    <row r="365" spans="1:16" ht="15" customHeight="1" x14ac:dyDescent="0.2">
      <c r="A365" s="7" t="s">
        <v>3905</v>
      </c>
      <c r="B365" s="7">
        <v>19681796</v>
      </c>
      <c r="C365" s="8">
        <v>3</v>
      </c>
      <c r="D365" s="8">
        <v>921570298</v>
      </c>
      <c r="E365" s="8" t="str">
        <f t="shared" si="28"/>
        <v>92157029822</v>
      </c>
      <c r="F365" s="8" t="s">
        <v>2374</v>
      </c>
      <c r="G365" s="8">
        <v>1</v>
      </c>
      <c r="H365" s="8">
        <v>20250401</v>
      </c>
      <c r="I365" s="8" t="str">
        <f t="shared" si="24"/>
        <v>4/1/2025</v>
      </c>
      <c r="J365" s="8">
        <v>20221101</v>
      </c>
      <c r="K365" s="8" t="str">
        <f t="shared" si="25"/>
        <v>11/1/2022</v>
      </c>
      <c r="L365" s="8" t="s">
        <v>56</v>
      </c>
      <c r="M365" s="8">
        <v>20</v>
      </c>
      <c r="N365" s="8">
        <v>60</v>
      </c>
      <c r="O365" s="6" t="s">
        <v>3947</v>
      </c>
      <c r="P365" s="6" t="s">
        <v>3953</v>
      </c>
    </row>
    <row r="366" spans="1:16" ht="15" customHeight="1" x14ac:dyDescent="0.2">
      <c r="A366" s="7" t="s">
        <v>3905</v>
      </c>
      <c r="B366" s="7">
        <v>19681796</v>
      </c>
      <c r="C366" s="8">
        <v>1</v>
      </c>
      <c r="D366" s="8">
        <v>921735222</v>
      </c>
      <c r="E366" s="8" t="str">
        <f t="shared" si="28"/>
        <v>92173522222</v>
      </c>
      <c r="F366" s="8" t="s">
        <v>2400</v>
      </c>
      <c r="G366" s="8">
        <v>1</v>
      </c>
      <c r="H366" s="8">
        <v>20250401</v>
      </c>
      <c r="I366" s="8" t="str">
        <f t="shared" si="24"/>
        <v>4/1/2025</v>
      </c>
      <c r="J366" s="8">
        <v>20240901</v>
      </c>
      <c r="K366" s="8" t="str">
        <f t="shared" si="25"/>
        <v>9/1/2024</v>
      </c>
      <c r="L366" s="8" t="s">
        <v>56</v>
      </c>
      <c r="M366" s="8">
        <v>25</v>
      </c>
      <c r="N366" s="8">
        <v>25</v>
      </c>
      <c r="O366" s="6" t="s">
        <v>3947</v>
      </c>
    </row>
    <row r="367" spans="1:16" ht="15" customHeight="1" x14ac:dyDescent="0.2">
      <c r="A367" s="7" t="s">
        <v>3905</v>
      </c>
      <c r="B367" s="7">
        <v>19681796</v>
      </c>
      <c r="C367" s="8">
        <v>1</v>
      </c>
      <c r="D367" s="8">
        <v>890568876</v>
      </c>
      <c r="E367" s="8" t="str">
        <f>CONCATENATE(D367,33)</f>
        <v>89056887633</v>
      </c>
      <c r="F367" s="8" t="s">
        <v>2352</v>
      </c>
      <c r="G367" s="8">
        <v>1</v>
      </c>
      <c r="H367" s="8">
        <v>20250401</v>
      </c>
      <c r="I367" s="8" t="str">
        <f t="shared" si="24"/>
        <v>4/1/2025</v>
      </c>
      <c r="J367" s="8">
        <v>20250101</v>
      </c>
      <c r="K367" s="8" t="str">
        <f t="shared" si="25"/>
        <v>1/1/2025</v>
      </c>
      <c r="L367" s="8" t="s">
        <v>198</v>
      </c>
      <c r="M367" s="8">
        <v>20</v>
      </c>
      <c r="N367" s="8">
        <v>20</v>
      </c>
      <c r="O367" s="6" t="s">
        <v>3950</v>
      </c>
    </row>
    <row r="368" spans="1:16" ht="15" customHeight="1" x14ac:dyDescent="0.2">
      <c r="A368" s="7" t="s">
        <v>3905</v>
      </c>
      <c r="B368" s="7">
        <v>19681796</v>
      </c>
      <c r="C368" s="8">
        <v>1</v>
      </c>
      <c r="D368" s="8">
        <v>921759851</v>
      </c>
      <c r="E368" s="8" t="str">
        <f>CONCATENATE(D368,33)</f>
        <v>92175985133</v>
      </c>
      <c r="F368" s="8" t="s">
        <v>2406</v>
      </c>
      <c r="G368" s="8">
        <v>1</v>
      </c>
      <c r="H368" s="8">
        <v>20250301</v>
      </c>
      <c r="I368" s="8" t="str">
        <f t="shared" si="24"/>
        <v>3/1/2025</v>
      </c>
      <c r="J368" s="8">
        <v>20250101</v>
      </c>
      <c r="K368" s="8" t="str">
        <f t="shared" si="25"/>
        <v>1/1/2025</v>
      </c>
      <c r="L368" s="8" t="s">
        <v>198</v>
      </c>
      <c r="M368" s="8">
        <v>20</v>
      </c>
      <c r="N368" s="8">
        <v>20</v>
      </c>
      <c r="O368" s="6" t="s">
        <v>3950</v>
      </c>
    </row>
    <row r="369" spans="1:16" ht="15" customHeight="1" x14ac:dyDescent="0.2">
      <c r="A369" s="7" t="s">
        <v>3905</v>
      </c>
      <c r="B369" s="7">
        <v>19681796</v>
      </c>
      <c r="C369" s="8">
        <v>2</v>
      </c>
      <c r="D369" s="8">
        <v>921728956</v>
      </c>
      <c r="E369" s="8" t="str">
        <f>CONCATENATE(D369,33)</f>
        <v>92172895633</v>
      </c>
      <c r="F369" s="8" t="s">
        <v>2398</v>
      </c>
      <c r="G369" s="8">
        <v>1</v>
      </c>
      <c r="H369" s="8">
        <v>20250401</v>
      </c>
      <c r="I369" s="8" t="str">
        <f t="shared" si="24"/>
        <v>4/1/2025</v>
      </c>
      <c r="J369" s="8">
        <v>20250101</v>
      </c>
      <c r="K369" s="8" t="str">
        <f t="shared" si="25"/>
        <v>1/1/2025</v>
      </c>
      <c r="L369" s="8" t="s">
        <v>198</v>
      </c>
      <c r="M369" s="8">
        <v>20</v>
      </c>
      <c r="N369" s="8">
        <v>40</v>
      </c>
      <c r="O369" s="6" t="s">
        <v>3950</v>
      </c>
      <c r="P369" s="6" t="s">
        <v>3952</v>
      </c>
    </row>
    <row r="370" spans="1:16" ht="15" customHeight="1" x14ac:dyDescent="0.2">
      <c r="A370" s="7" t="s">
        <v>3905</v>
      </c>
      <c r="B370" s="7">
        <v>19681796</v>
      </c>
      <c r="C370" s="8">
        <v>3</v>
      </c>
      <c r="D370" s="8">
        <v>921772693</v>
      </c>
      <c r="E370" s="8" t="str">
        <f>CONCATENATE(D370,33)</f>
        <v>92177269333</v>
      </c>
      <c r="F370" s="8" t="s">
        <v>2408</v>
      </c>
      <c r="G370" s="8">
        <v>1</v>
      </c>
      <c r="H370" s="8">
        <v>20250401</v>
      </c>
      <c r="I370" s="8" t="str">
        <f t="shared" si="24"/>
        <v>4/1/2025</v>
      </c>
      <c r="J370" s="8">
        <v>20250201</v>
      </c>
      <c r="K370" s="8" t="str">
        <f t="shared" si="25"/>
        <v>2/1/2025</v>
      </c>
      <c r="L370" s="8" t="s">
        <v>198</v>
      </c>
      <c r="M370" s="8">
        <v>20</v>
      </c>
      <c r="N370" s="8">
        <v>60</v>
      </c>
      <c r="O370" s="6" t="s">
        <v>3950</v>
      </c>
      <c r="P370" s="6" t="s">
        <v>3953</v>
      </c>
    </row>
    <row r="371" spans="1:16" ht="15" customHeight="1" x14ac:dyDescent="0.3">
      <c r="A371" s="7" t="s">
        <v>3905</v>
      </c>
      <c r="B371" s="7">
        <v>19681796</v>
      </c>
      <c r="C371" s="8">
        <v>1</v>
      </c>
      <c r="D371" s="8">
        <v>920898622</v>
      </c>
      <c r="E371" s="8" t="str">
        <f t="shared" ref="E371:E376" si="29">CONCATENATE(D371,44)</f>
        <v>92089862244</v>
      </c>
      <c r="F371" s="8" t="s">
        <v>2356</v>
      </c>
      <c r="G371" s="8">
        <v>1</v>
      </c>
      <c r="H371" s="8">
        <v>20250401</v>
      </c>
      <c r="I371" s="8" t="str">
        <f t="shared" si="24"/>
        <v>4/1/2025</v>
      </c>
      <c r="J371" s="8">
        <v>20220101</v>
      </c>
      <c r="K371" s="8" t="str">
        <f t="shared" si="25"/>
        <v>1/1/2022</v>
      </c>
      <c r="L371" s="8" t="s">
        <v>65</v>
      </c>
      <c r="M371" s="8">
        <v>25</v>
      </c>
      <c r="N371" s="8">
        <v>25</v>
      </c>
      <c r="O371" s="14" t="s">
        <v>3948</v>
      </c>
    </row>
    <row r="372" spans="1:16" ht="15" customHeight="1" x14ac:dyDescent="0.3">
      <c r="A372" s="7" t="s">
        <v>3905</v>
      </c>
      <c r="B372" s="7">
        <v>19681796</v>
      </c>
      <c r="C372" s="8">
        <v>3</v>
      </c>
      <c r="D372" s="8">
        <v>921674010</v>
      </c>
      <c r="E372" s="8" t="str">
        <f t="shared" si="29"/>
        <v>92167401044</v>
      </c>
      <c r="F372" s="8" t="s">
        <v>2386</v>
      </c>
      <c r="G372" s="8">
        <v>1</v>
      </c>
      <c r="H372" s="8">
        <v>20250301</v>
      </c>
      <c r="I372" s="8" t="str">
        <f t="shared" si="24"/>
        <v>3/1/2025</v>
      </c>
      <c r="J372" s="8">
        <v>20231001</v>
      </c>
      <c r="K372" s="8" t="str">
        <f t="shared" si="25"/>
        <v>10/1/2023</v>
      </c>
      <c r="L372" s="8" t="s">
        <v>65</v>
      </c>
      <c r="M372" s="8">
        <v>25</v>
      </c>
      <c r="N372" s="8">
        <v>75</v>
      </c>
      <c r="O372" s="14" t="s">
        <v>3948</v>
      </c>
      <c r="P372" s="6" t="s">
        <v>3953</v>
      </c>
    </row>
    <row r="373" spans="1:16" ht="15" customHeight="1" x14ac:dyDescent="0.3">
      <c r="A373" s="7" t="s">
        <v>3905</v>
      </c>
      <c r="B373" s="7">
        <v>19681796</v>
      </c>
      <c r="C373" s="8">
        <v>1</v>
      </c>
      <c r="D373" s="8">
        <v>921325526</v>
      </c>
      <c r="E373" s="8" t="str">
        <f t="shared" si="29"/>
        <v>92132552644</v>
      </c>
      <c r="F373" s="8" t="s">
        <v>2360</v>
      </c>
      <c r="G373" s="8">
        <v>1</v>
      </c>
      <c r="H373" s="8">
        <v>20250401</v>
      </c>
      <c r="I373" s="8" t="str">
        <f t="shared" si="24"/>
        <v>4/1/2025</v>
      </c>
      <c r="J373" s="8">
        <v>20250101</v>
      </c>
      <c r="K373" s="8" t="str">
        <f t="shared" si="25"/>
        <v>1/1/2025</v>
      </c>
      <c r="L373" s="8" t="s">
        <v>65</v>
      </c>
      <c r="M373" s="8">
        <v>30</v>
      </c>
      <c r="N373" s="8">
        <v>30</v>
      </c>
      <c r="O373" s="14" t="s">
        <v>3948</v>
      </c>
    </row>
    <row r="374" spans="1:16" ht="15" customHeight="1" x14ac:dyDescent="0.3">
      <c r="A374" s="7" t="s">
        <v>3905</v>
      </c>
      <c r="B374" s="7">
        <v>19681796</v>
      </c>
      <c r="C374" s="8">
        <v>1</v>
      </c>
      <c r="D374" s="8">
        <v>921718522</v>
      </c>
      <c r="E374" s="8" t="str">
        <f t="shared" si="29"/>
        <v>92171852244</v>
      </c>
      <c r="F374" s="8" t="s">
        <v>2394</v>
      </c>
      <c r="G374" s="8">
        <v>1</v>
      </c>
      <c r="H374" s="8">
        <v>20250401</v>
      </c>
      <c r="I374" s="8" t="str">
        <f t="shared" si="24"/>
        <v>4/1/2025</v>
      </c>
      <c r="J374" s="8">
        <v>20240401</v>
      </c>
      <c r="K374" s="8" t="str">
        <f t="shared" si="25"/>
        <v>4/1/2024</v>
      </c>
      <c r="L374" s="8" t="s">
        <v>65</v>
      </c>
      <c r="M374" s="8">
        <v>30</v>
      </c>
      <c r="N374" s="8">
        <v>30</v>
      </c>
      <c r="O374" s="14" t="s">
        <v>3948</v>
      </c>
    </row>
    <row r="375" spans="1:16" ht="15" customHeight="1" x14ac:dyDescent="0.3">
      <c r="A375" s="7" t="s">
        <v>3905</v>
      </c>
      <c r="B375" s="7">
        <v>19681796</v>
      </c>
      <c r="C375" s="8">
        <v>1</v>
      </c>
      <c r="D375" s="8">
        <v>921737741</v>
      </c>
      <c r="E375" s="8" t="str">
        <f t="shared" si="29"/>
        <v>92173774144</v>
      </c>
      <c r="F375" s="8" t="s">
        <v>2402</v>
      </c>
      <c r="G375" s="8">
        <v>1</v>
      </c>
      <c r="H375" s="8">
        <v>20250401</v>
      </c>
      <c r="I375" s="8" t="str">
        <f t="shared" si="24"/>
        <v>4/1/2025</v>
      </c>
      <c r="J375" s="8">
        <v>20240901</v>
      </c>
      <c r="K375" s="8" t="str">
        <f t="shared" si="25"/>
        <v>9/1/2024</v>
      </c>
      <c r="L375" s="8" t="s">
        <v>65</v>
      </c>
      <c r="M375" s="8">
        <v>30</v>
      </c>
      <c r="N375" s="8">
        <v>30</v>
      </c>
      <c r="O375" s="14" t="s">
        <v>3948</v>
      </c>
    </row>
    <row r="376" spans="1:16" ht="15" customHeight="1" x14ac:dyDescent="0.3">
      <c r="A376" s="7" t="s">
        <v>3905</v>
      </c>
      <c r="B376" s="7">
        <v>19681796</v>
      </c>
      <c r="C376" s="8">
        <v>2</v>
      </c>
      <c r="D376" s="8">
        <v>921751126</v>
      </c>
      <c r="E376" s="8" t="str">
        <f t="shared" si="29"/>
        <v>92175112644</v>
      </c>
      <c r="F376" s="8" t="s">
        <v>2404</v>
      </c>
      <c r="G376" s="8">
        <v>1</v>
      </c>
      <c r="H376" s="8">
        <v>20250401</v>
      </c>
      <c r="I376" s="8" t="str">
        <f t="shared" si="24"/>
        <v>4/1/2025</v>
      </c>
      <c r="J376" s="8">
        <v>20250101</v>
      </c>
      <c r="K376" s="8" t="str">
        <f t="shared" si="25"/>
        <v>1/1/2025</v>
      </c>
      <c r="L376" s="8" t="s">
        <v>65</v>
      </c>
      <c r="M376" s="8">
        <v>30</v>
      </c>
      <c r="N376" s="8">
        <v>60</v>
      </c>
      <c r="O376" s="14" t="s">
        <v>3948</v>
      </c>
      <c r="P376" s="6" t="s">
        <v>3952</v>
      </c>
    </row>
    <row r="377" spans="1:16" ht="15" customHeight="1" x14ac:dyDescent="0.2">
      <c r="A377" s="7" t="s">
        <v>3905</v>
      </c>
      <c r="B377" s="7">
        <v>19681796</v>
      </c>
      <c r="C377" s="8">
        <v>1</v>
      </c>
      <c r="D377" s="8">
        <v>890410489</v>
      </c>
      <c r="E377" s="8" t="str">
        <f t="shared" ref="E377:E382" si="30">CONCATENATE(D377,55)</f>
        <v>89041048955</v>
      </c>
      <c r="F377" s="8" t="s">
        <v>2350</v>
      </c>
      <c r="G377" s="8">
        <v>1</v>
      </c>
      <c r="H377" s="8">
        <v>20250401</v>
      </c>
      <c r="I377" s="8" t="str">
        <f t="shared" si="24"/>
        <v>4/1/2025</v>
      </c>
      <c r="J377" s="8">
        <v>20160301</v>
      </c>
      <c r="K377" s="8" t="str">
        <f t="shared" si="25"/>
        <v>3/1/2016</v>
      </c>
      <c r="L377" s="8" t="s">
        <v>138</v>
      </c>
      <c r="M377" s="8">
        <v>20</v>
      </c>
      <c r="N377" s="8">
        <v>20</v>
      </c>
      <c r="O377" s="6" t="s">
        <v>3946</v>
      </c>
    </row>
    <row r="378" spans="1:16" ht="15" customHeight="1" x14ac:dyDescent="0.2">
      <c r="A378" s="7" t="s">
        <v>3905</v>
      </c>
      <c r="B378" s="7">
        <v>19681796</v>
      </c>
      <c r="C378" s="8">
        <v>1</v>
      </c>
      <c r="D378" s="8">
        <v>921550048</v>
      </c>
      <c r="E378" s="8" t="str">
        <f t="shared" si="30"/>
        <v>92155004855</v>
      </c>
      <c r="F378" s="8" t="s">
        <v>2370</v>
      </c>
      <c r="G378" s="8">
        <v>1</v>
      </c>
      <c r="H378" s="8">
        <v>20250401</v>
      </c>
      <c r="I378" s="8" t="str">
        <f t="shared" si="24"/>
        <v>4/1/2025</v>
      </c>
      <c r="J378" s="8">
        <v>20210101</v>
      </c>
      <c r="K378" s="8" t="str">
        <f t="shared" si="25"/>
        <v>1/1/2021</v>
      </c>
      <c r="L378" s="8" t="s">
        <v>138</v>
      </c>
      <c r="M378" s="8">
        <v>20</v>
      </c>
      <c r="N378" s="8">
        <v>20</v>
      </c>
      <c r="O378" s="6" t="s">
        <v>3946</v>
      </c>
    </row>
    <row r="379" spans="1:16" ht="15" customHeight="1" x14ac:dyDescent="0.2">
      <c r="A379" s="7" t="s">
        <v>3905</v>
      </c>
      <c r="B379" s="7">
        <v>19681796</v>
      </c>
      <c r="C379" s="8">
        <v>1</v>
      </c>
      <c r="D379" s="8">
        <v>921613300</v>
      </c>
      <c r="E379" s="8" t="str">
        <f t="shared" si="30"/>
        <v>92161330055</v>
      </c>
      <c r="F379" s="8" t="s">
        <v>2378</v>
      </c>
      <c r="G379" s="8">
        <v>1</v>
      </c>
      <c r="H379" s="8">
        <v>20250401</v>
      </c>
      <c r="I379" s="8" t="str">
        <f t="shared" si="24"/>
        <v>4/1/2025</v>
      </c>
      <c r="J379" s="8">
        <v>20220601</v>
      </c>
      <c r="K379" s="8" t="str">
        <f t="shared" si="25"/>
        <v>6/1/2022</v>
      </c>
      <c r="L379" s="8" t="s">
        <v>138</v>
      </c>
      <c r="M379" s="8">
        <v>20</v>
      </c>
      <c r="N379" s="8">
        <v>20</v>
      </c>
      <c r="O379" s="6" t="s">
        <v>3946</v>
      </c>
    </row>
    <row r="380" spans="1:16" ht="15" customHeight="1" x14ac:dyDescent="0.2">
      <c r="A380" s="7" t="s">
        <v>3905</v>
      </c>
      <c r="B380" s="7">
        <v>19681796</v>
      </c>
      <c r="C380" s="8">
        <v>1</v>
      </c>
      <c r="D380" s="8">
        <v>921624679</v>
      </c>
      <c r="E380" s="8" t="str">
        <f t="shared" si="30"/>
        <v>92162467955</v>
      </c>
      <c r="F380" s="8" t="s">
        <v>2380</v>
      </c>
      <c r="G380" s="8">
        <v>1</v>
      </c>
      <c r="H380" s="8">
        <v>20250401</v>
      </c>
      <c r="I380" s="8" t="str">
        <f t="shared" si="24"/>
        <v>4/1/2025</v>
      </c>
      <c r="J380" s="8">
        <v>20221101</v>
      </c>
      <c r="K380" s="8" t="str">
        <f t="shared" si="25"/>
        <v>11/1/2022</v>
      </c>
      <c r="L380" s="8" t="s">
        <v>138</v>
      </c>
      <c r="M380" s="8">
        <v>20</v>
      </c>
      <c r="N380" s="8">
        <v>20</v>
      </c>
      <c r="O380" s="6" t="s">
        <v>3946</v>
      </c>
    </row>
    <row r="381" spans="1:16" ht="15" customHeight="1" x14ac:dyDescent="0.2">
      <c r="A381" s="7" t="s">
        <v>3905</v>
      </c>
      <c r="B381" s="7">
        <v>19681796</v>
      </c>
      <c r="C381" s="8">
        <v>1</v>
      </c>
      <c r="D381" s="8">
        <v>921517589</v>
      </c>
      <c r="E381" s="8" t="str">
        <f t="shared" si="30"/>
        <v>92151758955</v>
      </c>
      <c r="F381" s="8" t="s">
        <v>2368</v>
      </c>
      <c r="G381" s="8">
        <v>1</v>
      </c>
      <c r="H381" s="8">
        <v>20250401</v>
      </c>
      <c r="I381" s="8" t="str">
        <f t="shared" si="24"/>
        <v>4/1/2025</v>
      </c>
      <c r="J381" s="8">
        <v>20240401</v>
      </c>
      <c r="K381" s="8" t="str">
        <f t="shared" si="25"/>
        <v>4/1/2024</v>
      </c>
      <c r="L381" s="8" t="s">
        <v>138</v>
      </c>
      <c r="M381" s="8">
        <v>25</v>
      </c>
      <c r="N381" s="8">
        <v>25</v>
      </c>
      <c r="O381" s="6" t="s">
        <v>3946</v>
      </c>
    </row>
    <row r="382" spans="1:16" ht="15" customHeight="1" x14ac:dyDescent="0.2">
      <c r="A382" s="7" t="s">
        <v>3905</v>
      </c>
      <c r="B382" s="7">
        <v>19681796</v>
      </c>
      <c r="C382" s="8">
        <v>1</v>
      </c>
      <c r="D382" s="8">
        <v>921721880</v>
      </c>
      <c r="E382" s="8" t="str">
        <f t="shared" si="30"/>
        <v>92172188055</v>
      </c>
      <c r="F382" s="8" t="s">
        <v>2396</v>
      </c>
      <c r="G382" s="8">
        <v>1</v>
      </c>
      <c r="H382" s="8">
        <v>20250401</v>
      </c>
      <c r="I382" s="8" t="str">
        <f t="shared" si="24"/>
        <v>4/1/2025</v>
      </c>
      <c r="J382" s="8">
        <v>20240501</v>
      </c>
      <c r="K382" s="8" t="str">
        <f t="shared" si="25"/>
        <v>5/1/2024</v>
      </c>
      <c r="L382" s="8" t="s">
        <v>138</v>
      </c>
      <c r="M382" s="8">
        <v>25</v>
      </c>
      <c r="N382" s="8">
        <v>25</v>
      </c>
      <c r="O382" s="6" t="s">
        <v>3946</v>
      </c>
    </row>
    <row r="383" spans="1:16" ht="15" customHeight="1" x14ac:dyDescent="0.2">
      <c r="A383" s="7" t="s">
        <v>3905</v>
      </c>
      <c r="B383" s="7">
        <v>19681796</v>
      </c>
      <c r="D383" s="8">
        <v>957196267</v>
      </c>
      <c r="E383" s="8" t="str">
        <f>CONCATENATE(D383,7)</f>
        <v>9571962677</v>
      </c>
      <c r="F383" s="8" t="s">
        <v>2428</v>
      </c>
      <c r="G383" s="8">
        <v>189.13</v>
      </c>
      <c r="H383" s="8">
        <v>20250401</v>
      </c>
      <c r="I383" s="8" t="str">
        <f t="shared" si="24"/>
        <v>4/1/2025</v>
      </c>
      <c r="J383" s="8">
        <v>20250101</v>
      </c>
      <c r="K383" s="8" t="str">
        <f t="shared" si="25"/>
        <v>1/1/2025</v>
      </c>
      <c r="L383" s="8" t="s">
        <v>398</v>
      </c>
      <c r="M383" s="8">
        <v>0.1</v>
      </c>
      <c r="N383" s="8">
        <v>18.91</v>
      </c>
      <c r="O383" s="6" t="s">
        <v>3942</v>
      </c>
    </row>
    <row r="384" spans="1:16" ht="15" customHeight="1" x14ac:dyDescent="0.2">
      <c r="A384" s="7" t="s">
        <v>3905</v>
      </c>
      <c r="B384" s="7">
        <v>19681796</v>
      </c>
      <c r="D384" s="8">
        <v>957196267</v>
      </c>
      <c r="E384" s="8" t="str">
        <f>CONCATENATE(D384,7)</f>
        <v>9571962677</v>
      </c>
      <c r="F384" s="8" t="s">
        <v>2428</v>
      </c>
      <c r="G384" s="8">
        <v>189.13</v>
      </c>
      <c r="H384" s="8">
        <v>20250301</v>
      </c>
      <c r="I384" s="8" t="str">
        <f t="shared" si="24"/>
        <v>3/1/2025</v>
      </c>
      <c r="J384" s="8">
        <v>20250101</v>
      </c>
      <c r="K384" s="8" t="str">
        <f t="shared" si="25"/>
        <v>1/1/2025</v>
      </c>
      <c r="L384" s="8" t="s">
        <v>398</v>
      </c>
      <c r="M384" s="8">
        <v>0.1</v>
      </c>
      <c r="N384" s="8">
        <v>18.91</v>
      </c>
      <c r="O384" s="6" t="s">
        <v>3942</v>
      </c>
    </row>
    <row r="385" spans="1:36" ht="15" customHeight="1" x14ac:dyDescent="0.2">
      <c r="A385" s="7" t="s">
        <v>3905</v>
      </c>
      <c r="B385" s="7">
        <v>19681796</v>
      </c>
      <c r="D385" s="8">
        <v>957196355</v>
      </c>
      <c r="E385" s="8" t="str">
        <f>CONCATENATE(D385,7)</f>
        <v>9571963557</v>
      </c>
      <c r="F385" s="8" t="s">
        <v>2436</v>
      </c>
      <c r="G385" s="8">
        <v>226.75</v>
      </c>
      <c r="H385" s="8">
        <v>20250301</v>
      </c>
      <c r="I385" s="8" t="str">
        <f t="shared" si="24"/>
        <v>3/1/2025</v>
      </c>
      <c r="J385" s="8">
        <v>20250101</v>
      </c>
      <c r="K385" s="8" t="str">
        <f t="shared" si="25"/>
        <v>1/1/2025</v>
      </c>
      <c r="L385" s="8" t="s">
        <v>398</v>
      </c>
      <c r="M385" s="8">
        <v>0.1</v>
      </c>
      <c r="N385" s="8">
        <v>22.68</v>
      </c>
      <c r="O385" s="6" t="s">
        <v>3942</v>
      </c>
    </row>
    <row r="386" spans="1:36" ht="15" customHeight="1" x14ac:dyDescent="0.2">
      <c r="A386" s="7" t="s">
        <v>3905</v>
      </c>
      <c r="B386" s="7">
        <v>19681796</v>
      </c>
      <c r="D386" s="8">
        <v>957193583</v>
      </c>
      <c r="E386" s="8" t="str">
        <f>CONCATENATE(D386,8)</f>
        <v>9571935838</v>
      </c>
      <c r="F386" s="8" t="s">
        <v>2420</v>
      </c>
      <c r="G386" s="8">
        <v>386.94</v>
      </c>
      <c r="H386" s="8">
        <v>20250301</v>
      </c>
      <c r="I386" s="8" t="str">
        <f t="shared" si="24"/>
        <v>3/1/2025</v>
      </c>
      <c r="J386" s="8">
        <v>20250101</v>
      </c>
      <c r="K386" s="8" t="str">
        <f t="shared" si="25"/>
        <v>1/1/2025</v>
      </c>
      <c r="L386" s="8" t="s">
        <v>924</v>
      </c>
      <c r="M386" s="8">
        <v>0.05</v>
      </c>
      <c r="N386" s="8">
        <v>19.350000000000001</v>
      </c>
      <c r="O386" s="6" t="s">
        <v>3939</v>
      </c>
    </row>
    <row r="387" spans="1:36" ht="15" customHeight="1" x14ac:dyDescent="0.2">
      <c r="A387" s="7" t="s">
        <v>3905</v>
      </c>
      <c r="B387" s="7">
        <v>19681796</v>
      </c>
      <c r="D387" s="8">
        <v>957182638</v>
      </c>
      <c r="E387" s="8" t="str">
        <f>CONCATENATE(D387,9)</f>
        <v>9571826389</v>
      </c>
      <c r="F387" s="8" t="s">
        <v>2348</v>
      </c>
      <c r="G387" s="8">
        <v>115.64</v>
      </c>
      <c r="H387" s="8">
        <v>20250301</v>
      </c>
      <c r="I387" s="8" t="str">
        <f t="shared" ref="I387:I450" si="31">TEXT(DATE(LEFT(H387,4), MID(H387,5,2), RIGHT(H387,2)), "M/d/yyyy")</f>
        <v>3/1/2025</v>
      </c>
      <c r="J387" s="8">
        <v>20240901</v>
      </c>
      <c r="K387" s="8" t="str">
        <f t="shared" ref="K387:K450" si="32">TEXT(DATE(LEFT(J387,4), MID(J387,5,2), RIGHT(J387,2)), "M/d/yyyy")</f>
        <v>9/1/2024</v>
      </c>
      <c r="L387" s="8" t="s">
        <v>980</v>
      </c>
      <c r="M387" s="8">
        <v>0.18</v>
      </c>
      <c r="N387" s="8">
        <v>20.82</v>
      </c>
      <c r="O387" s="6" t="s">
        <v>3944</v>
      </c>
    </row>
    <row r="388" spans="1:36" ht="15" customHeight="1" x14ac:dyDescent="0.2">
      <c r="A388" s="7" t="s">
        <v>3905</v>
      </c>
      <c r="B388" s="7">
        <v>19681796</v>
      </c>
      <c r="D388" s="8">
        <v>957177887</v>
      </c>
      <c r="E388" s="8" t="str">
        <f>CONCATENATE(D388,9)</f>
        <v>9571778879</v>
      </c>
      <c r="F388" s="8" t="s">
        <v>2345</v>
      </c>
      <c r="G388" s="8">
        <v>150.41</v>
      </c>
      <c r="H388" s="8">
        <v>20250301</v>
      </c>
      <c r="I388" s="8" t="str">
        <f t="shared" si="31"/>
        <v>3/1/2025</v>
      </c>
      <c r="J388" s="8">
        <v>20240801</v>
      </c>
      <c r="K388" s="8" t="str">
        <f t="shared" si="32"/>
        <v>8/1/2024</v>
      </c>
      <c r="L388" s="8" t="s">
        <v>980</v>
      </c>
      <c r="M388" s="8">
        <v>0.18</v>
      </c>
      <c r="N388" s="8">
        <v>27.07</v>
      </c>
      <c r="O388" s="6" t="s">
        <v>3944</v>
      </c>
    </row>
    <row r="389" spans="1:36" ht="15" customHeight="1" x14ac:dyDescent="0.2">
      <c r="A389" s="7" t="s">
        <v>3905</v>
      </c>
      <c r="B389" s="7">
        <v>19681796</v>
      </c>
      <c r="D389" s="8">
        <v>957196323</v>
      </c>
      <c r="E389" s="8" t="str">
        <f>CONCATENATE(D389,9)</f>
        <v>9571963239</v>
      </c>
      <c r="F389" s="8" t="s">
        <v>2432</v>
      </c>
      <c r="G389" s="8">
        <v>194.06</v>
      </c>
      <c r="H389" s="8">
        <v>20250301</v>
      </c>
      <c r="I389" s="8" t="str">
        <f t="shared" si="31"/>
        <v>3/1/2025</v>
      </c>
      <c r="J389" s="8">
        <v>20250101</v>
      </c>
      <c r="K389" s="8" t="str">
        <f t="shared" si="32"/>
        <v>1/1/2025</v>
      </c>
      <c r="L389" s="8" t="s">
        <v>980</v>
      </c>
      <c r="M389" s="8">
        <v>0.18</v>
      </c>
      <c r="N389" s="8">
        <v>34.93</v>
      </c>
      <c r="O389" s="6" t="s">
        <v>3944</v>
      </c>
    </row>
    <row r="390" spans="1:36" ht="15" customHeight="1" x14ac:dyDescent="0.2">
      <c r="A390" s="7" t="s">
        <v>3905</v>
      </c>
      <c r="B390" s="7">
        <v>19681796</v>
      </c>
      <c r="D390" s="8">
        <v>957195975</v>
      </c>
      <c r="E390" s="8" t="str">
        <f>CONCATENATE(D390,9)</f>
        <v>9571959759</v>
      </c>
      <c r="F390" s="8" t="s">
        <v>2424</v>
      </c>
      <c r="G390" s="8">
        <v>203.06</v>
      </c>
      <c r="H390" s="8">
        <v>20250401</v>
      </c>
      <c r="I390" s="8" t="str">
        <f t="shared" si="31"/>
        <v>4/1/2025</v>
      </c>
      <c r="J390" s="8">
        <v>20250101</v>
      </c>
      <c r="K390" s="8" t="str">
        <f t="shared" si="32"/>
        <v>1/1/2025</v>
      </c>
      <c r="L390" s="8" t="s">
        <v>980</v>
      </c>
      <c r="M390" s="8">
        <v>0.18</v>
      </c>
      <c r="N390" s="8">
        <v>36.549999999999997</v>
      </c>
      <c r="O390" s="6" t="s">
        <v>3944</v>
      </c>
    </row>
    <row r="391" spans="1:36" ht="15" customHeight="1" x14ac:dyDescent="0.2">
      <c r="A391" s="7" t="s">
        <v>3905</v>
      </c>
      <c r="B391" s="7">
        <v>19681796</v>
      </c>
      <c r="D391" s="8">
        <v>957195975</v>
      </c>
      <c r="E391" s="8" t="str">
        <f>CONCATENATE(D391,9)</f>
        <v>9571959759</v>
      </c>
      <c r="F391" s="8" t="s">
        <v>2424</v>
      </c>
      <c r="G391" s="8">
        <v>203.06</v>
      </c>
      <c r="H391" s="8">
        <v>20250301</v>
      </c>
      <c r="I391" s="8" t="str">
        <f t="shared" si="31"/>
        <v>3/1/2025</v>
      </c>
      <c r="J391" s="8">
        <v>20250101</v>
      </c>
      <c r="K391" s="8" t="str">
        <f t="shared" si="32"/>
        <v>1/1/2025</v>
      </c>
      <c r="L391" s="8" t="s">
        <v>980</v>
      </c>
      <c r="M391" s="8">
        <v>0.18</v>
      </c>
      <c r="N391" s="8">
        <v>36.549999999999997</v>
      </c>
      <c r="O391" s="6" t="s">
        <v>3944</v>
      </c>
    </row>
    <row r="392" spans="1:36" ht="15" customHeight="1" x14ac:dyDescent="0.2">
      <c r="A392" s="7" t="s">
        <v>3905</v>
      </c>
      <c r="B392" s="7">
        <v>19681796</v>
      </c>
      <c r="D392" s="8">
        <v>957187354</v>
      </c>
      <c r="E392" s="8" t="str">
        <f>CONCATENATE(D392,0)</f>
        <v>9571873540</v>
      </c>
      <c r="F392" s="8" t="s">
        <v>2414</v>
      </c>
      <c r="G392" s="8">
        <v>238.74</v>
      </c>
      <c r="H392" s="8">
        <v>20250301</v>
      </c>
      <c r="I392" s="8" t="str">
        <f t="shared" si="31"/>
        <v>3/1/2025</v>
      </c>
      <c r="J392" s="8">
        <v>20250101</v>
      </c>
      <c r="K392" s="8" t="str">
        <f t="shared" si="32"/>
        <v>1/1/2025</v>
      </c>
      <c r="L392" s="8" t="s">
        <v>959</v>
      </c>
      <c r="M392" s="8">
        <v>0.09</v>
      </c>
      <c r="N392" s="8">
        <v>21.49</v>
      </c>
      <c r="O392" s="12" t="s">
        <v>3941</v>
      </c>
    </row>
    <row r="393" spans="1:36" ht="15" customHeight="1" x14ac:dyDescent="0.2">
      <c r="A393" s="7" t="s">
        <v>3905</v>
      </c>
      <c r="B393" s="7">
        <v>19681796</v>
      </c>
      <c r="D393" s="8">
        <v>957199460</v>
      </c>
      <c r="E393" s="8" t="str">
        <f>CONCATENATE(D393,0)</f>
        <v>9571994600</v>
      </c>
      <c r="F393" s="8" t="s">
        <v>2440</v>
      </c>
      <c r="G393" s="8">
        <v>254.73</v>
      </c>
      <c r="H393" s="8">
        <v>20250301</v>
      </c>
      <c r="I393" s="8" t="str">
        <f t="shared" si="31"/>
        <v>3/1/2025</v>
      </c>
      <c r="J393" s="8">
        <v>20250101</v>
      </c>
      <c r="K393" s="8" t="str">
        <f t="shared" si="32"/>
        <v>1/1/2025</v>
      </c>
      <c r="L393" s="8" t="s">
        <v>959</v>
      </c>
      <c r="M393" s="8">
        <v>0.09</v>
      </c>
      <c r="N393" s="8">
        <v>22.93</v>
      </c>
      <c r="O393" s="12" t="s">
        <v>3941</v>
      </c>
    </row>
    <row r="394" spans="1:36" ht="15" customHeight="1" x14ac:dyDescent="0.2">
      <c r="A394" s="7" t="s">
        <v>3905</v>
      </c>
      <c r="B394" s="7">
        <v>19681796</v>
      </c>
      <c r="D394" s="8">
        <v>957190406</v>
      </c>
      <c r="E394" s="8" t="str">
        <f>CONCATENATE(D394,0)</f>
        <v>9571904060</v>
      </c>
      <c r="F394" s="8" t="s">
        <v>2416</v>
      </c>
      <c r="G394" s="8">
        <v>276.86</v>
      </c>
      <c r="H394" s="8">
        <v>20250401</v>
      </c>
      <c r="I394" s="8" t="str">
        <f t="shared" si="31"/>
        <v>4/1/2025</v>
      </c>
      <c r="J394" s="8">
        <v>20250101</v>
      </c>
      <c r="K394" s="8" t="str">
        <f t="shared" si="32"/>
        <v>1/1/2025</v>
      </c>
      <c r="L394" s="8" t="s">
        <v>959</v>
      </c>
      <c r="M394" s="8">
        <v>0.09</v>
      </c>
      <c r="N394" s="8">
        <v>24.92</v>
      </c>
      <c r="O394" s="12" t="s">
        <v>3941</v>
      </c>
    </row>
    <row r="395" spans="1:36" ht="15" customHeight="1" x14ac:dyDescent="0.2">
      <c r="A395" s="7" t="s">
        <v>3905</v>
      </c>
      <c r="B395" s="7">
        <v>19681796</v>
      </c>
      <c r="D395" s="8">
        <v>957200323</v>
      </c>
      <c r="E395" s="8" t="str">
        <f>CONCATENATE(D395,0)</f>
        <v>9572003230</v>
      </c>
      <c r="F395" s="8" t="s">
        <v>2444</v>
      </c>
      <c r="G395" s="8">
        <v>311.47000000000003</v>
      </c>
      <c r="H395" s="8">
        <v>20250301</v>
      </c>
      <c r="I395" s="8" t="str">
        <f t="shared" si="31"/>
        <v>3/1/2025</v>
      </c>
      <c r="J395" s="8">
        <v>20250101</v>
      </c>
      <c r="K395" s="8" t="str">
        <f t="shared" si="32"/>
        <v>1/1/2025</v>
      </c>
      <c r="L395" s="8" t="s">
        <v>959</v>
      </c>
      <c r="M395" s="8">
        <v>0.09</v>
      </c>
      <c r="N395" s="8">
        <v>28.03</v>
      </c>
      <c r="O395" s="12" t="s">
        <v>3941</v>
      </c>
    </row>
    <row r="396" spans="1:36" ht="15" customHeight="1" x14ac:dyDescent="0.2">
      <c r="A396" s="10" t="s">
        <v>3936</v>
      </c>
      <c r="B396" s="10">
        <v>21435997</v>
      </c>
      <c r="C396" s="11">
        <v>1</v>
      </c>
      <c r="D396" s="11">
        <v>921779838</v>
      </c>
      <c r="E396" s="8" t="str">
        <f>CONCATENATE(D396,33)</f>
        <v>92177983833</v>
      </c>
      <c r="F396" s="11" t="s">
        <v>3887</v>
      </c>
      <c r="G396" s="8">
        <v>1</v>
      </c>
      <c r="H396" s="11">
        <v>20250401</v>
      </c>
      <c r="I396" s="8" t="str">
        <f t="shared" si="31"/>
        <v>4/1/2025</v>
      </c>
      <c r="J396" s="11">
        <v>20250301</v>
      </c>
      <c r="K396" s="8" t="str">
        <f t="shared" si="32"/>
        <v>3/1/2025</v>
      </c>
      <c r="L396" s="11" t="s">
        <v>198</v>
      </c>
      <c r="M396" s="11">
        <v>20</v>
      </c>
      <c r="N396" s="11">
        <v>20</v>
      </c>
      <c r="O396" s="6" t="s">
        <v>3950</v>
      </c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</row>
    <row r="397" spans="1:36" ht="15" customHeight="1" x14ac:dyDescent="0.2">
      <c r="A397" s="7" t="s">
        <v>3893</v>
      </c>
      <c r="B397" s="7">
        <v>17437820</v>
      </c>
      <c r="C397" s="8">
        <v>1</v>
      </c>
      <c r="D397" s="8">
        <v>890172002</v>
      </c>
      <c r="E397" s="8" t="str">
        <f t="shared" ref="E397:E425" si="33">CONCATENATE(D397,22)</f>
        <v>89017200222</v>
      </c>
      <c r="F397" s="8" t="s">
        <v>526</v>
      </c>
      <c r="G397" s="8">
        <v>1</v>
      </c>
      <c r="H397" s="8">
        <v>20250401</v>
      </c>
      <c r="I397" s="8" t="str">
        <f t="shared" si="31"/>
        <v>4/1/2025</v>
      </c>
      <c r="J397" s="8">
        <v>20150301</v>
      </c>
      <c r="K397" s="8" t="str">
        <f t="shared" si="32"/>
        <v>3/1/2015</v>
      </c>
      <c r="L397" s="8" t="s">
        <v>56</v>
      </c>
      <c r="M397" s="8">
        <v>20</v>
      </c>
      <c r="N397" s="8">
        <v>20</v>
      </c>
      <c r="O397" s="6" t="s">
        <v>3947</v>
      </c>
    </row>
    <row r="398" spans="1:36" ht="15" customHeight="1" x14ac:dyDescent="0.2">
      <c r="A398" s="7" t="s">
        <v>3893</v>
      </c>
      <c r="B398" s="7">
        <v>17437820</v>
      </c>
      <c r="C398" s="8">
        <v>1</v>
      </c>
      <c r="D398" s="8">
        <v>890328011</v>
      </c>
      <c r="E398" s="8" t="str">
        <f t="shared" si="33"/>
        <v>89032801122</v>
      </c>
      <c r="F398" s="8" t="s">
        <v>528</v>
      </c>
      <c r="G398" s="8">
        <v>1</v>
      </c>
      <c r="H398" s="8">
        <v>20250401</v>
      </c>
      <c r="I398" s="8" t="str">
        <f t="shared" si="31"/>
        <v>4/1/2025</v>
      </c>
      <c r="J398" s="8">
        <v>20160101</v>
      </c>
      <c r="K398" s="8" t="str">
        <f t="shared" si="32"/>
        <v>1/1/2016</v>
      </c>
      <c r="L398" s="8" t="s">
        <v>56</v>
      </c>
      <c r="M398" s="8">
        <v>20</v>
      </c>
      <c r="N398" s="8">
        <v>20</v>
      </c>
      <c r="O398" s="6" t="s">
        <v>3947</v>
      </c>
    </row>
    <row r="399" spans="1:36" ht="15" customHeight="1" x14ac:dyDescent="0.2">
      <c r="A399" s="7" t="s">
        <v>3893</v>
      </c>
      <c r="B399" s="7">
        <v>17437820</v>
      </c>
      <c r="C399" s="8">
        <v>1</v>
      </c>
      <c r="D399" s="8">
        <v>890666927</v>
      </c>
      <c r="E399" s="8" t="str">
        <f t="shared" si="33"/>
        <v>89066692722</v>
      </c>
      <c r="F399" s="8" t="s">
        <v>530</v>
      </c>
      <c r="G399" s="8">
        <v>1</v>
      </c>
      <c r="H399" s="8">
        <v>20250401</v>
      </c>
      <c r="I399" s="8" t="str">
        <f t="shared" si="31"/>
        <v>4/1/2025</v>
      </c>
      <c r="J399" s="8">
        <v>20180101</v>
      </c>
      <c r="K399" s="8" t="str">
        <f t="shared" si="32"/>
        <v>1/1/2018</v>
      </c>
      <c r="L399" s="8" t="s">
        <v>56</v>
      </c>
      <c r="M399" s="8">
        <v>20</v>
      </c>
      <c r="N399" s="8">
        <v>20</v>
      </c>
      <c r="O399" s="6" t="s">
        <v>3947</v>
      </c>
    </row>
    <row r="400" spans="1:36" ht="15" customHeight="1" x14ac:dyDescent="0.2">
      <c r="A400" s="7" t="s">
        <v>3893</v>
      </c>
      <c r="B400" s="7">
        <v>17437820</v>
      </c>
      <c r="C400" s="8">
        <v>1</v>
      </c>
      <c r="D400" s="8">
        <v>920740081</v>
      </c>
      <c r="E400" s="8" t="str">
        <f t="shared" si="33"/>
        <v>92074008122</v>
      </c>
      <c r="F400" s="8" t="s">
        <v>533</v>
      </c>
      <c r="G400" s="8">
        <v>1</v>
      </c>
      <c r="H400" s="8">
        <v>20250401</v>
      </c>
      <c r="I400" s="8" t="str">
        <f t="shared" si="31"/>
        <v>4/1/2025</v>
      </c>
      <c r="J400" s="8">
        <v>20200101</v>
      </c>
      <c r="K400" s="8" t="str">
        <f t="shared" si="32"/>
        <v>1/1/2020</v>
      </c>
      <c r="L400" s="8" t="s">
        <v>56</v>
      </c>
      <c r="M400" s="8">
        <v>20</v>
      </c>
      <c r="N400" s="8">
        <v>20</v>
      </c>
      <c r="O400" s="6" t="s">
        <v>3947</v>
      </c>
    </row>
    <row r="401" spans="1:16" ht="15" customHeight="1" x14ac:dyDescent="0.2">
      <c r="A401" s="7" t="s">
        <v>3893</v>
      </c>
      <c r="B401" s="7">
        <v>17437820</v>
      </c>
      <c r="C401" s="8">
        <v>1</v>
      </c>
      <c r="D401" s="8">
        <v>920870350</v>
      </c>
      <c r="E401" s="8" t="str">
        <f t="shared" si="33"/>
        <v>92087035022</v>
      </c>
      <c r="F401" s="8" t="s">
        <v>547</v>
      </c>
      <c r="G401" s="8">
        <v>1</v>
      </c>
      <c r="H401" s="8">
        <v>20250401</v>
      </c>
      <c r="I401" s="8" t="str">
        <f t="shared" si="31"/>
        <v>4/1/2025</v>
      </c>
      <c r="J401" s="8">
        <v>20180601</v>
      </c>
      <c r="K401" s="8" t="str">
        <f t="shared" si="32"/>
        <v>6/1/2018</v>
      </c>
      <c r="L401" s="8" t="s">
        <v>56</v>
      </c>
      <c r="M401" s="8">
        <v>20</v>
      </c>
      <c r="N401" s="8">
        <v>20</v>
      </c>
      <c r="O401" s="6" t="s">
        <v>3947</v>
      </c>
    </row>
    <row r="402" spans="1:16" ht="15" customHeight="1" x14ac:dyDescent="0.2">
      <c r="A402" s="7" t="s">
        <v>3893</v>
      </c>
      <c r="B402" s="7">
        <v>17437820</v>
      </c>
      <c r="C402" s="8">
        <v>1</v>
      </c>
      <c r="D402" s="8">
        <v>921022343</v>
      </c>
      <c r="E402" s="8" t="str">
        <f t="shared" si="33"/>
        <v>92102234322</v>
      </c>
      <c r="F402" s="8" t="s">
        <v>553</v>
      </c>
      <c r="G402" s="8">
        <v>1</v>
      </c>
      <c r="H402" s="8">
        <v>20250401</v>
      </c>
      <c r="I402" s="8" t="str">
        <f t="shared" si="31"/>
        <v>4/1/2025</v>
      </c>
      <c r="J402" s="8">
        <v>20190101</v>
      </c>
      <c r="K402" s="8" t="str">
        <f t="shared" si="32"/>
        <v>1/1/2019</v>
      </c>
      <c r="L402" s="8" t="s">
        <v>56</v>
      </c>
      <c r="M402" s="8">
        <v>20</v>
      </c>
      <c r="N402" s="8">
        <v>20</v>
      </c>
      <c r="O402" s="6" t="s">
        <v>3947</v>
      </c>
    </row>
    <row r="403" spans="1:16" ht="15" customHeight="1" x14ac:dyDescent="0.2">
      <c r="A403" s="7" t="s">
        <v>3893</v>
      </c>
      <c r="B403" s="7">
        <v>17437820</v>
      </c>
      <c r="C403" s="8">
        <v>1</v>
      </c>
      <c r="D403" s="8">
        <v>921149201</v>
      </c>
      <c r="E403" s="8" t="str">
        <f t="shared" si="33"/>
        <v>92114920122</v>
      </c>
      <c r="F403" s="8" t="s">
        <v>566</v>
      </c>
      <c r="G403" s="8">
        <v>1</v>
      </c>
      <c r="H403" s="8">
        <v>20250401</v>
      </c>
      <c r="I403" s="8" t="str">
        <f t="shared" si="31"/>
        <v>4/1/2025</v>
      </c>
      <c r="J403" s="8">
        <v>20200901</v>
      </c>
      <c r="K403" s="8" t="str">
        <f t="shared" si="32"/>
        <v>9/1/2020</v>
      </c>
      <c r="L403" s="8" t="s">
        <v>56</v>
      </c>
      <c r="M403" s="8">
        <v>20</v>
      </c>
      <c r="N403" s="8">
        <v>20</v>
      </c>
      <c r="O403" s="6" t="s">
        <v>3947</v>
      </c>
    </row>
    <row r="404" spans="1:16" ht="15" customHeight="1" x14ac:dyDescent="0.2">
      <c r="A404" s="7" t="s">
        <v>3893</v>
      </c>
      <c r="B404" s="7">
        <v>17437820</v>
      </c>
      <c r="C404" s="8">
        <v>1</v>
      </c>
      <c r="D404" s="8">
        <v>921168158</v>
      </c>
      <c r="E404" s="8" t="str">
        <f t="shared" si="33"/>
        <v>92116815822</v>
      </c>
      <c r="F404" s="8" t="s">
        <v>570</v>
      </c>
      <c r="G404" s="8">
        <v>1</v>
      </c>
      <c r="H404" s="8">
        <v>20250401</v>
      </c>
      <c r="I404" s="8" t="str">
        <f t="shared" si="31"/>
        <v>4/1/2025</v>
      </c>
      <c r="J404" s="8">
        <v>20221001</v>
      </c>
      <c r="K404" s="8" t="str">
        <f t="shared" si="32"/>
        <v>10/1/2022</v>
      </c>
      <c r="L404" s="8" t="s">
        <v>56</v>
      </c>
      <c r="M404" s="8">
        <v>20</v>
      </c>
      <c r="N404" s="8">
        <v>20</v>
      </c>
      <c r="O404" s="6" t="s">
        <v>3947</v>
      </c>
    </row>
    <row r="405" spans="1:16" ht="15" customHeight="1" x14ac:dyDescent="0.2">
      <c r="A405" s="7" t="s">
        <v>3893</v>
      </c>
      <c r="B405" s="7">
        <v>17437820</v>
      </c>
      <c r="C405" s="8">
        <v>1</v>
      </c>
      <c r="D405" s="8">
        <v>921533063</v>
      </c>
      <c r="E405" s="8" t="str">
        <f t="shared" si="33"/>
        <v>92153306322</v>
      </c>
      <c r="F405" s="8" t="s">
        <v>588</v>
      </c>
      <c r="G405" s="8">
        <v>1</v>
      </c>
      <c r="H405" s="8">
        <v>20250301</v>
      </c>
      <c r="I405" s="8" t="str">
        <f t="shared" si="31"/>
        <v>3/1/2025</v>
      </c>
      <c r="J405" s="8">
        <v>20201101</v>
      </c>
      <c r="K405" s="8" t="str">
        <f t="shared" si="32"/>
        <v>11/1/2020</v>
      </c>
      <c r="L405" s="8" t="s">
        <v>56</v>
      </c>
      <c r="M405" s="8">
        <v>20</v>
      </c>
      <c r="N405" s="8">
        <v>20</v>
      </c>
      <c r="O405" s="6" t="s">
        <v>3947</v>
      </c>
    </row>
    <row r="406" spans="1:16" ht="15" customHeight="1" x14ac:dyDescent="0.2">
      <c r="A406" s="7" t="s">
        <v>3893</v>
      </c>
      <c r="B406" s="7">
        <v>17437820</v>
      </c>
      <c r="C406" s="8">
        <v>1</v>
      </c>
      <c r="D406" s="8">
        <v>921542300</v>
      </c>
      <c r="E406" s="8" t="str">
        <f t="shared" si="33"/>
        <v>92154230022</v>
      </c>
      <c r="F406" s="8" t="s">
        <v>590</v>
      </c>
      <c r="G406" s="8">
        <v>1</v>
      </c>
      <c r="H406" s="8">
        <v>20250401</v>
      </c>
      <c r="I406" s="8" t="str">
        <f t="shared" si="31"/>
        <v>4/1/2025</v>
      </c>
      <c r="J406" s="8">
        <v>20210101</v>
      </c>
      <c r="K406" s="8" t="str">
        <f t="shared" si="32"/>
        <v>1/1/2021</v>
      </c>
      <c r="L406" s="8" t="s">
        <v>56</v>
      </c>
      <c r="M406" s="8">
        <v>20</v>
      </c>
      <c r="N406" s="8">
        <v>20</v>
      </c>
      <c r="O406" s="6" t="s">
        <v>3947</v>
      </c>
    </row>
    <row r="407" spans="1:16" ht="15" customHeight="1" x14ac:dyDescent="0.2">
      <c r="A407" s="7" t="s">
        <v>3893</v>
      </c>
      <c r="B407" s="7">
        <v>17437820</v>
      </c>
      <c r="C407" s="8">
        <v>1</v>
      </c>
      <c r="D407" s="8">
        <v>921566327</v>
      </c>
      <c r="E407" s="8" t="str">
        <f t="shared" si="33"/>
        <v>92156632722</v>
      </c>
      <c r="F407" s="8" t="s">
        <v>592</v>
      </c>
      <c r="G407" s="8">
        <v>1</v>
      </c>
      <c r="H407" s="8">
        <v>20250401</v>
      </c>
      <c r="I407" s="8" t="str">
        <f t="shared" si="31"/>
        <v>4/1/2025</v>
      </c>
      <c r="J407" s="8">
        <v>20210501</v>
      </c>
      <c r="K407" s="8" t="str">
        <f t="shared" si="32"/>
        <v>5/1/2021</v>
      </c>
      <c r="L407" s="8" t="s">
        <v>56</v>
      </c>
      <c r="M407" s="8">
        <v>20</v>
      </c>
      <c r="N407" s="8">
        <v>20</v>
      </c>
      <c r="O407" s="6" t="s">
        <v>3947</v>
      </c>
    </row>
    <row r="408" spans="1:16" ht="15" customHeight="1" x14ac:dyDescent="0.2">
      <c r="A408" s="7" t="s">
        <v>3893</v>
      </c>
      <c r="B408" s="7">
        <v>17437820</v>
      </c>
      <c r="C408" s="8">
        <v>1</v>
      </c>
      <c r="D408" s="8">
        <v>921613688</v>
      </c>
      <c r="E408" s="8" t="str">
        <f t="shared" si="33"/>
        <v>92161368822</v>
      </c>
      <c r="F408" s="8" t="s">
        <v>604</v>
      </c>
      <c r="G408" s="8">
        <v>1</v>
      </c>
      <c r="H408" s="8">
        <v>20250401</v>
      </c>
      <c r="I408" s="8" t="str">
        <f t="shared" si="31"/>
        <v>4/1/2025</v>
      </c>
      <c r="J408" s="8">
        <v>20220601</v>
      </c>
      <c r="K408" s="8" t="str">
        <f t="shared" si="32"/>
        <v>6/1/2022</v>
      </c>
      <c r="L408" s="8" t="s">
        <v>56</v>
      </c>
      <c r="M408" s="8">
        <v>20</v>
      </c>
      <c r="N408" s="8">
        <v>20</v>
      </c>
      <c r="O408" s="6" t="s">
        <v>3947</v>
      </c>
    </row>
    <row r="409" spans="1:16" ht="15" customHeight="1" x14ac:dyDescent="0.2">
      <c r="A409" s="7" t="s">
        <v>3893</v>
      </c>
      <c r="B409" s="7">
        <v>17437820</v>
      </c>
      <c r="C409" s="8">
        <v>1</v>
      </c>
      <c r="D409" s="8">
        <v>921641428</v>
      </c>
      <c r="E409" s="8" t="str">
        <f t="shared" si="33"/>
        <v>92164142822</v>
      </c>
      <c r="F409" s="8" t="s">
        <v>609</v>
      </c>
      <c r="G409" s="8">
        <v>1</v>
      </c>
      <c r="H409" s="8">
        <v>20250401</v>
      </c>
      <c r="I409" s="8" t="str">
        <f t="shared" si="31"/>
        <v>4/1/2025</v>
      </c>
      <c r="J409" s="8">
        <v>20230101</v>
      </c>
      <c r="K409" s="8" t="str">
        <f t="shared" si="32"/>
        <v>1/1/2023</v>
      </c>
      <c r="L409" s="8" t="s">
        <v>56</v>
      </c>
      <c r="M409" s="8">
        <v>20</v>
      </c>
      <c r="N409" s="8">
        <v>20</v>
      </c>
      <c r="O409" s="6" t="s">
        <v>3947</v>
      </c>
    </row>
    <row r="410" spans="1:16" ht="15" customHeight="1" x14ac:dyDescent="0.2">
      <c r="A410" s="7" t="s">
        <v>3893</v>
      </c>
      <c r="B410" s="7">
        <v>17437820</v>
      </c>
      <c r="C410" s="8">
        <v>1</v>
      </c>
      <c r="D410" s="8">
        <v>921662308</v>
      </c>
      <c r="E410" s="8" t="str">
        <f t="shared" si="33"/>
        <v>92166230822</v>
      </c>
      <c r="F410" s="8" t="s">
        <v>613</v>
      </c>
      <c r="G410" s="8">
        <v>1</v>
      </c>
      <c r="H410" s="8">
        <v>20250401</v>
      </c>
      <c r="I410" s="8" t="str">
        <f t="shared" si="31"/>
        <v>4/1/2025</v>
      </c>
      <c r="J410" s="8">
        <v>20230701</v>
      </c>
      <c r="K410" s="8" t="str">
        <f t="shared" si="32"/>
        <v>7/1/2023</v>
      </c>
      <c r="L410" s="8" t="s">
        <v>56</v>
      </c>
      <c r="M410" s="8">
        <v>20</v>
      </c>
      <c r="N410" s="8">
        <v>20</v>
      </c>
      <c r="O410" s="6" t="s">
        <v>3947</v>
      </c>
    </row>
    <row r="411" spans="1:16" ht="15" customHeight="1" x14ac:dyDescent="0.2">
      <c r="A411" s="7" t="s">
        <v>3893</v>
      </c>
      <c r="B411" s="7">
        <v>17437820</v>
      </c>
      <c r="C411" s="8">
        <v>1</v>
      </c>
      <c r="D411" s="8">
        <v>921662432</v>
      </c>
      <c r="E411" s="8" t="str">
        <f t="shared" si="33"/>
        <v>92166243222</v>
      </c>
      <c r="F411" s="8" t="s">
        <v>615</v>
      </c>
      <c r="G411" s="8">
        <v>1</v>
      </c>
      <c r="H411" s="8">
        <v>20250401</v>
      </c>
      <c r="I411" s="8" t="str">
        <f t="shared" si="31"/>
        <v>4/1/2025</v>
      </c>
      <c r="J411" s="8">
        <v>20230701</v>
      </c>
      <c r="K411" s="8" t="str">
        <f t="shared" si="32"/>
        <v>7/1/2023</v>
      </c>
      <c r="L411" s="8" t="s">
        <v>56</v>
      </c>
      <c r="M411" s="8">
        <v>20</v>
      </c>
      <c r="N411" s="8">
        <v>20</v>
      </c>
      <c r="O411" s="6" t="s">
        <v>3947</v>
      </c>
    </row>
    <row r="412" spans="1:16" ht="15" customHeight="1" x14ac:dyDescent="0.2">
      <c r="A412" s="7" t="s">
        <v>3893</v>
      </c>
      <c r="B412" s="7">
        <v>17437820</v>
      </c>
      <c r="C412" s="8">
        <v>2</v>
      </c>
      <c r="D412" s="8">
        <v>920781642</v>
      </c>
      <c r="E412" s="8" t="str">
        <f t="shared" si="33"/>
        <v>92078164222</v>
      </c>
      <c r="F412" s="8" t="s">
        <v>535</v>
      </c>
      <c r="G412" s="8">
        <v>1</v>
      </c>
      <c r="H412" s="8">
        <v>20250301</v>
      </c>
      <c r="I412" s="8" t="str">
        <f t="shared" si="31"/>
        <v>3/1/2025</v>
      </c>
      <c r="J412" s="8">
        <v>20140201</v>
      </c>
      <c r="K412" s="8" t="str">
        <f t="shared" si="32"/>
        <v>2/1/2014</v>
      </c>
      <c r="L412" s="8" t="s">
        <v>56</v>
      </c>
      <c r="M412" s="8">
        <v>20</v>
      </c>
      <c r="N412" s="8">
        <v>40</v>
      </c>
      <c r="O412" s="6" t="s">
        <v>3947</v>
      </c>
      <c r="P412" s="6" t="s">
        <v>3952</v>
      </c>
    </row>
    <row r="413" spans="1:16" ht="15" customHeight="1" x14ac:dyDescent="0.2">
      <c r="A413" s="7" t="s">
        <v>3893</v>
      </c>
      <c r="B413" s="7">
        <v>17437820</v>
      </c>
      <c r="C413" s="8">
        <v>2</v>
      </c>
      <c r="D413" s="8">
        <v>921421818</v>
      </c>
      <c r="E413" s="8" t="str">
        <f t="shared" si="33"/>
        <v>92142181822</v>
      </c>
      <c r="F413" s="8" t="s">
        <v>579</v>
      </c>
      <c r="G413" s="8">
        <v>1</v>
      </c>
      <c r="H413" s="8">
        <v>20250401</v>
      </c>
      <c r="I413" s="8" t="str">
        <f t="shared" si="31"/>
        <v>4/1/2025</v>
      </c>
      <c r="J413" s="8">
        <v>20191001</v>
      </c>
      <c r="K413" s="8" t="str">
        <f t="shared" si="32"/>
        <v>10/1/2019</v>
      </c>
      <c r="L413" s="8" t="s">
        <v>56</v>
      </c>
      <c r="M413" s="8">
        <v>20</v>
      </c>
      <c r="N413" s="8">
        <v>40</v>
      </c>
      <c r="O413" s="6" t="s">
        <v>3947</v>
      </c>
      <c r="P413" s="6" t="s">
        <v>3952</v>
      </c>
    </row>
    <row r="414" spans="1:16" ht="15" customHeight="1" x14ac:dyDescent="0.2">
      <c r="A414" s="7" t="s">
        <v>3893</v>
      </c>
      <c r="B414" s="7">
        <v>17437820</v>
      </c>
      <c r="C414" s="8">
        <v>2</v>
      </c>
      <c r="D414" s="8">
        <v>921570655</v>
      </c>
      <c r="E414" s="8" t="str">
        <f t="shared" si="33"/>
        <v>92157065522</v>
      </c>
      <c r="F414" s="8" t="s">
        <v>594</v>
      </c>
      <c r="G414" s="8">
        <v>1</v>
      </c>
      <c r="H414" s="8">
        <v>20250401</v>
      </c>
      <c r="I414" s="8" t="str">
        <f t="shared" si="31"/>
        <v>4/1/2025</v>
      </c>
      <c r="J414" s="8">
        <v>20210601</v>
      </c>
      <c r="K414" s="8" t="str">
        <f t="shared" si="32"/>
        <v>6/1/2021</v>
      </c>
      <c r="L414" s="8" t="s">
        <v>56</v>
      </c>
      <c r="M414" s="8">
        <v>20</v>
      </c>
      <c r="N414" s="8">
        <v>40</v>
      </c>
      <c r="O414" s="6" t="s">
        <v>3947</v>
      </c>
      <c r="P414" s="6" t="s">
        <v>3952</v>
      </c>
    </row>
    <row r="415" spans="1:16" ht="15" customHeight="1" x14ac:dyDescent="0.2">
      <c r="A415" s="7" t="s">
        <v>3893</v>
      </c>
      <c r="B415" s="7">
        <v>17437820</v>
      </c>
      <c r="C415" s="8">
        <v>4</v>
      </c>
      <c r="D415" s="8">
        <v>890008999</v>
      </c>
      <c r="E415" s="8" t="str">
        <f t="shared" si="33"/>
        <v>89000899922</v>
      </c>
      <c r="F415" s="8" t="s">
        <v>521</v>
      </c>
      <c r="G415" s="8">
        <v>1</v>
      </c>
      <c r="H415" s="8">
        <v>20250401</v>
      </c>
      <c r="I415" s="8" t="str">
        <f t="shared" si="31"/>
        <v>4/1/2025</v>
      </c>
      <c r="J415" s="8">
        <v>20200101</v>
      </c>
      <c r="K415" s="8" t="str">
        <f t="shared" si="32"/>
        <v>1/1/2020</v>
      </c>
      <c r="L415" s="8" t="s">
        <v>56</v>
      </c>
      <c r="M415" s="8">
        <v>20</v>
      </c>
      <c r="N415" s="8">
        <v>80</v>
      </c>
      <c r="O415" s="6" t="s">
        <v>3947</v>
      </c>
      <c r="P415" s="6" t="s">
        <v>3954</v>
      </c>
    </row>
    <row r="416" spans="1:16" ht="15" customHeight="1" x14ac:dyDescent="0.2">
      <c r="A416" s="7" t="s">
        <v>3893</v>
      </c>
      <c r="B416" s="7">
        <v>17437820</v>
      </c>
      <c r="C416" s="8">
        <v>4</v>
      </c>
      <c r="D416" s="8">
        <v>921703384</v>
      </c>
      <c r="E416" s="8" t="str">
        <f t="shared" si="33"/>
        <v>92170338422</v>
      </c>
      <c r="F416" s="8" t="s">
        <v>617</v>
      </c>
      <c r="G416" s="8">
        <v>1</v>
      </c>
      <c r="H416" s="8">
        <v>20250401</v>
      </c>
      <c r="I416" s="8" t="str">
        <f t="shared" si="31"/>
        <v>4/1/2025</v>
      </c>
      <c r="J416" s="8">
        <v>20240101</v>
      </c>
      <c r="K416" s="8" t="str">
        <f t="shared" si="32"/>
        <v>1/1/2024</v>
      </c>
      <c r="L416" s="8" t="s">
        <v>56</v>
      </c>
      <c r="M416" s="8">
        <v>20</v>
      </c>
      <c r="N416" s="8">
        <v>80</v>
      </c>
      <c r="O416" s="6" t="s">
        <v>3947</v>
      </c>
      <c r="P416" s="6" t="s">
        <v>3954</v>
      </c>
    </row>
    <row r="417" spans="1:37" ht="15" customHeight="1" x14ac:dyDescent="0.2">
      <c r="A417" s="7" t="s">
        <v>3893</v>
      </c>
      <c r="B417" s="7">
        <v>17437820</v>
      </c>
      <c r="C417" s="8">
        <v>1</v>
      </c>
      <c r="D417" s="8">
        <v>921587253</v>
      </c>
      <c r="E417" s="8" t="str">
        <f t="shared" si="33"/>
        <v>92158725322</v>
      </c>
      <c r="F417" s="8" t="s">
        <v>598</v>
      </c>
      <c r="G417" s="8">
        <v>1</v>
      </c>
      <c r="H417" s="8">
        <v>20250301</v>
      </c>
      <c r="I417" s="8" t="str">
        <f t="shared" si="31"/>
        <v>3/1/2025</v>
      </c>
      <c r="J417" s="8">
        <v>20250201</v>
      </c>
      <c r="K417" s="8" t="str">
        <f t="shared" si="32"/>
        <v>2/1/2025</v>
      </c>
      <c r="L417" s="8" t="s">
        <v>56</v>
      </c>
      <c r="M417" s="8">
        <v>25</v>
      </c>
      <c r="N417" s="8">
        <v>25</v>
      </c>
      <c r="O417" s="6" t="s">
        <v>3947</v>
      </c>
    </row>
    <row r="418" spans="1:37" ht="15" customHeight="1" x14ac:dyDescent="0.2">
      <c r="A418" s="7" t="s">
        <v>3893</v>
      </c>
      <c r="B418" s="7">
        <v>17437820</v>
      </c>
      <c r="C418" s="8">
        <v>1</v>
      </c>
      <c r="D418" s="8">
        <v>921656679</v>
      </c>
      <c r="E418" s="8" t="str">
        <f t="shared" si="33"/>
        <v>92165667922</v>
      </c>
      <c r="F418" s="8" t="s">
        <v>611</v>
      </c>
      <c r="G418" s="8">
        <v>1</v>
      </c>
      <c r="H418" s="8">
        <v>20250401</v>
      </c>
      <c r="I418" s="8" t="str">
        <f t="shared" si="31"/>
        <v>4/1/2025</v>
      </c>
      <c r="J418" s="8">
        <v>20240501</v>
      </c>
      <c r="K418" s="8" t="str">
        <f t="shared" si="32"/>
        <v>5/1/2024</v>
      </c>
      <c r="L418" s="8" t="s">
        <v>56</v>
      </c>
      <c r="M418" s="8">
        <v>25</v>
      </c>
      <c r="N418" s="8">
        <v>25</v>
      </c>
      <c r="O418" s="6" t="s">
        <v>3947</v>
      </c>
    </row>
    <row r="419" spans="1:37" ht="15" customHeight="1" x14ac:dyDescent="0.2">
      <c r="A419" s="7" t="s">
        <v>3893</v>
      </c>
      <c r="B419" s="7">
        <v>17437820</v>
      </c>
      <c r="C419" s="8">
        <v>1</v>
      </c>
      <c r="D419" s="8">
        <v>921656679</v>
      </c>
      <c r="E419" s="8" t="str">
        <f t="shared" si="33"/>
        <v>92165667922</v>
      </c>
      <c r="F419" s="8" t="s">
        <v>611</v>
      </c>
      <c r="G419" s="8">
        <v>1</v>
      </c>
      <c r="H419" s="8">
        <v>20250301</v>
      </c>
      <c r="I419" s="8" t="str">
        <f t="shared" si="31"/>
        <v>3/1/2025</v>
      </c>
      <c r="J419" s="8">
        <v>20240501</v>
      </c>
      <c r="K419" s="8" t="str">
        <f t="shared" si="32"/>
        <v>5/1/2024</v>
      </c>
      <c r="L419" s="8" t="s">
        <v>56</v>
      </c>
      <c r="M419" s="8">
        <v>25</v>
      </c>
      <c r="N419" s="8">
        <v>25</v>
      </c>
      <c r="O419" s="6" t="s">
        <v>3947</v>
      </c>
    </row>
    <row r="420" spans="1:37" ht="15" customHeight="1" x14ac:dyDescent="0.2">
      <c r="A420" s="7" t="s">
        <v>3893</v>
      </c>
      <c r="B420" s="7">
        <v>17437820</v>
      </c>
      <c r="C420" s="8">
        <v>1</v>
      </c>
      <c r="D420" s="8">
        <v>921738200</v>
      </c>
      <c r="E420" s="8" t="str">
        <f t="shared" si="33"/>
        <v>92173820022</v>
      </c>
      <c r="F420" s="8" t="s">
        <v>624</v>
      </c>
      <c r="G420" s="8">
        <v>1</v>
      </c>
      <c r="H420" s="8">
        <v>20250401</v>
      </c>
      <c r="I420" s="8" t="str">
        <f t="shared" si="31"/>
        <v>4/1/2025</v>
      </c>
      <c r="J420" s="8">
        <v>20240901</v>
      </c>
      <c r="K420" s="8" t="str">
        <f t="shared" si="32"/>
        <v>9/1/2024</v>
      </c>
      <c r="L420" s="8" t="s">
        <v>56</v>
      </c>
      <c r="M420" s="8">
        <v>25</v>
      </c>
      <c r="N420" s="8">
        <v>25</v>
      </c>
      <c r="O420" s="6" t="s">
        <v>3947</v>
      </c>
    </row>
    <row r="421" spans="1:37" ht="15" customHeight="1" x14ac:dyDescent="0.2">
      <c r="A421" s="7" t="s">
        <v>3893</v>
      </c>
      <c r="B421" s="7">
        <v>17437820</v>
      </c>
      <c r="C421" s="8">
        <v>2</v>
      </c>
      <c r="D421" s="8">
        <v>921715790</v>
      </c>
      <c r="E421" s="8" t="str">
        <f t="shared" si="33"/>
        <v>92171579022</v>
      </c>
      <c r="F421" s="8" t="s">
        <v>619</v>
      </c>
      <c r="G421" s="8">
        <v>1</v>
      </c>
      <c r="H421" s="8">
        <v>20250401</v>
      </c>
      <c r="I421" s="8" t="str">
        <f t="shared" si="31"/>
        <v>4/1/2025</v>
      </c>
      <c r="J421" s="8">
        <v>20240401</v>
      </c>
      <c r="K421" s="8" t="str">
        <f t="shared" si="32"/>
        <v>4/1/2024</v>
      </c>
      <c r="L421" s="8" t="s">
        <v>56</v>
      </c>
      <c r="M421" s="8">
        <v>25</v>
      </c>
      <c r="N421" s="8">
        <v>50</v>
      </c>
      <c r="O421" s="6" t="s">
        <v>3947</v>
      </c>
      <c r="P421" s="6" t="s">
        <v>3952</v>
      </c>
    </row>
    <row r="422" spans="1:37" ht="15" customHeight="1" x14ac:dyDescent="0.2">
      <c r="A422" s="7" t="s">
        <v>3893</v>
      </c>
      <c r="B422" s="7">
        <v>17437820</v>
      </c>
      <c r="C422" s="8">
        <v>2</v>
      </c>
      <c r="D422" s="8">
        <v>921734761</v>
      </c>
      <c r="E422" s="8" t="str">
        <f t="shared" si="33"/>
        <v>92173476122</v>
      </c>
      <c r="F422" s="8" t="s">
        <v>622</v>
      </c>
      <c r="G422" s="8">
        <v>1</v>
      </c>
      <c r="H422" s="8">
        <v>20250401</v>
      </c>
      <c r="I422" s="8" t="str">
        <f t="shared" si="31"/>
        <v>4/1/2025</v>
      </c>
      <c r="J422" s="8">
        <v>20240801</v>
      </c>
      <c r="K422" s="8" t="str">
        <f t="shared" si="32"/>
        <v>8/1/2024</v>
      </c>
      <c r="L422" s="8" t="s">
        <v>56</v>
      </c>
      <c r="M422" s="8">
        <v>25</v>
      </c>
      <c r="N422" s="8">
        <v>50</v>
      </c>
      <c r="O422" s="6" t="s">
        <v>3947</v>
      </c>
      <c r="P422" s="6" t="s">
        <v>3952</v>
      </c>
    </row>
    <row r="423" spans="1:37" ht="15" customHeight="1" x14ac:dyDescent="0.2">
      <c r="A423" s="7" t="s">
        <v>3893</v>
      </c>
      <c r="B423" s="7">
        <v>17437820</v>
      </c>
      <c r="C423" s="8">
        <v>2</v>
      </c>
      <c r="D423" s="8">
        <v>921751990</v>
      </c>
      <c r="E423" s="8" t="str">
        <f t="shared" si="33"/>
        <v>92175199022</v>
      </c>
      <c r="F423" s="8" t="s">
        <v>626</v>
      </c>
      <c r="G423" s="8">
        <v>1</v>
      </c>
      <c r="H423" s="8">
        <v>20250401</v>
      </c>
      <c r="I423" s="8" t="str">
        <f t="shared" si="31"/>
        <v>4/1/2025</v>
      </c>
      <c r="J423" s="8">
        <v>20250101</v>
      </c>
      <c r="K423" s="8" t="str">
        <f t="shared" si="32"/>
        <v>1/1/2025</v>
      </c>
      <c r="L423" s="8" t="s">
        <v>56</v>
      </c>
      <c r="M423" s="8">
        <v>25</v>
      </c>
      <c r="N423" s="8">
        <v>50</v>
      </c>
      <c r="O423" s="6" t="s">
        <v>3947</v>
      </c>
      <c r="P423" s="6" t="s">
        <v>3952</v>
      </c>
    </row>
    <row r="424" spans="1:37" ht="15" customHeight="1" x14ac:dyDescent="0.2">
      <c r="A424" s="7" t="s">
        <v>3893</v>
      </c>
      <c r="B424" s="7">
        <v>17437820</v>
      </c>
      <c r="C424" s="8">
        <v>5</v>
      </c>
      <c r="D424" s="8">
        <v>921593368</v>
      </c>
      <c r="E424" s="8" t="str">
        <f t="shared" si="33"/>
        <v>92159336822</v>
      </c>
      <c r="F424" s="8" t="s">
        <v>602</v>
      </c>
      <c r="G424" s="8">
        <v>1</v>
      </c>
      <c r="H424" s="8">
        <v>20250401</v>
      </c>
      <c r="I424" s="8" t="str">
        <f t="shared" si="31"/>
        <v>4/1/2025</v>
      </c>
      <c r="J424" s="8">
        <v>20250201</v>
      </c>
      <c r="K424" s="8" t="str">
        <f t="shared" si="32"/>
        <v>2/1/2025</v>
      </c>
      <c r="L424" s="8" t="s">
        <v>56</v>
      </c>
      <c r="M424" s="8">
        <v>25</v>
      </c>
      <c r="N424" s="8">
        <v>125</v>
      </c>
      <c r="O424" s="6" t="s">
        <v>3947</v>
      </c>
      <c r="P424" s="6" t="s">
        <v>3955</v>
      </c>
    </row>
    <row r="425" spans="1:37" ht="15" customHeight="1" x14ac:dyDescent="0.2">
      <c r="A425" s="7" t="s">
        <v>3893</v>
      </c>
      <c r="B425" s="7">
        <v>17437820</v>
      </c>
      <c r="C425" s="8">
        <v>5</v>
      </c>
      <c r="D425" s="8">
        <v>921593368</v>
      </c>
      <c r="E425" s="8" t="str">
        <f t="shared" si="33"/>
        <v>92159336822</v>
      </c>
      <c r="F425" s="8" t="s">
        <v>602</v>
      </c>
      <c r="G425" s="8">
        <v>1</v>
      </c>
      <c r="H425" s="8">
        <v>20250301</v>
      </c>
      <c r="I425" s="8" t="str">
        <f t="shared" si="31"/>
        <v>3/1/2025</v>
      </c>
      <c r="J425" s="8">
        <v>20250201</v>
      </c>
      <c r="K425" s="8" t="str">
        <f t="shared" si="32"/>
        <v>2/1/2025</v>
      </c>
      <c r="L425" s="8" t="s">
        <v>56</v>
      </c>
      <c r="M425" s="8">
        <v>25</v>
      </c>
      <c r="N425" s="8">
        <v>125</v>
      </c>
      <c r="O425" s="6" t="s">
        <v>3947</v>
      </c>
      <c r="P425" s="6" t="s">
        <v>3955</v>
      </c>
    </row>
    <row r="426" spans="1:37" ht="15" customHeight="1" x14ac:dyDescent="0.2">
      <c r="A426" s="7" t="s">
        <v>3893</v>
      </c>
      <c r="B426" s="7">
        <v>17437820</v>
      </c>
      <c r="C426" s="8">
        <v>1</v>
      </c>
      <c r="D426" s="8">
        <v>920843306</v>
      </c>
      <c r="E426" s="8" t="str">
        <f>CONCATENATE(D426,33)</f>
        <v>92084330633</v>
      </c>
      <c r="F426" s="8" t="s">
        <v>543</v>
      </c>
      <c r="G426" s="8">
        <v>1</v>
      </c>
      <c r="H426" s="8">
        <v>20250401</v>
      </c>
      <c r="I426" s="8" t="str">
        <f t="shared" si="31"/>
        <v>4/1/2025</v>
      </c>
      <c r="J426" s="8">
        <v>20140401</v>
      </c>
      <c r="K426" s="8" t="str">
        <f t="shared" si="32"/>
        <v>4/1/2014</v>
      </c>
      <c r="L426" s="8" t="s">
        <v>198</v>
      </c>
      <c r="M426" s="8">
        <v>15</v>
      </c>
      <c r="N426" s="8">
        <v>15</v>
      </c>
      <c r="O426" s="6" t="s">
        <v>3950</v>
      </c>
    </row>
    <row r="427" spans="1:37" ht="15" customHeight="1" x14ac:dyDescent="0.2">
      <c r="A427" s="7" t="s">
        <v>3893</v>
      </c>
      <c r="B427" s="7">
        <v>17437820</v>
      </c>
      <c r="C427" s="8">
        <v>1</v>
      </c>
      <c r="D427" s="8">
        <v>921532153</v>
      </c>
      <c r="E427" s="8" t="str">
        <f>CONCATENATE(D427,33)</f>
        <v>92153215333</v>
      </c>
      <c r="F427" s="8" t="s">
        <v>586</v>
      </c>
      <c r="G427" s="8">
        <v>1</v>
      </c>
      <c r="H427" s="8">
        <v>20250401</v>
      </c>
      <c r="I427" s="8" t="str">
        <f t="shared" si="31"/>
        <v>4/1/2025</v>
      </c>
      <c r="J427" s="8">
        <v>20250101</v>
      </c>
      <c r="K427" s="8" t="str">
        <f t="shared" si="32"/>
        <v>1/1/2025</v>
      </c>
      <c r="L427" s="8" t="s">
        <v>198</v>
      </c>
      <c r="M427" s="8">
        <v>20</v>
      </c>
      <c r="N427" s="8">
        <v>20</v>
      </c>
      <c r="O427" s="6" t="s">
        <v>3950</v>
      </c>
      <c r="AK427" s="12"/>
    </row>
    <row r="428" spans="1:37" ht="15" customHeight="1" x14ac:dyDescent="0.2">
      <c r="A428" s="7" t="s">
        <v>3893</v>
      </c>
      <c r="B428" s="7">
        <v>17437820</v>
      </c>
      <c r="C428" s="8">
        <v>3</v>
      </c>
      <c r="D428" s="8">
        <v>921753579</v>
      </c>
      <c r="E428" s="8" t="str">
        <f>CONCATENATE(D428,33)</f>
        <v>92175357933</v>
      </c>
      <c r="F428" s="8" t="s">
        <v>628</v>
      </c>
      <c r="G428" s="8">
        <v>1</v>
      </c>
      <c r="H428" s="8">
        <v>20250401</v>
      </c>
      <c r="I428" s="8" t="str">
        <f t="shared" si="31"/>
        <v>4/1/2025</v>
      </c>
      <c r="J428" s="8">
        <v>20250101</v>
      </c>
      <c r="K428" s="8" t="str">
        <f t="shared" si="32"/>
        <v>1/1/2025</v>
      </c>
      <c r="L428" s="8" t="s">
        <v>198</v>
      </c>
      <c r="M428" s="8">
        <v>20</v>
      </c>
      <c r="N428" s="8">
        <v>60</v>
      </c>
      <c r="O428" s="6" t="s">
        <v>3950</v>
      </c>
      <c r="P428" s="6" t="s">
        <v>3953</v>
      </c>
    </row>
    <row r="429" spans="1:37" ht="15" customHeight="1" x14ac:dyDescent="0.3">
      <c r="A429" s="7" t="s">
        <v>3893</v>
      </c>
      <c r="B429" s="7">
        <v>17437820</v>
      </c>
      <c r="C429" s="8">
        <v>1</v>
      </c>
      <c r="D429" s="8">
        <v>921065097</v>
      </c>
      <c r="E429" s="8" t="str">
        <f t="shared" ref="E429:E437" si="34">CONCATENATE(D429,44)</f>
        <v>92106509744</v>
      </c>
      <c r="F429" s="8" t="s">
        <v>558</v>
      </c>
      <c r="G429" s="8">
        <v>1</v>
      </c>
      <c r="H429" s="8">
        <v>20250401</v>
      </c>
      <c r="I429" s="8" t="str">
        <f t="shared" si="31"/>
        <v>4/1/2025</v>
      </c>
      <c r="J429" s="8">
        <v>20150201</v>
      </c>
      <c r="K429" s="8" t="str">
        <f t="shared" si="32"/>
        <v>2/1/2015</v>
      </c>
      <c r="L429" s="8" t="s">
        <v>65</v>
      </c>
      <c r="M429" s="8">
        <v>25</v>
      </c>
      <c r="N429" s="8">
        <v>25</v>
      </c>
      <c r="O429" s="14" t="s">
        <v>3948</v>
      </c>
    </row>
    <row r="430" spans="1:37" ht="15" customHeight="1" x14ac:dyDescent="0.3">
      <c r="A430" s="7" t="s">
        <v>3893</v>
      </c>
      <c r="B430" s="7">
        <v>17437820</v>
      </c>
      <c r="C430" s="8">
        <v>1</v>
      </c>
      <c r="D430" s="8">
        <v>921194798</v>
      </c>
      <c r="E430" s="8" t="str">
        <f t="shared" si="34"/>
        <v>92119479844</v>
      </c>
      <c r="F430" s="8" t="s">
        <v>572</v>
      </c>
      <c r="G430" s="8">
        <v>1</v>
      </c>
      <c r="H430" s="8">
        <v>20250401</v>
      </c>
      <c r="I430" s="8" t="str">
        <f t="shared" si="31"/>
        <v>4/1/2025</v>
      </c>
      <c r="J430" s="8">
        <v>20231101</v>
      </c>
      <c r="K430" s="8" t="str">
        <f t="shared" si="32"/>
        <v>11/1/2023</v>
      </c>
      <c r="L430" s="8" t="s">
        <v>65</v>
      </c>
      <c r="M430" s="8">
        <v>25</v>
      </c>
      <c r="N430" s="8">
        <v>25</v>
      </c>
      <c r="O430" s="14" t="s">
        <v>3948</v>
      </c>
    </row>
    <row r="431" spans="1:37" ht="15" customHeight="1" x14ac:dyDescent="0.3">
      <c r="A431" s="7" t="s">
        <v>3893</v>
      </c>
      <c r="B431" s="7">
        <v>17437820</v>
      </c>
      <c r="C431" s="8">
        <v>1</v>
      </c>
      <c r="D431" s="8">
        <v>921616642</v>
      </c>
      <c r="E431" s="8" t="str">
        <f t="shared" si="34"/>
        <v>92161664244</v>
      </c>
      <c r="F431" s="8" t="s">
        <v>606</v>
      </c>
      <c r="G431" s="8">
        <v>1</v>
      </c>
      <c r="H431" s="8">
        <v>20250401</v>
      </c>
      <c r="I431" s="8" t="str">
        <f t="shared" si="31"/>
        <v>4/1/2025</v>
      </c>
      <c r="J431" s="8">
        <v>20220701</v>
      </c>
      <c r="K431" s="8" t="str">
        <f t="shared" si="32"/>
        <v>7/1/2022</v>
      </c>
      <c r="L431" s="8" t="s">
        <v>65</v>
      </c>
      <c r="M431" s="8">
        <v>25</v>
      </c>
      <c r="N431" s="8">
        <v>25</v>
      </c>
      <c r="O431" s="14" t="s">
        <v>3948</v>
      </c>
    </row>
    <row r="432" spans="1:37" ht="15" customHeight="1" x14ac:dyDescent="0.3">
      <c r="A432" s="7" t="s">
        <v>3893</v>
      </c>
      <c r="B432" s="7">
        <v>17437820</v>
      </c>
      <c r="C432" s="8">
        <v>2</v>
      </c>
      <c r="D432" s="8">
        <v>921529579</v>
      </c>
      <c r="E432" s="8" t="str">
        <f t="shared" si="34"/>
        <v>92152957944</v>
      </c>
      <c r="F432" s="8" t="s">
        <v>583</v>
      </c>
      <c r="G432" s="8">
        <v>1</v>
      </c>
      <c r="H432" s="8">
        <v>20250301</v>
      </c>
      <c r="I432" s="8" t="str">
        <f t="shared" si="31"/>
        <v>3/1/2025</v>
      </c>
      <c r="J432" s="8">
        <v>20200901</v>
      </c>
      <c r="K432" s="8" t="str">
        <f t="shared" si="32"/>
        <v>9/1/2020</v>
      </c>
      <c r="L432" s="8" t="s">
        <v>65</v>
      </c>
      <c r="M432" s="8">
        <v>25</v>
      </c>
      <c r="N432" s="8">
        <v>50</v>
      </c>
      <c r="O432" s="14" t="s">
        <v>3948</v>
      </c>
      <c r="P432" s="6" t="s">
        <v>3952</v>
      </c>
    </row>
    <row r="433" spans="1:16" ht="15" customHeight="1" x14ac:dyDescent="0.3">
      <c r="A433" s="7" t="s">
        <v>3893</v>
      </c>
      <c r="B433" s="7">
        <v>17437820</v>
      </c>
      <c r="C433" s="8">
        <v>5</v>
      </c>
      <c r="D433" s="8">
        <v>920936858</v>
      </c>
      <c r="E433" s="8" t="str">
        <f t="shared" si="34"/>
        <v>92093685844</v>
      </c>
      <c r="F433" s="8" t="s">
        <v>551</v>
      </c>
      <c r="G433" s="8">
        <v>1</v>
      </c>
      <c r="H433" s="8">
        <v>20250401</v>
      </c>
      <c r="I433" s="8" t="str">
        <f t="shared" si="31"/>
        <v>4/1/2025</v>
      </c>
      <c r="J433" s="8">
        <v>20210501</v>
      </c>
      <c r="K433" s="8" t="str">
        <f t="shared" si="32"/>
        <v>5/1/2021</v>
      </c>
      <c r="L433" s="8" t="s">
        <v>65</v>
      </c>
      <c r="M433" s="8">
        <v>25</v>
      </c>
      <c r="N433" s="8">
        <v>125</v>
      </c>
      <c r="O433" s="14" t="s">
        <v>3948</v>
      </c>
      <c r="P433" s="6" t="s">
        <v>3955</v>
      </c>
    </row>
    <row r="434" spans="1:16" ht="15" customHeight="1" x14ac:dyDescent="0.3">
      <c r="A434" s="7" t="s">
        <v>3893</v>
      </c>
      <c r="B434" s="7">
        <v>17437820</v>
      </c>
      <c r="C434" s="6">
        <v>-1</v>
      </c>
      <c r="D434" s="8">
        <v>920811116</v>
      </c>
      <c r="E434" s="8" t="str">
        <f t="shared" si="34"/>
        <v>92081111644</v>
      </c>
      <c r="F434" s="8" t="s">
        <v>540</v>
      </c>
      <c r="G434" s="8">
        <v>-1</v>
      </c>
      <c r="H434" s="8">
        <v>20250301</v>
      </c>
      <c r="I434" s="8" t="str">
        <f t="shared" si="31"/>
        <v>3/1/2025</v>
      </c>
      <c r="J434" s="8">
        <v>20240101</v>
      </c>
      <c r="K434" s="8" t="str">
        <f t="shared" si="32"/>
        <v>1/1/2024</v>
      </c>
      <c r="L434" s="8" t="s">
        <v>65</v>
      </c>
      <c r="M434" s="8">
        <v>25</v>
      </c>
      <c r="N434" s="8">
        <v>-125</v>
      </c>
      <c r="O434" s="14" t="s">
        <v>3948</v>
      </c>
      <c r="P434" s="6" t="s">
        <v>3955</v>
      </c>
    </row>
    <row r="435" spans="1:16" ht="15" customHeight="1" x14ac:dyDescent="0.3">
      <c r="A435" s="7" t="s">
        <v>3893</v>
      </c>
      <c r="B435" s="7">
        <v>17437820</v>
      </c>
      <c r="C435" s="8">
        <v>1</v>
      </c>
      <c r="D435" s="8">
        <v>921571517</v>
      </c>
      <c r="E435" s="8" t="str">
        <f t="shared" si="34"/>
        <v>92157151744</v>
      </c>
      <c r="F435" s="8" t="s">
        <v>596</v>
      </c>
      <c r="G435" s="8">
        <v>1</v>
      </c>
      <c r="H435" s="8">
        <v>20250301</v>
      </c>
      <c r="I435" s="8" t="str">
        <f t="shared" si="31"/>
        <v>3/1/2025</v>
      </c>
      <c r="J435" s="8">
        <v>20240901</v>
      </c>
      <c r="K435" s="8" t="str">
        <f t="shared" si="32"/>
        <v>9/1/2024</v>
      </c>
      <c r="L435" s="8" t="s">
        <v>65</v>
      </c>
      <c r="M435" s="8">
        <v>30</v>
      </c>
      <c r="N435" s="8">
        <v>30</v>
      </c>
      <c r="O435" s="14" t="s">
        <v>3948</v>
      </c>
    </row>
    <row r="436" spans="1:16" ht="15" customHeight="1" x14ac:dyDescent="0.3">
      <c r="A436" s="7" t="s">
        <v>3893</v>
      </c>
      <c r="B436" s="7">
        <v>17437820</v>
      </c>
      <c r="C436" s="8">
        <v>1</v>
      </c>
      <c r="D436" s="8">
        <v>921779887</v>
      </c>
      <c r="E436" s="8" t="str">
        <f t="shared" si="34"/>
        <v>92177988744</v>
      </c>
      <c r="F436" s="8" t="s">
        <v>632</v>
      </c>
      <c r="G436" s="8">
        <v>1</v>
      </c>
      <c r="H436" s="8">
        <v>20250401</v>
      </c>
      <c r="I436" s="8" t="str">
        <f t="shared" si="31"/>
        <v>4/1/2025</v>
      </c>
      <c r="J436" s="8">
        <v>20250301</v>
      </c>
      <c r="K436" s="8" t="str">
        <f t="shared" si="32"/>
        <v>3/1/2025</v>
      </c>
      <c r="L436" s="8" t="s">
        <v>65</v>
      </c>
      <c r="M436" s="8">
        <v>30</v>
      </c>
      <c r="N436" s="8">
        <v>30</v>
      </c>
      <c r="O436" s="14" t="s">
        <v>3948</v>
      </c>
    </row>
    <row r="437" spans="1:16" ht="15" customHeight="1" x14ac:dyDescent="0.3">
      <c r="A437" s="7" t="s">
        <v>3893</v>
      </c>
      <c r="B437" s="7">
        <v>17437820</v>
      </c>
      <c r="C437" s="8">
        <v>2</v>
      </c>
      <c r="D437" s="8">
        <v>921778314</v>
      </c>
      <c r="E437" s="8" t="str">
        <f t="shared" si="34"/>
        <v>92177831444</v>
      </c>
      <c r="F437" s="8" t="s">
        <v>630</v>
      </c>
      <c r="G437" s="8">
        <v>1</v>
      </c>
      <c r="H437" s="8">
        <v>20250401</v>
      </c>
      <c r="I437" s="8" t="str">
        <f t="shared" si="31"/>
        <v>4/1/2025</v>
      </c>
      <c r="J437" s="8">
        <v>20250301</v>
      </c>
      <c r="K437" s="8" t="str">
        <f t="shared" si="32"/>
        <v>3/1/2025</v>
      </c>
      <c r="L437" s="8" t="s">
        <v>65</v>
      </c>
      <c r="M437" s="8">
        <v>30</v>
      </c>
      <c r="N437" s="8">
        <v>60</v>
      </c>
      <c r="O437" s="14" t="s">
        <v>3948</v>
      </c>
      <c r="P437" s="6" t="s">
        <v>3952</v>
      </c>
    </row>
    <row r="438" spans="1:16" ht="15" customHeight="1" x14ac:dyDescent="0.2">
      <c r="A438" s="7" t="s">
        <v>3893</v>
      </c>
      <c r="B438" s="7">
        <v>17437820</v>
      </c>
      <c r="C438" s="8">
        <v>1</v>
      </c>
      <c r="D438" s="8">
        <v>921101342</v>
      </c>
      <c r="E438" s="8" t="str">
        <f>CONCATENATE(D438,55)</f>
        <v>92110134255</v>
      </c>
      <c r="F438" s="8" t="s">
        <v>564</v>
      </c>
      <c r="G438" s="8">
        <v>1</v>
      </c>
      <c r="H438" s="8">
        <v>20250401</v>
      </c>
      <c r="I438" s="8" t="str">
        <f t="shared" si="31"/>
        <v>4/1/2025</v>
      </c>
      <c r="J438" s="8">
        <v>20210101</v>
      </c>
      <c r="K438" s="8" t="str">
        <f t="shared" si="32"/>
        <v>1/1/2021</v>
      </c>
      <c r="L438" s="8" t="s">
        <v>138</v>
      </c>
      <c r="M438" s="8">
        <v>20</v>
      </c>
      <c r="N438" s="8">
        <v>20</v>
      </c>
      <c r="O438" s="6" t="s">
        <v>3946</v>
      </c>
    </row>
    <row r="439" spans="1:16" ht="15" customHeight="1" x14ac:dyDescent="0.2">
      <c r="A439" s="7" t="s">
        <v>3893</v>
      </c>
      <c r="B439" s="7">
        <v>17437820</v>
      </c>
      <c r="C439" s="8">
        <v>2</v>
      </c>
      <c r="D439" s="8">
        <v>921271595</v>
      </c>
      <c r="E439" s="8" t="str">
        <f>CONCATENATE(D439,55)</f>
        <v>92127159555</v>
      </c>
      <c r="F439" s="8" t="s">
        <v>576</v>
      </c>
      <c r="G439" s="8">
        <v>1</v>
      </c>
      <c r="H439" s="8">
        <v>20250301</v>
      </c>
      <c r="I439" s="8" t="str">
        <f t="shared" si="31"/>
        <v>3/1/2025</v>
      </c>
      <c r="J439" s="8">
        <v>20230501</v>
      </c>
      <c r="K439" s="8" t="str">
        <f t="shared" si="32"/>
        <v>5/1/2023</v>
      </c>
      <c r="L439" s="8" t="s">
        <v>138</v>
      </c>
      <c r="M439" s="8">
        <v>20</v>
      </c>
      <c r="N439" s="8">
        <v>40</v>
      </c>
      <c r="O439" s="6" t="s">
        <v>3946</v>
      </c>
      <c r="P439" s="6" t="s">
        <v>3952</v>
      </c>
    </row>
    <row r="440" spans="1:16" ht="15" customHeight="1" x14ac:dyDescent="0.2">
      <c r="A440" s="7" t="s">
        <v>3893</v>
      </c>
      <c r="B440" s="7">
        <v>17437820</v>
      </c>
      <c r="C440" s="8">
        <v>1</v>
      </c>
      <c r="D440" s="8">
        <v>921588661</v>
      </c>
      <c r="E440" s="8" t="str">
        <f>CONCATENATE(D440,55)</f>
        <v>92158866155</v>
      </c>
      <c r="F440" s="8" t="s">
        <v>600</v>
      </c>
      <c r="G440" s="8">
        <v>1</v>
      </c>
      <c r="H440" s="8">
        <v>20250401</v>
      </c>
      <c r="I440" s="8" t="str">
        <f t="shared" si="31"/>
        <v>4/1/2025</v>
      </c>
      <c r="J440" s="8">
        <v>20241201</v>
      </c>
      <c r="K440" s="8" t="str">
        <f t="shared" si="32"/>
        <v>12/1/2024</v>
      </c>
      <c r="L440" s="8" t="s">
        <v>138</v>
      </c>
      <c r="M440" s="8">
        <v>25</v>
      </c>
      <c r="N440" s="8">
        <v>25</v>
      </c>
      <c r="O440" s="6" t="s">
        <v>3946</v>
      </c>
    </row>
    <row r="441" spans="1:16" ht="15" customHeight="1" x14ac:dyDescent="0.2">
      <c r="A441" s="7" t="s">
        <v>3893</v>
      </c>
      <c r="B441" s="7">
        <v>17437820</v>
      </c>
      <c r="D441" s="8">
        <v>921022343</v>
      </c>
      <c r="E441" s="8" t="str">
        <f>CONCATENATE(1,D441)</f>
        <v>1921022343</v>
      </c>
      <c r="F441" s="8" t="s">
        <v>553</v>
      </c>
      <c r="G441" s="8">
        <v>23.98</v>
      </c>
      <c r="H441" s="8">
        <v>20250401</v>
      </c>
      <c r="I441" s="8" t="str">
        <f t="shared" si="31"/>
        <v>4/1/2025</v>
      </c>
      <c r="J441" s="8">
        <v>20250101</v>
      </c>
      <c r="K441" s="8" t="str">
        <f t="shared" si="32"/>
        <v>1/1/2025</v>
      </c>
      <c r="L441" s="8" t="s">
        <v>116</v>
      </c>
      <c r="M441" s="8">
        <v>0.04</v>
      </c>
      <c r="N441" s="8">
        <v>0.96</v>
      </c>
      <c r="O441" s="6" t="s">
        <v>3938</v>
      </c>
    </row>
    <row r="442" spans="1:16" ht="15" customHeight="1" x14ac:dyDescent="0.2">
      <c r="A442" s="7" t="s">
        <v>3893</v>
      </c>
      <c r="B442" s="7">
        <v>17437820</v>
      </c>
      <c r="D442" s="8">
        <v>890008999</v>
      </c>
      <c r="E442" s="8" t="str">
        <f>CONCATENATE(1,D442)</f>
        <v>1890008999</v>
      </c>
      <c r="F442" s="8" t="s">
        <v>521</v>
      </c>
      <c r="G442" s="8">
        <v>107.02</v>
      </c>
      <c r="H442" s="8">
        <v>20250401</v>
      </c>
      <c r="I442" s="8" t="str">
        <f t="shared" si="31"/>
        <v>4/1/2025</v>
      </c>
      <c r="J442" s="8">
        <v>20250101</v>
      </c>
      <c r="K442" s="8" t="str">
        <f t="shared" si="32"/>
        <v>1/1/2025</v>
      </c>
      <c r="L442" s="8" t="s">
        <v>116</v>
      </c>
      <c r="M442" s="8">
        <v>0.04</v>
      </c>
      <c r="N442" s="8">
        <v>4.28</v>
      </c>
      <c r="O442" s="6" t="s">
        <v>3938</v>
      </c>
    </row>
    <row r="443" spans="1:16" ht="15" customHeight="1" x14ac:dyDescent="0.2">
      <c r="A443" s="7" t="s">
        <v>3893</v>
      </c>
      <c r="B443" s="7">
        <v>17437820</v>
      </c>
      <c r="D443" s="8">
        <v>921065097</v>
      </c>
      <c r="E443" s="8" t="str">
        <f>CONCATENATE(1,D443)</f>
        <v>1921065097</v>
      </c>
      <c r="F443" s="8" t="s">
        <v>558</v>
      </c>
      <c r="G443" s="8">
        <v>35.729999999999997</v>
      </c>
      <c r="H443" s="8">
        <v>20250401</v>
      </c>
      <c r="I443" s="8" t="str">
        <f t="shared" si="31"/>
        <v>4/1/2025</v>
      </c>
      <c r="J443" s="8">
        <v>20250101</v>
      </c>
      <c r="K443" s="8" t="str">
        <f t="shared" si="32"/>
        <v>1/1/2025</v>
      </c>
      <c r="L443" s="8" t="s">
        <v>116</v>
      </c>
      <c r="M443" s="8">
        <v>0.06</v>
      </c>
      <c r="N443" s="8">
        <v>2.14</v>
      </c>
      <c r="O443" s="6" t="s">
        <v>3938</v>
      </c>
    </row>
    <row r="444" spans="1:16" ht="15" customHeight="1" x14ac:dyDescent="0.2">
      <c r="A444" s="7" t="s">
        <v>3920</v>
      </c>
      <c r="B444" s="7">
        <v>8325282</v>
      </c>
      <c r="D444" s="8">
        <v>957206103</v>
      </c>
      <c r="E444" s="8" t="str">
        <f>CONCATENATE(D444,1)</f>
        <v>9572061031</v>
      </c>
      <c r="F444" s="8" t="s">
        <v>3376</v>
      </c>
      <c r="G444" s="8">
        <v>160.11000000000001</v>
      </c>
      <c r="H444" s="8">
        <v>20250401</v>
      </c>
      <c r="I444" s="8" t="str">
        <f t="shared" si="31"/>
        <v>4/1/2025</v>
      </c>
      <c r="J444" s="8">
        <v>20250301</v>
      </c>
      <c r="K444" s="8" t="str">
        <f t="shared" si="32"/>
        <v>3/1/2025</v>
      </c>
      <c r="L444" s="8" t="s">
        <v>398</v>
      </c>
      <c r="M444" s="8">
        <v>0.125</v>
      </c>
      <c r="N444" s="8">
        <v>20.010000000000002</v>
      </c>
      <c r="O444" s="6" t="s">
        <v>3943</v>
      </c>
    </row>
    <row r="445" spans="1:16" ht="15" customHeight="1" x14ac:dyDescent="0.2">
      <c r="A445" s="7" t="s">
        <v>3920</v>
      </c>
      <c r="B445" s="7">
        <v>8325282</v>
      </c>
      <c r="C445" s="8">
        <v>1</v>
      </c>
      <c r="D445" s="8">
        <v>890114150</v>
      </c>
      <c r="E445" s="8" t="str">
        <f t="shared" ref="E445:E490" si="35">CONCATENATE(D445,22)</f>
        <v>89011415022</v>
      </c>
      <c r="F445" s="8" t="s">
        <v>3192</v>
      </c>
      <c r="G445" s="8">
        <v>1</v>
      </c>
      <c r="H445" s="8">
        <v>20250401</v>
      </c>
      <c r="I445" s="8" t="str">
        <f t="shared" si="31"/>
        <v>4/1/2025</v>
      </c>
      <c r="J445" s="8">
        <v>20150201</v>
      </c>
      <c r="K445" s="8" t="str">
        <f t="shared" si="32"/>
        <v>2/1/2015</v>
      </c>
      <c r="L445" s="8" t="s">
        <v>56</v>
      </c>
      <c r="M445" s="8">
        <v>20</v>
      </c>
      <c r="N445" s="8">
        <v>20</v>
      </c>
      <c r="O445" s="6" t="s">
        <v>3947</v>
      </c>
    </row>
    <row r="446" spans="1:16" ht="15" customHeight="1" x14ac:dyDescent="0.2">
      <c r="A446" s="7" t="s">
        <v>3920</v>
      </c>
      <c r="B446" s="7">
        <v>8325282</v>
      </c>
      <c r="C446" s="8">
        <v>1</v>
      </c>
      <c r="D446" s="8">
        <v>890114150</v>
      </c>
      <c r="E446" s="8" t="str">
        <f t="shared" si="35"/>
        <v>89011415022</v>
      </c>
      <c r="F446" s="8" t="s">
        <v>3192</v>
      </c>
      <c r="G446" s="8">
        <v>1</v>
      </c>
      <c r="H446" s="8">
        <v>20250301</v>
      </c>
      <c r="I446" s="8" t="str">
        <f t="shared" si="31"/>
        <v>3/1/2025</v>
      </c>
      <c r="J446" s="8">
        <v>20150201</v>
      </c>
      <c r="K446" s="8" t="str">
        <f t="shared" si="32"/>
        <v>2/1/2015</v>
      </c>
      <c r="L446" s="8" t="s">
        <v>56</v>
      </c>
      <c r="M446" s="8">
        <v>20</v>
      </c>
      <c r="N446" s="8">
        <v>20</v>
      </c>
      <c r="O446" s="6" t="s">
        <v>3947</v>
      </c>
    </row>
    <row r="447" spans="1:16" ht="15" customHeight="1" x14ac:dyDescent="0.2">
      <c r="A447" s="7" t="s">
        <v>3920</v>
      </c>
      <c r="B447" s="7">
        <v>8325282</v>
      </c>
      <c r="C447" s="8">
        <v>1</v>
      </c>
      <c r="D447" s="8">
        <v>890282791</v>
      </c>
      <c r="E447" s="8" t="str">
        <f t="shared" si="35"/>
        <v>89028279122</v>
      </c>
      <c r="F447" s="8" t="s">
        <v>3194</v>
      </c>
      <c r="G447" s="8">
        <v>1</v>
      </c>
      <c r="H447" s="8">
        <v>20250401</v>
      </c>
      <c r="I447" s="8" t="str">
        <f t="shared" si="31"/>
        <v>4/1/2025</v>
      </c>
      <c r="J447" s="8">
        <v>20140301</v>
      </c>
      <c r="K447" s="8" t="str">
        <f t="shared" si="32"/>
        <v>3/1/2014</v>
      </c>
      <c r="L447" s="8" t="s">
        <v>56</v>
      </c>
      <c r="M447" s="8">
        <v>20</v>
      </c>
      <c r="N447" s="8">
        <v>20</v>
      </c>
      <c r="O447" s="6" t="s">
        <v>3947</v>
      </c>
    </row>
    <row r="448" spans="1:16" ht="15" customHeight="1" x14ac:dyDescent="0.2">
      <c r="A448" s="7" t="s">
        <v>3920</v>
      </c>
      <c r="B448" s="7">
        <v>8325282</v>
      </c>
      <c r="C448" s="8">
        <v>1</v>
      </c>
      <c r="D448" s="8">
        <v>920809828</v>
      </c>
      <c r="E448" s="8" t="str">
        <f t="shared" si="35"/>
        <v>92080982822</v>
      </c>
      <c r="F448" s="8" t="s">
        <v>3202</v>
      </c>
      <c r="G448" s="8">
        <v>1</v>
      </c>
      <c r="H448" s="8">
        <v>20250401</v>
      </c>
      <c r="I448" s="8" t="str">
        <f t="shared" si="31"/>
        <v>4/1/2025</v>
      </c>
      <c r="J448" s="8">
        <v>20240101</v>
      </c>
      <c r="K448" s="8" t="str">
        <f t="shared" si="32"/>
        <v>1/1/2024</v>
      </c>
      <c r="L448" s="8" t="s">
        <v>56</v>
      </c>
      <c r="M448" s="8">
        <v>20</v>
      </c>
      <c r="N448" s="8">
        <v>20</v>
      </c>
      <c r="O448" s="6" t="s">
        <v>3947</v>
      </c>
    </row>
    <row r="449" spans="1:15" ht="15" customHeight="1" x14ac:dyDescent="0.2">
      <c r="A449" s="7" t="s">
        <v>3920</v>
      </c>
      <c r="B449" s="7">
        <v>8325282</v>
      </c>
      <c r="C449" s="8">
        <v>1</v>
      </c>
      <c r="D449" s="8">
        <v>920809828</v>
      </c>
      <c r="E449" s="8" t="str">
        <f t="shared" si="35"/>
        <v>92080982822</v>
      </c>
      <c r="F449" s="8" t="s">
        <v>3202</v>
      </c>
      <c r="G449" s="8">
        <v>1</v>
      </c>
      <c r="H449" s="8">
        <v>20250301</v>
      </c>
      <c r="I449" s="8" t="str">
        <f t="shared" si="31"/>
        <v>3/1/2025</v>
      </c>
      <c r="J449" s="8">
        <v>20240101</v>
      </c>
      <c r="K449" s="8" t="str">
        <f t="shared" si="32"/>
        <v>1/1/2024</v>
      </c>
      <c r="L449" s="8" t="s">
        <v>56</v>
      </c>
      <c r="M449" s="8">
        <v>20</v>
      </c>
      <c r="N449" s="8">
        <v>20</v>
      </c>
      <c r="O449" s="6" t="s">
        <v>3947</v>
      </c>
    </row>
    <row r="450" spans="1:15" ht="15" customHeight="1" x14ac:dyDescent="0.2">
      <c r="A450" s="7" t="s">
        <v>3920</v>
      </c>
      <c r="B450" s="7">
        <v>8325282</v>
      </c>
      <c r="C450" s="8">
        <v>1</v>
      </c>
      <c r="D450" s="8">
        <v>921096589</v>
      </c>
      <c r="E450" s="8" t="str">
        <f t="shared" si="35"/>
        <v>92109658922</v>
      </c>
      <c r="F450" s="8" t="s">
        <v>3214</v>
      </c>
      <c r="G450" s="8">
        <v>1</v>
      </c>
      <c r="H450" s="8">
        <v>20250401</v>
      </c>
      <c r="I450" s="8" t="str">
        <f t="shared" si="31"/>
        <v>4/1/2025</v>
      </c>
      <c r="J450" s="8">
        <v>20220201</v>
      </c>
      <c r="K450" s="8" t="str">
        <f t="shared" si="32"/>
        <v>2/1/2022</v>
      </c>
      <c r="L450" s="8" t="s">
        <v>56</v>
      </c>
      <c r="M450" s="8">
        <v>20</v>
      </c>
      <c r="N450" s="8">
        <v>20</v>
      </c>
      <c r="O450" s="6" t="s">
        <v>3947</v>
      </c>
    </row>
    <row r="451" spans="1:15" ht="15" customHeight="1" x14ac:dyDescent="0.2">
      <c r="A451" s="7" t="s">
        <v>3920</v>
      </c>
      <c r="B451" s="7">
        <v>8325282</v>
      </c>
      <c r="C451" s="8">
        <v>1</v>
      </c>
      <c r="D451" s="8">
        <v>921147211</v>
      </c>
      <c r="E451" s="8" t="str">
        <f t="shared" si="35"/>
        <v>92114721122</v>
      </c>
      <c r="F451" s="8" t="s">
        <v>3216</v>
      </c>
      <c r="G451" s="8">
        <v>1</v>
      </c>
      <c r="H451" s="8">
        <v>20250401</v>
      </c>
      <c r="I451" s="8" t="str">
        <f t="shared" ref="I451:I514" si="36">TEXT(DATE(LEFT(H451,4), MID(H451,5,2), RIGHT(H451,2)), "M/d/yyyy")</f>
        <v>4/1/2025</v>
      </c>
      <c r="J451" s="8">
        <v>20190101</v>
      </c>
      <c r="K451" s="8" t="str">
        <f t="shared" ref="K451:K514" si="37">TEXT(DATE(LEFT(J451,4), MID(J451,5,2), RIGHT(J451,2)), "M/d/yyyy")</f>
        <v>1/1/2019</v>
      </c>
      <c r="L451" s="8" t="s">
        <v>56</v>
      </c>
      <c r="M451" s="8">
        <v>20</v>
      </c>
      <c r="N451" s="8">
        <v>20</v>
      </c>
      <c r="O451" s="6" t="s">
        <v>3947</v>
      </c>
    </row>
    <row r="452" spans="1:15" ht="15" customHeight="1" x14ac:dyDescent="0.2">
      <c r="A452" s="7" t="s">
        <v>3920</v>
      </c>
      <c r="B452" s="7">
        <v>8325282</v>
      </c>
      <c r="C452" s="8">
        <v>1</v>
      </c>
      <c r="D452" s="8">
        <v>921258054</v>
      </c>
      <c r="E452" s="8" t="str">
        <f t="shared" si="35"/>
        <v>92125805422</v>
      </c>
      <c r="F452" s="8" t="s">
        <v>3218</v>
      </c>
      <c r="G452" s="8">
        <v>1</v>
      </c>
      <c r="H452" s="8">
        <v>20250401</v>
      </c>
      <c r="I452" s="8" t="str">
        <f t="shared" si="36"/>
        <v>4/1/2025</v>
      </c>
      <c r="J452" s="8">
        <v>20230701</v>
      </c>
      <c r="K452" s="8" t="str">
        <f t="shared" si="37"/>
        <v>7/1/2023</v>
      </c>
      <c r="L452" s="8" t="s">
        <v>56</v>
      </c>
      <c r="M452" s="8">
        <v>20</v>
      </c>
      <c r="N452" s="8">
        <v>20</v>
      </c>
      <c r="O452" s="6" t="s">
        <v>3947</v>
      </c>
    </row>
    <row r="453" spans="1:15" ht="15" customHeight="1" x14ac:dyDescent="0.2">
      <c r="A453" s="7" t="s">
        <v>3920</v>
      </c>
      <c r="B453" s="7">
        <v>8325282</v>
      </c>
      <c r="C453" s="8">
        <v>1</v>
      </c>
      <c r="D453" s="8">
        <v>921258054</v>
      </c>
      <c r="E453" s="8" t="str">
        <f t="shared" si="35"/>
        <v>92125805422</v>
      </c>
      <c r="F453" s="8" t="s">
        <v>3218</v>
      </c>
      <c r="G453" s="8">
        <v>1</v>
      </c>
      <c r="H453" s="8">
        <v>20250301</v>
      </c>
      <c r="I453" s="8" t="str">
        <f t="shared" si="36"/>
        <v>3/1/2025</v>
      </c>
      <c r="J453" s="8">
        <v>20230701</v>
      </c>
      <c r="K453" s="8" t="str">
        <f t="shared" si="37"/>
        <v>7/1/2023</v>
      </c>
      <c r="L453" s="8" t="s">
        <v>56</v>
      </c>
      <c r="M453" s="8">
        <v>20</v>
      </c>
      <c r="N453" s="8">
        <v>20</v>
      </c>
      <c r="O453" s="6" t="s">
        <v>3947</v>
      </c>
    </row>
    <row r="454" spans="1:15" ht="15" customHeight="1" x14ac:dyDescent="0.2">
      <c r="A454" s="7" t="s">
        <v>3920</v>
      </c>
      <c r="B454" s="7">
        <v>8325282</v>
      </c>
      <c r="C454" s="8">
        <v>1</v>
      </c>
      <c r="D454" s="8">
        <v>921366382</v>
      </c>
      <c r="E454" s="8" t="str">
        <f t="shared" si="35"/>
        <v>92136638222</v>
      </c>
      <c r="F454" s="8" t="s">
        <v>3223</v>
      </c>
      <c r="G454" s="8">
        <v>1</v>
      </c>
      <c r="H454" s="8">
        <v>20250401</v>
      </c>
      <c r="I454" s="8" t="str">
        <f t="shared" si="36"/>
        <v>4/1/2025</v>
      </c>
      <c r="J454" s="8">
        <v>20180101</v>
      </c>
      <c r="K454" s="8" t="str">
        <f t="shared" si="37"/>
        <v>1/1/2018</v>
      </c>
      <c r="L454" s="8" t="s">
        <v>56</v>
      </c>
      <c r="M454" s="8">
        <v>20</v>
      </c>
      <c r="N454" s="8">
        <v>20</v>
      </c>
      <c r="O454" s="6" t="s">
        <v>3947</v>
      </c>
    </row>
    <row r="455" spans="1:15" ht="15" customHeight="1" x14ac:dyDescent="0.2">
      <c r="A455" s="7" t="s">
        <v>3920</v>
      </c>
      <c r="B455" s="7">
        <v>8325282</v>
      </c>
      <c r="C455" s="8">
        <v>1</v>
      </c>
      <c r="D455" s="8">
        <v>921437252</v>
      </c>
      <c r="E455" s="8" t="str">
        <f t="shared" si="35"/>
        <v>92143725222</v>
      </c>
      <c r="F455" s="8" t="s">
        <v>3239</v>
      </c>
      <c r="G455" s="8">
        <v>1</v>
      </c>
      <c r="H455" s="8">
        <v>20250401</v>
      </c>
      <c r="I455" s="8" t="str">
        <f t="shared" si="36"/>
        <v>4/1/2025</v>
      </c>
      <c r="J455" s="8">
        <v>20181101</v>
      </c>
      <c r="K455" s="8" t="str">
        <f t="shared" si="37"/>
        <v>11/1/2018</v>
      </c>
      <c r="L455" s="8" t="s">
        <v>56</v>
      </c>
      <c r="M455" s="8">
        <v>20</v>
      </c>
      <c r="N455" s="8">
        <v>20</v>
      </c>
      <c r="O455" s="6" t="s">
        <v>3947</v>
      </c>
    </row>
    <row r="456" spans="1:15" ht="15" customHeight="1" x14ac:dyDescent="0.2">
      <c r="A456" s="7" t="s">
        <v>3920</v>
      </c>
      <c r="B456" s="7">
        <v>8325282</v>
      </c>
      <c r="C456" s="8">
        <v>1</v>
      </c>
      <c r="D456" s="8">
        <v>921437502</v>
      </c>
      <c r="E456" s="8" t="str">
        <f t="shared" si="35"/>
        <v>92143750222</v>
      </c>
      <c r="F456" s="8" t="s">
        <v>3241</v>
      </c>
      <c r="G456" s="8">
        <v>1</v>
      </c>
      <c r="H456" s="8">
        <v>20250401</v>
      </c>
      <c r="I456" s="8" t="str">
        <f t="shared" si="36"/>
        <v>4/1/2025</v>
      </c>
      <c r="J456" s="8">
        <v>20190101</v>
      </c>
      <c r="K456" s="8" t="str">
        <f t="shared" si="37"/>
        <v>1/1/2019</v>
      </c>
      <c r="L456" s="8" t="s">
        <v>56</v>
      </c>
      <c r="M456" s="8">
        <v>20</v>
      </c>
      <c r="N456" s="8">
        <v>20</v>
      </c>
      <c r="O456" s="6" t="s">
        <v>3947</v>
      </c>
    </row>
    <row r="457" spans="1:15" ht="15" customHeight="1" x14ac:dyDescent="0.2">
      <c r="A457" s="7" t="s">
        <v>3920</v>
      </c>
      <c r="B457" s="7">
        <v>8325282</v>
      </c>
      <c r="C457" s="8">
        <v>1</v>
      </c>
      <c r="D457" s="8">
        <v>921550979</v>
      </c>
      <c r="E457" s="8" t="str">
        <f t="shared" si="35"/>
        <v>92155097922</v>
      </c>
      <c r="F457" s="8" t="s">
        <v>3257</v>
      </c>
      <c r="G457" s="8">
        <v>1</v>
      </c>
      <c r="H457" s="8">
        <v>20250301</v>
      </c>
      <c r="I457" s="8" t="str">
        <f t="shared" si="36"/>
        <v>3/1/2025</v>
      </c>
      <c r="J457" s="8">
        <v>20210101</v>
      </c>
      <c r="K457" s="8" t="str">
        <f t="shared" si="37"/>
        <v>1/1/2021</v>
      </c>
      <c r="L457" s="8" t="s">
        <v>56</v>
      </c>
      <c r="M457" s="8">
        <v>20</v>
      </c>
      <c r="N457" s="8">
        <v>20</v>
      </c>
      <c r="O457" s="6" t="s">
        <v>3947</v>
      </c>
    </row>
    <row r="458" spans="1:15" ht="15" customHeight="1" x14ac:dyDescent="0.2">
      <c r="A458" s="7" t="s">
        <v>3920</v>
      </c>
      <c r="B458" s="7">
        <v>8325282</v>
      </c>
      <c r="C458" s="8">
        <v>1</v>
      </c>
      <c r="D458" s="8">
        <v>921558157</v>
      </c>
      <c r="E458" s="8" t="str">
        <f t="shared" si="35"/>
        <v>92155815722</v>
      </c>
      <c r="F458" s="8" t="s">
        <v>3259</v>
      </c>
      <c r="G458" s="8">
        <v>1</v>
      </c>
      <c r="H458" s="8">
        <v>20250401</v>
      </c>
      <c r="I458" s="8" t="str">
        <f t="shared" si="36"/>
        <v>4/1/2025</v>
      </c>
      <c r="J458" s="8">
        <v>20210301</v>
      </c>
      <c r="K458" s="8" t="str">
        <f t="shared" si="37"/>
        <v>3/1/2021</v>
      </c>
      <c r="L458" s="8" t="s">
        <v>56</v>
      </c>
      <c r="M458" s="8">
        <v>20</v>
      </c>
      <c r="N458" s="8">
        <v>20</v>
      </c>
      <c r="O458" s="6" t="s">
        <v>3947</v>
      </c>
    </row>
    <row r="459" spans="1:15" ht="15" customHeight="1" x14ac:dyDescent="0.2">
      <c r="A459" s="7" t="s">
        <v>3920</v>
      </c>
      <c r="B459" s="7">
        <v>8325282</v>
      </c>
      <c r="C459" s="8">
        <v>1</v>
      </c>
      <c r="D459" s="8">
        <v>921564156</v>
      </c>
      <c r="E459" s="8" t="str">
        <f t="shared" si="35"/>
        <v>92156415622</v>
      </c>
      <c r="F459" s="8" t="s">
        <v>3266</v>
      </c>
      <c r="G459" s="8">
        <v>1</v>
      </c>
      <c r="H459" s="8">
        <v>20250401</v>
      </c>
      <c r="I459" s="8" t="str">
        <f t="shared" si="36"/>
        <v>4/1/2025</v>
      </c>
      <c r="J459" s="8">
        <v>20210501</v>
      </c>
      <c r="K459" s="8" t="str">
        <f t="shared" si="37"/>
        <v>5/1/2021</v>
      </c>
      <c r="L459" s="8" t="s">
        <v>56</v>
      </c>
      <c r="M459" s="8">
        <v>20</v>
      </c>
      <c r="N459" s="8">
        <v>20</v>
      </c>
      <c r="O459" s="6" t="s">
        <v>3947</v>
      </c>
    </row>
    <row r="460" spans="1:15" ht="15" customHeight="1" x14ac:dyDescent="0.2">
      <c r="A460" s="7" t="s">
        <v>3920</v>
      </c>
      <c r="B460" s="7">
        <v>8325282</v>
      </c>
      <c r="C460" s="8">
        <v>1</v>
      </c>
      <c r="D460" s="8">
        <v>921566575</v>
      </c>
      <c r="E460" s="8" t="str">
        <f t="shared" si="35"/>
        <v>92156657522</v>
      </c>
      <c r="F460" s="8" t="s">
        <v>3268</v>
      </c>
      <c r="G460" s="8">
        <v>1</v>
      </c>
      <c r="H460" s="8">
        <v>20250401</v>
      </c>
      <c r="I460" s="8" t="str">
        <f t="shared" si="36"/>
        <v>4/1/2025</v>
      </c>
      <c r="J460" s="8">
        <v>20210501</v>
      </c>
      <c r="K460" s="8" t="str">
        <f t="shared" si="37"/>
        <v>5/1/2021</v>
      </c>
      <c r="L460" s="8" t="s">
        <v>56</v>
      </c>
      <c r="M460" s="8">
        <v>20</v>
      </c>
      <c r="N460" s="8">
        <v>20</v>
      </c>
      <c r="O460" s="6" t="s">
        <v>3947</v>
      </c>
    </row>
    <row r="461" spans="1:15" ht="15" customHeight="1" x14ac:dyDescent="0.2">
      <c r="A461" s="7" t="s">
        <v>3920</v>
      </c>
      <c r="B461" s="7">
        <v>8325282</v>
      </c>
      <c r="C461" s="8">
        <v>1</v>
      </c>
      <c r="D461" s="8">
        <v>921604912</v>
      </c>
      <c r="E461" s="8" t="str">
        <f t="shared" si="35"/>
        <v>92160491222</v>
      </c>
      <c r="F461" s="8" t="s">
        <v>3276</v>
      </c>
      <c r="G461" s="8">
        <v>1</v>
      </c>
      <c r="H461" s="8">
        <v>20250401</v>
      </c>
      <c r="I461" s="8" t="str">
        <f t="shared" si="36"/>
        <v>4/1/2025</v>
      </c>
      <c r="J461" s="8">
        <v>20220201</v>
      </c>
      <c r="K461" s="8" t="str">
        <f t="shared" si="37"/>
        <v>2/1/2022</v>
      </c>
      <c r="L461" s="8" t="s">
        <v>56</v>
      </c>
      <c r="M461" s="8">
        <v>20</v>
      </c>
      <c r="N461" s="8">
        <v>20</v>
      </c>
      <c r="O461" s="6" t="s">
        <v>3947</v>
      </c>
    </row>
    <row r="462" spans="1:15" ht="15" customHeight="1" x14ac:dyDescent="0.2">
      <c r="A462" s="7" t="s">
        <v>3920</v>
      </c>
      <c r="B462" s="7">
        <v>8325282</v>
      </c>
      <c r="C462" s="8">
        <v>1</v>
      </c>
      <c r="D462" s="8">
        <v>921614006</v>
      </c>
      <c r="E462" s="8" t="str">
        <f t="shared" si="35"/>
        <v>92161400622</v>
      </c>
      <c r="F462" s="8" t="s">
        <v>3280</v>
      </c>
      <c r="G462" s="8">
        <v>1</v>
      </c>
      <c r="H462" s="8">
        <v>20250401</v>
      </c>
      <c r="I462" s="8" t="str">
        <f t="shared" si="36"/>
        <v>4/1/2025</v>
      </c>
      <c r="J462" s="8">
        <v>20220601</v>
      </c>
      <c r="K462" s="8" t="str">
        <f t="shared" si="37"/>
        <v>6/1/2022</v>
      </c>
      <c r="L462" s="8" t="s">
        <v>56</v>
      </c>
      <c r="M462" s="8">
        <v>20</v>
      </c>
      <c r="N462" s="8">
        <v>20</v>
      </c>
      <c r="O462" s="6" t="s">
        <v>3947</v>
      </c>
    </row>
    <row r="463" spans="1:15" ht="15" customHeight="1" x14ac:dyDescent="0.2">
      <c r="A463" s="7" t="s">
        <v>3920</v>
      </c>
      <c r="B463" s="7">
        <v>8325282</v>
      </c>
      <c r="C463" s="8">
        <v>1</v>
      </c>
      <c r="D463" s="8">
        <v>921640725</v>
      </c>
      <c r="E463" s="8" t="str">
        <f t="shared" si="35"/>
        <v>92164072522</v>
      </c>
      <c r="F463" s="8" t="s">
        <v>3288</v>
      </c>
      <c r="G463" s="8">
        <v>1</v>
      </c>
      <c r="H463" s="8">
        <v>20250401</v>
      </c>
      <c r="I463" s="8" t="str">
        <f t="shared" si="36"/>
        <v>4/1/2025</v>
      </c>
      <c r="J463" s="8">
        <v>20230101</v>
      </c>
      <c r="K463" s="8" t="str">
        <f t="shared" si="37"/>
        <v>1/1/2023</v>
      </c>
      <c r="L463" s="8" t="s">
        <v>56</v>
      </c>
      <c r="M463" s="8">
        <v>20</v>
      </c>
      <c r="N463" s="8">
        <v>20</v>
      </c>
      <c r="O463" s="6" t="s">
        <v>3947</v>
      </c>
    </row>
    <row r="464" spans="1:15" ht="15" customHeight="1" x14ac:dyDescent="0.2">
      <c r="A464" s="7" t="s">
        <v>3920</v>
      </c>
      <c r="B464" s="7">
        <v>8325282</v>
      </c>
      <c r="C464" s="8">
        <v>1</v>
      </c>
      <c r="D464" s="8">
        <v>921651490</v>
      </c>
      <c r="E464" s="8" t="str">
        <f t="shared" si="35"/>
        <v>92165149022</v>
      </c>
      <c r="F464" s="8" t="s">
        <v>3290</v>
      </c>
      <c r="G464" s="8">
        <v>1</v>
      </c>
      <c r="H464" s="8">
        <v>20250401</v>
      </c>
      <c r="I464" s="8" t="str">
        <f t="shared" si="36"/>
        <v>4/1/2025</v>
      </c>
      <c r="J464" s="8">
        <v>20230201</v>
      </c>
      <c r="K464" s="8" t="str">
        <f t="shared" si="37"/>
        <v>2/1/2023</v>
      </c>
      <c r="L464" s="8" t="s">
        <v>56</v>
      </c>
      <c r="M464" s="8">
        <v>20</v>
      </c>
      <c r="N464" s="8">
        <v>20</v>
      </c>
      <c r="O464" s="6" t="s">
        <v>3947</v>
      </c>
    </row>
    <row r="465" spans="1:16" ht="15" customHeight="1" x14ac:dyDescent="0.2">
      <c r="A465" s="7" t="s">
        <v>3920</v>
      </c>
      <c r="B465" s="7">
        <v>8325282</v>
      </c>
      <c r="C465" s="8">
        <v>1</v>
      </c>
      <c r="D465" s="8">
        <v>921655328</v>
      </c>
      <c r="E465" s="8" t="str">
        <f t="shared" si="35"/>
        <v>92165532822</v>
      </c>
      <c r="F465" s="8" t="s">
        <v>3292</v>
      </c>
      <c r="G465" s="8">
        <v>1</v>
      </c>
      <c r="H465" s="8">
        <v>20250401</v>
      </c>
      <c r="I465" s="8" t="str">
        <f t="shared" si="36"/>
        <v>4/1/2025</v>
      </c>
      <c r="J465" s="8">
        <v>20230401</v>
      </c>
      <c r="K465" s="8" t="str">
        <f t="shared" si="37"/>
        <v>4/1/2023</v>
      </c>
      <c r="L465" s="8" t="s">
        <v>56</v>
      </c>
      <c r="M465" s="8">
        <v>20</v>
      </c>
      <c r="N465" s="8">
        <v>20</v>
      </c>
      <c r="O465" s="6" t="s">
        <v>3947</v>
      </c>
    </row>
    <row r="466" spans="1:16" ht="15" customHeight="1" x14ac:dyDescent="0.2">
      <c r="A466" s="7" t="s">
        <v>3920</v>
      </c>
      <c r="B466" s="7">
        <v>8325282</v>
      </c>
      <c r="C466" s="8">
        <v>1</v>
      </c>
      <c r="D466" s="8">
        <v>921661189</v>
      </c>
      <c r="E466" s="8" t="str">
        <f t="shared" si="35"/>
        <v>92166118922</v>
      </c>
      <c r="F466" s="8" t="s">
        <v>3298</v>
      </c>
      <c r="G466" s="8">
        <v>1</v>
      </c>
      <c r="H466" s="8">
        <v>20250401</v>
      </c>
      <c r="I466" s="8" t="str">
        <f t="shared" si="36"/>
        <v>4/1/2025</v>
      </c>
      <c r="J466" s="8">
        <v>20230601</v>
      </c>
      <c r="K466" s="8" t="str">
        <f t="shared" si="37"/>
        <v>6/1/2023</v>
      </c>
      <c r="L466" s="8" t="s">
        <v>56</v>
      </c>
      <c r="M466" s="8">
        <v>20</v>
      </c>
      <c r="N466" s="8">
        <v>20</v>
      </c>
      <c r="O466" s="6" t="s">
        <v>3947</v>
      </c>
    </row>
    <row r="467" spans="1:16" ht="15" customHeight="1" x14ac:dyDescent="0.2">
      <c r="A467" s="7" t="s">
        <v>3920</v>
      </c>
      <c r="B467" s="7">
        <v>8325282</v>
      </c>
      <c r="C467" s="8">
        <v>1</v>
      </c>
      <c r="D467" s="8">
        <v>921685609</v>
      </c>
      <c r="E467" s="8" t="str">
        <f t="shared" si="35"/>
        <v>92168560922</v>
      </c>
      <c r="F467" s="8" t="s">
        <v>3300</v>
      </c>
      <c r="G467" s="8">
        <v>1</v>
      </c>
      <c r="H467" s="8">
        <v>20250401</v>
      </c>
      <c r="I467" s="8" t="str">
        <f t="shared" si="36"/>
        <v>4/1/2025</v>
      </c>
      <c r="J467" s="8">
        <v>20240101</v>
      </c>
      <c r="K467" s="8" t="str">
        <f t="shared" si="37"/>
        <v>1/1/2024</v>
      </c>
      <c r="L467" s="8" t="s">
        <v>56</v>
      </c>
      <c r="M467" s="8">
        <v>20</v>
      </c>
      <c r="N467" s="8">
        <v>20</v>
      </c>
      <c r="O467" s="6" t="s">
        <v>3947</v>
      </c>
    </row>
    <row r="468" spans="1:16" ht="15" customHeight="1" x14ac:dyDescent="0.2">
      <c r="A468" s="7" t="s">
        <v>3920</v>
      </c>
      <c r="B468" s="7">
        <v>8325282</v>
      </c>
      <c r="C468" s="8">
        <v>1</v>
      </c>
      <c r="D468" s="8">
        <v>921686296</v>
      </c>
      <c r="E468" s="8" t="str">
        <f t="shared" si="35"/>
        <v>92168629622</v>
      </c>
      <c r="F468" s="8" t="s">
        <v>3302</v>
      </c>
      <c r="G468" s="8">
        <v>1</v>
      </c>
      <c r="H468" s="8">
        <v>20250401</v>
      </c>
      <c r="I468" s="8" t="str">
        <f t="shared" si="36"/>
        <v>4/1/2025</v>
      </c>
      <c r="J468" s="8">
        <v>20240101</v>
      </c>
      <c r="K468" s="8" t="str">
        <f t="shared" si="37"/>
        <v>1/1/2024</v>
      </c>
      <c r="L468" s="8" t="s">
        <v>56</v>
      </c>
      <c r="M468" s="8">
        <v>20</v>
      </c>
      <c r="N468" s="8">
        <v>20</v>
      </c>
      <c r="O468" s="6" t="s">
        <v>3947</v>
      </c>
    </row>
    <row r="469" spans="1:16" ht="15" customHeight="1" x14ac:dyDescent="0.2">
      <c r="A469" s="7" t="s">
        <v>3920</v>
      </c>
      <c r="B469" s="7">
        <v>8325282</v>
      </c>
      <c r="C469" s="8">
        <v>1</v>
      </c>
      <c r="D469" s="8">
        <v>921708948</v>
      </c>
      <c r="E469" s="8" t="str">
        <f t="shared" si="35"/>
        <v>92170894822</v>
      </c>
      <c r="F469" s="8" t="s">
        <v>3306</v>
      </c>
      <c r="G469" s="8">
        <v>1</v>
      </c>
      <c r="H469" s="8">
        <v>20250401</v>
      </c>
      <c r="I469" s="8" t="str">
        <f t="shared" si="36"/>
        <v>4/1/2025</v>
      </c>
      <c r="J469" s="8">
        <v>20240201</v>
      </c>
      <c r="K469" s="8" t="str">
        <f t="shared" si="37"/>
        <v>2/1/2024</v>
      </c>
      <c r="L469" s="8" t="s">
        <v>56</v>
      </c>
      <c r="M469" s="8">
        <v>20</v>
      </c>
      <c r="N469" s="8">
        <v>20</v>
      </c>
      <c r="O469" s="6" t="s">
        <v>3947</v>
      </c>
    </row>
    <row r="470" spans="1:16" ht="15" customHeight="1" x14ac:dyDescent="0.2">
      <c r="A470" s="7" t="s">
        <v>3920</v>
      </c>
      <c r="B470" s="7">
        <v>8325282</v>
      </c>
      <c r="C470" s="8">
        <v>1</v>
      </c>
      <c r="D470" s="8">
        <v>921711185</v>
      </c>
      <c r="E470" s="8" t="str">
        <f t="shared" si="35"/>
        <v>92171118522</v>
      </c>
      <c r="F470" s="8" t="s">
        <v>3308</v>
      </c>
      <c r="G470" s="8">
        <v>1</v>
      </c>
      <c r="H470" s="8">
        <v>20250401</v>
      </c>
      <c r="I470" s="8" t="str">
        <f t="shared" si="36"/>
        <v>4/1/2025</v>
      </c>
      <c r="J470" s="8">
        <v>20240301</v>
      </c>
      <c r="K470" s="8" t="str">
        <f t="shared" si="37"/>
        <v>3/1/2024</v>
      </c>
      <c r="L470" s="8" t="s">
        <v>56</v>
      </c>
      <c r="M470" s="8">
        <v>20</v>
      </c>
      <c r="N470" s="8">
        <v>20</v>
      </c>
      <c r="O470" s="6" t="s">
        <v>3947</v>
      </c>
    </row>
    <row r="471" spans="1:16" ht="15" customHeight="1" x14ac:dyDescent="0.2">
      <c r="A471" s="7" t="s">
        <v>3920</v>
      </c>
      <c r="B471" s="7">
        <v>8325282</v>
      </c>
      <c r="C471" s="8">
        <v>2</v>
      </c>
      <c r="D471" s="8">
        <v>920917214</v>
      </c>
      <c r="E471" s="8" t="str">
        <f t="shared" si="35"/>
        <v>92091721422</v>
      </c>
      <c r="F471" s="8" t="s">
        <v>3204</v>
      </c>
      <c r="G471" s="8">
        <v>1</v>
      </c>
      <c r="H471" s="8">
        <v>20250301</v>
      </c>
      <c r="I471" s="8" t="str">
        <f t="shared" si="36"/>
        <v>3/1/2025</v>
      </c>
      <c r="J471" s="8">
        <v>20141101</v>
      </c>
      <c r="K471" s="8" t="str">
        <f t="shared" si="37"/>
        <v>11/1/2014</v>
      </c>
      <c r="L471" s="8" t="s">
        <v>56</v>
      </c>
      <c r="M471" s="8">
        <v>20</v>
      </c>
      <c r="N471" s="8">
        <v>40</v>
      </c>
      <c r="O471" s="6" t="s">
        <v>3947</v>
      </c>
      <c r="P471" s="6" t="s">
        <v>3952</v>
      </c>
    </row>
    <row r="472" spans="1:16" ht="15" customHeight="1" x14ac:dyDescent="0.2">
      <c r="A472" s="7" t="s">
        <v>3920</v>
      </c>
      <c r="B472" s="7">
        <v>8325282</v>
      </c>
      <c r="C472" s="8">
        <v>2</v>
      </c>
      <c r="D472" s="8">
        <v>920943059</v>
      </c>
      <c r="E472" s="8" t="str">
        <f t="shared" si="35"/>
        <v>92094305922</v>
      </c>
      <c r="F472" s="8" t="s">
        <v>3206</v>
      </c>
      <c r="G472" s="8">
        <v>1</v>
      </c>
      <c r="H472" s="8">
        <v>20250401</v>
      </c>
      <c r="I472" s="8" t="str">
        <f t="shared" si="36"/>
        <v>4/1/2025</v>
      </c>
      <c r="J472" s="8">
        <v>20210501</v>
      </c>
      <c r="K472" s="8" t="str">
        <f t="shared" si="37"/>
        <v>5/1/2021</v>
      </c>
      <c r="L472" s="8" t="s">
        <v>56</v>
      </c>
      <c r="M472" s="8">
        <v>20</v>
      </c>
      <c r="N472" s="8">
        <v>40</v>
      </c>
      <c r="O472" s="6" t="s">
        <v>3947</v>
      </c>
      <c r="P472" s="6" t="s">
        <v>3952</v>
      </c>
    </row>
    <row r="473" spans="1:16" ht="15" customHeight="1" x14ac:dyDescent="0.2">
      <c r="A473" s="7" t="s">
        <v>3920</v>
      </c>
      <c r="B473" s="7">
        <v>8325282</v>
      </c>
      <c r="C473" s="8">
        <v>2</v>
      </c>
      <c r="D473" s="8">
        <v>921400018</v>
      </c>
      <c r="E473" s="8" t="str">
        <f t="shared" si="35"/>
        <v>92140001822</v>
      </c>
      <c r="F473" s="8" t="s">
        <v>3225</v>
      </c>
      <c r="G473" s="8">
        <v>1</v>
      </c>
      <c r="H473" s="8">
        <v>20250401</v>
      </c>
      <c r="I473" s="8" t="str">
        <f t="shared" si="36"/>
        <v>4/1/2025</v>
      </c>
      <c r="J473" s="8">
        <v>20190101</v>
      </c>
      <c r="K473" s="8" t="str">
        <f t="shared" si="37"/>
        <v>1/1/2019</v>
      </c>
      <c r="L473" s="8" t="s">
        <v>56</v>
      </c>
      <c r="M473" s="8">
        <v>20</v>
      </c>
      <c r="N473" s="8">
        <v>40</v>
      </c>
      <c r="O473" s="6" t="s">
        <v>3947</v>
      </c>
      <c r="P473" s="6" t="s">
        <v>3952</v>
      </c>
    </row>
    <row r="474" spans="1:16" ht="15" customHeight="1" x14ac:dyDescent="0.2">
      <c r="A474" s="7" t="s">
        <v>3920</v>
      </c>
      <c r="B474" s="7">
        <v>8325282</v>
      </c>
      <c r="C474" s="8">
        <v>2</v>
      </c>
      <c r="D474" s="8">
        <v>921428698</v>
      </c>
      <c r="E474" s="8" t="str">
        <f t="shared" si="35"/>
        <v>92142869822</v>
      </c>
      <c r="F474" s="8" t="s">
        <v>3236</v>
      </c>
      <c r="G474" s="8">
        <v>1</v>
      </c>
      <c r="H474" s="8">
        <v>20250301</v>
      </c>
      <c r="I474" s="8" t="str">
        <f t="shared" si="36"/>
        <v>3/1/2025</v>
      </c>
      <c r="J474" s="8">
        <v>20181001</v>
      </c>
      <c r="K474" s="8" t="str">
        <f t="shared" si="37"/>
        <v>10/1/2018</v>
      </c>
      <c r="L474" s="8" t="s">
        <v>56</v>
      </c>
      <c r="M474" s="8">
        <v>20</v>
      </c>
      <c r="N474" s="8">
        <v>40</v>
      </c>
      <c r="O474" s="6" t="s">
        <v>3947</v>
      </c>
      <c r="P474" s="6" t="s">
        <v>3952</v>
      </c>
    </row>
    <row r="475" spans="1:16" ht="15" customHeight="1" x14ac:dyDescent="0.2">
      <c r="A475" s="7" t="s">
        <v>3920</v>
      </c>
      <c r="B475" s="7">
        <v>8325282</v>
      </c>
      <c r="C475" s="8">
        <v>2</v>
      </c>
      <c r="D475" s="8">
        <v>921569217</v>
      </c>
      <c r="E475" s="8" t="str">
        <f t="shared" si="35"/>
        <v>92156921722</v>
      </c>
      <c r="F475" s="8" t="s">
        <v>3270</v>
      </c>
      <c r="G475" s="8">
        <v>1</v>
      </c>
      <c r="H475" s="8">
        <v>20250401</v>
      </c>
      <c r="I475" s="8" t="str">
        <f t="shared" si="36"/>
        <v>4/1/2025</v>
      </c>
      <c r="J475" s="8">
        <v>20210601</v>
      </c>
      <c r="K475" s="8" t="str">
        <f t="shared" si="37"/>
        <v>6/1/2021</v>
      </c>
      <c r="L475" s="8" t="s">
        <v>56</v>
      </c>
      <c r="M475" s="8">
        <v>20</v>
      </c>
      <c r="N475" s="8">
        <v>40</v>
      </c>
      <c r="O475" s="6" t="s">
        <v>3947</v>
      </c>
      <c r="P475" s="6" t="s">
        <v>3952</v>
      </c>
    </row>
    <row r="476" spans="1:16" ht="15" customHeight="1" x14ac:dyDescent="0.2">
      <c r="A476" s="7" t="s">
        <v>3920</v>
      </c>
      <c r="B476" s="7">
        <v>8325282</v>
      </c>
      <c r="C476" s="8">
        <v>2</v>
      </c>
      <c r="D476" s="8">
        <v>921583805</v>
      </c>
      <c r="E476" s="8" t="str">
        <f t="shared" si="35"/>
        <v>92158380522</v>
      </c>
      <c r="F476" s="8" t="s">
        <v>3274</v>
      </c>
      <c r="G476" s="8">
        <v>1</v>
      </c>
      <c r="H476" s="8">
        <v>20250401</v>
      </c>
      <c r="I476" s="8" t="str">
        <f t="shared" si="36"/>
        <v>4/1/2025</v>
      </c>
      <c r="J476" s="8">
        <v>20211001</v>
      </c>
      <c r="K476" s="8" t="str">
        <f t="shared" si="37"/>
        <v>10/1/2021</v>
      </c>
      <c r="L476" s="8" t="s">
        <v>56</v>
      </c>
      <c r="M476" s="8">
        <v>20</v>
      </c>
      <c r="N476" s="8">
        <v>40</v>
      </c>
      <c r="O476" s="6" t="s">
        <v>3947</v>
      </c>
      <c r="P476" s="6" t="s">
        <v>3952</v>
      </c>
    </row>
    <row r="477" spans="1:16" ht="15" customHeight="1" x14ac:dyDescent="0.2">
      <c r="A477" s="7" t="s">
        <v>3920</v>
      </c>
      <c r="B477" s="7">
        <v>8325282</v>
      </c>
      <c r="C477" s="8">
        <v>2</v>
      </c>
      <c r="D477" s="8">
        <v>921658559</v>
      </c>
      <c r="E477" s="8" t="str">
        <f t="shared" si="35"/>
        <v>92165855922</v>
      </c>
      <c r="F477" s="8" t="s">
        <v>3296</v>
      </c>
      <c r="G477" s="8">
        <v>1</v>
      </c>
      <c r="H477" s="8">
        <v>20250401</v>
      </c>
      <c r="I477" s="8" t="str">
        <f t="shared" si="36"/>
        <v>4/1/2025</v>
      </c>
      <c r="J477" s="8">
        <v>20230501</v>
      </c>
      <c r="K477" s="8" t="str">
        <f t="shared" si="37"/>
        <v>5/1/2023</v>
      </c>
      <c r="L477" s="8" t="s">
        <v>56</v>
      </c>
      <c r="M477" s="8">
        <v>20</v>
      </c>
      <c r="N477" s="8">
        <v>40</v>
      </c>
      <c r="O477" s="6" t="s">
        <v>3947</v>
      </c>
      <c r="P477" s="6" t="s">
        <v>3952</v>
      </c>
    </row>
    <row r="478" spans="1:16" ht="15" customHeight="1" x14ac:dyDescent="0.2">
      <c r="A478" s="7" t="s">
        <v>3920</v>
      </c>
      <c r="B478" s="7">
        <v>8325282</v>
      </c>
      <c r="C478" s="8">
        <v>3</v>
      </c>
      <c r="D478" s="8">
        <v>921495277</v>
      </c>
      <c r="E478" s="8" t="str">
        <f t="shared" si="35"/>
        <v>92149527722</v>
      </c>
      <c r="F478" s="8" t="s">
        <v>3247</v>
      </c>
      <c r="G478" s="8">
        <v>1</v>
      </c>
      <c r="H478" s="8">
        <v>20250401</v>
      </c>
      <c r="I478" s="8" t="str">
        <f t="shared" si="36"/>
        <v>4/1/2025</v>
      </c>
      <c r="J478" s="8">
        <v>20200101</v>
      </c>
      <c r="K478" s="8" t="str">
        <f t="shared" si="37"/>
        <v>1/1/2020</v>
      </c>
      <c r="L478" s="8" t="s">
        <v>56</v>
      </c>
      <c r="M478" s="8">
        <v>20</v>
      </c>
      <c r="N478" s="8">
        <v>60</v>
      </c>
      <c r="O478" s="6" t="s">
        <v>3947</v>
      </c>
      <c r="P478" s="6" t="s">
        <v>3953</v>
      </c>
    </row>
    <row r="479" spans="1:16" ht="15" customHeight="1" x14ac:dyDescent="0.2">
      <c r="A479" s="7" t="s">
        <v>3920</v>
      </c>
      <c r="B479" s="7">
        <v>8325282</v>
      </c>
      <c r="C479" s="8">
        <v>1</v>
      </c>
      <c r="D479" s="8">
        <v>921534217</v>
      </c>
      <c r="E479" s="8" t="str">
        <f t="shared" si="35"/>
        <v>92153421722</v>
      </c>
      <c r="F479" s="8" t="s">
        <v>3253</v>
      </c>
      <c r="G479" s="8">
        <v>1</v>
      </c>
      <c r="H479" s="8">
        <v>20250401</v>
      </c>
      <c r="I479" s="8" t="str">
        <f t="shared" si="36"/>
        <v>4/1/2025</v>
      </c>
      <c r="J479" s="8">
        <v>20241001</v>
      </c>
      <c r="K479" s="8" t="str">
        <f t="shared" si="37"/>
        <v>10/1/2024</v>
      </c>
      <c r="L479" s="8" t="s">
        <v>56</v>
      </c>
      <c r="M479" s="8">
        <v>25</v>
      </c>
      <c r="N479" s="8">
        <v>25</v>
      </c>
      <c r="O479" s="6" t="s">
        <v>3947</v>
      </c>
    </row>
    <row r="480" spans="1:16" ht="15" customHeight="1" x14ac:dyDescent="0.2">
      <c r="A480" s="7" t="s">
        <v>3920</v>
      </c>
      <c r="B480" s="7">
        <v>8325282</v>
      </c>
      <c r="C480" s="8">
        <v>1</v>
      </c>
      <c r="D480" s="8">
        <v>921624894</v>
      </c>
      <c r="E480" s="8" t="str">
        <f t="shared" si="35"/>
        <v>92162489422</v>
      </c>
      <c r="F480" s="8" t="s">
        <v>3284</v>
      </c>
      <c r="G480" s="8">
        <v>1</v>
      </c>
      <c r="H480" s="8">
        <v>20250401</v>
      </c>
      <c r="I480" s="8" t="str">
        <f t="shared" si="36"/>
        <v>4/1/2025</v>
      </c>
      <c r="J480" s="8">
        <v>20250101</v>
      </c>
      <c r="K480" s="8" t="str">
        <f t="shared" si="37"/>
        <v>1/1/2025</v>
      </c>
      <c r="L480" s="8" t="s">
        <v>56</v>
      </c>
      <c r="M480" s="8">
        <v>25</v>
      </c>
      <c r="N480" s="8">
        <v>25</v>
      </c>
      <c r="O480" s="6" t="s">
        <v>3947</v>
      </c>
    </row>
    <row r="481" spans="1:37" ht="15" customHeight="1" x14ac:dyDescent="0.2">
      <c r="A481" s="7" t="s">
        <v>3920</v>
      </c>
      <c r="B481" s="7">
        <v>8325282</v>
      </c>
      <c r="C481" s="8">
        <v>1</v>
      </c>
      <c r="D481" s="8">
        <v>921717671</v>
      </c>
      <c r="E481" s="8" t="str">
        <f t="shared" si="35"/>
        <v>92171767122</v>
      </c>
      <c r="F481" s="8" t="s">
        <v>3315</v>
      </c>
      <c r="G481" s="8">
        <v>1</v>
      </c>
      <c r="H481" s="8">
        <v>20250401</v>
      </c>
      <c r="I481" s="8" t="str">
        <f t="shared" si="36"/>
        <v>4/1/2025</v>
      </c>
      <c r="J481" s="8">
        <v>20240401</v>
      </c>
      <c r="K481" s="8" t="str">
        <f t="shared" si="37"/>
        <v>4/1/2024</v>
      </c>
      <c r="L481" s="8" t="s">
        <v>56</v>
      </c>
      <c r="M481" s="8">
        <v>25</v>
      </c>
      <c r="N481" s="8">
        <v>25</v>
      </c>
      <c r="O481" s="6" t="s">
        <v>3947</v>
      </c>
    </row>
    <row r="482" spans="1:37" ht="15" customHeight="1" x14ac:dyDescent="0.2">
      <c r="A482" s="7" t="s">
        <v>3920</v>
      </c>
      <c r="B482" s="7">
        <v>8325282</v>
      </c>
      <c r="C482" s="8">
        <v>1</v>
      </c>
      <c r="D482" s="8">
        <v>921733676</v>
      </c>
      <c r="E482" s="8" t="str">
        <f t="shared" si="35"/>
        <v>92173367622</v>
      </c>
      <c r="F482" s="8" t="s">
        <v>3317</v>
      </c>
      <c r="G482" s="8">
        <v>1</v>
      </c>
      <c r="H482" s="8">
        <v>20250401</v>
      </c>
      <c r="I482" s="8" t="str">
        <f t="shared" si="36"/>
        <v>4/1/2025</v>
      </c>
      <c r="J482" s="8">
        <v>20240801</v>
      </c>
      <c r="K482" s="8" t="str">
        <f t="shared" si="37"/>
        <v>8/1/2024</v>
      </c>
      <c r="L482" s="8" t="s">
        <v>56</v>
      </c>
      <c r="M482" s="8">
        <v>25</v>
      </c>
      <c r="N482" s="8">
        <v>25</v>
      </c>
      <c r="O482" s="6" t="s">
        <v>3947</v>
      </c>
    </row>
    <row r="483" spans="1:37" ht="15" customHeight="1" x14ac:dyDescent="0.2">
      <c r="A483" s="7" t="s">
        <v>3920</v>
      </c>
      <c r="B483" s="7">
        <v>8325282</v>
      </c>
      <c r="C483" s="8">
        <v>1</v>
      </c>
      <c r="D483" s="8">
        <v>921750608</v>
      </c>
      <c r="E483" s="8" t="str">
        <f t="shared" si="35"/>
        <v>92175060822</v>
      </c>
      <c r="F483" s="8" t="s">
        <v>3324</v>
      </c>
      <c r="G483" s="8">
        <v>1</v>
      </c>
      <c r="H483" s="8">
        <v>20250401</v>
      </c>
      <c r="I483" s="8" t="str">
        <f t="shared" si="36"/>
        <v>4/1/2025</v>
      </c>
      <c r="J483" s="8">
        <v>20250101</v>
      </c>
      <c r="K483" s="8" t="str">
        <f t="shared" si="37"/>
        <v>1/1/2025</v>
      </c>
      <c r="L483" s="8" t="s">
        <v>56</v>
      </c>
      <c r="M483" s="8">
        <v>25</v>
      </c>
      <c r="N483" s="8">
        <v>25</v>
      </c>
      <c r="O483" s="6" t="s">
        <v>3947</v>
      </c>
    </row>
    <row r="484" spans="1:37" ht="15" customHeight="1" x14ac:dyDescent="0.2">
      <c r="A484" s="7" t="s">
        <v>3920</v>
      </c>
      <c r="B484" s="7">
        <v>8325282</v>
      </c>
      <c r="C484" s="8">
        <v>1</v>
      </c>
      <c r="D484" s="8">
        <v>921752749</v>
      </c>
      <c r="E484" s="8" t="str">
        <f t="shared" si="35"/>
        <v>92175274922</v>
      </c>
      <c r="F484" s="8" t="s">
        <v>3326</v>
      </c>
      <c r="G484" s="8">
        <v>1</v>
      </c>
      <c r="H484" s="8">
        <v>20250401</v>
      </c>
      <c r="I484" s="8" t="str">
        <f t="shared" si="36"/>
        <v>4/1/2025</v>
      </c>
      <c r="J484" s="8">
        <v>20250101</v>
      </c>
      <c r="K484" s="8" t="str">
        <f t="shared" si="37"/>
        <v>1/1/2025</v>
      </c>
      <c r="L484" s="8" t="s">
        <v>56</v>
      </c>
      <c r="M484" s="8">
        <v>25</v>
      </c>
      <c r="N484" s="8">
        <v>25</v>
      </c>
      <c r="O484" s="6" t="s">
        <v>3947</v>
      </c>
    </row>
    <row r="485" spans="1:37" ht="15" customHeight="1" x14ac:dyDescent="0.2">
      <c r="A485" s="7" t="s">
        <v>3920</v>
      </c>
      <c r="B485" s="7">
        <v>8325282</v>
      </c>
      <c r="C485" s="8">
        <v>1</v>
      </c>
      <c r="D485" s="8">
        <v>921772983</v>
      </c>
      <c r="E485" s="8" t="str">
        <f t="shared" si="35"/>
        <v>92177298322</v>
      </c>
      <c r="F485" s="8" t="s">
        <v>3216</v>
      </c>
      <c r="G485" s="8">
        <v>1</v>
      </c>
      <c r="H485" s="8">
        <v>20250401</v>
      </c>
      <c r="I485" s="8" t="str">
        <f t="shared" si="36"/>
        <v>4/1/2025</v>
      </c>
      <c r="J485" s="8">
        <v>20250201</v>
      </c>
      <c r="K485" s="8" t="str">
        <f t="shared" si="37"/>
        <v>2/1/2025</v>
      </c>
      <c r="L485" s="8" t="s">
        <v>56</v>
      </c>
      <c r="M485" s="8">
        <v>25</v>
      </c>
      <c r="N485" s="8">
        <v>25</v>
      </c>
      <c r="O485" s="6" t="s">
        <v>3947</v>
      </c>
    </row>
    <row r="486" spans="1:37" ht="15" customHeight="1" x14ac:dyDescent="0.2">
      <c r="A486" s="7" t="s">
        <v>3920</v>
      </c>
      <c r="B486" s="7">
        <v>8325282</v>
      </c>
      <c r="C486" s="8">
        <v>1</v>
      </c>
      <c r="D486" s="8">
        <v>921775150</v>
      </c>
      <c r="E486" s="8" t="str">
        <f t="shared" si="35"/>
        <v>92177515022</v>
      </c>
      <c r="F486" s="8" t="s">
        <v>3347</v>
      </c>
      <c r="G486" s="8">
        <v>1</v>
      </c>
      <c r="H486" s="8">
        <v>20250401</v>
      </c>
      <c r="I486" s="8" t="str">
        <f t="shared" si="36"/>
        <v>4/1/2025</v>
      </c>
      <c r="J486" s="8">
        <v>20250201</v>
      </c>
      <c r="K486" s="8" t="str">
        <f t="shared" si="37"/>
        <v>2/1/2025</v>
      </c>
      <c r="L486" s="8" t="s">
        <v>56</v>
      </c>
      <c r="M486" s="8">
        <v>25</v>
      </c>
      <c r="N486" s="8">
        <v>25</v>
      </c>
      <c r="O486" s="6" t="s">
        <v>3947</v>
      </c>
    </row>
    <row r="487" spans="1:37" ht="15" customHeight="1" x14ac:dyDescent="0.2">
      <c r="A487" s="7" t="s">
        <v>3920</v>
      </c>
      <c r="B487" s="7">
        <v>8325282</v>
      </c>
      <c r="C487" s="8">
        <v>1</v>
      </c>
      <c r="D487" s="8">
        <v>921775707</v>
      </c>
      <c r="E487" s="8" t="str">
        <f t="shared" si="35"/>
        <v>92177570722</v>
      </c>
      <c r="F487" s="8" t="s">
        <v>3349</v>
      </c>
      <c r="G487" s="8">
        <v>1</v>
      </c>
      <c r="H487" s="8">
        <v>20250401</v>
      </c>
      <c r="I487" s="8" t="str">
        <f t="shared" si="36"/>
        <v>4/1/2025</v>
      </c>
      <c r="J487" s="8">
        <v>20250201</v>
      </c>
      <c r="K487" s="8" t="str">
        <f t="shared" si="37"/>
        <v>2/1/2025</v>
      </c>
      <c r="L487" s="8" t="s">
        <v>56</v>
      </c>
      <c r="M487" s="8">
        <v>25</v>
      </c>
      <c r="N487" s="8">
        <v>25</v>
      </c>
      <c r="O487" s="6" t="s">
        <v>3947</v>
      </c>
    </row>
    <row r="488" spans="1:37" ht="15" customHeight="1" x14ac:dyDescent="0.2">
      <c r="A488" s="7" t="s">
        <v>3920</v>
      </c>
      <c r="B488" s="7">
        <v>8325282</v>
      </c>
      <c r="C488" s="8">
        <v>2</v>
      </c>
      <c r="D488" s="8">
        <v>921741198</v>
      </c>
      <c r="E488" s="8" t="str">
        <f t="shared" si="35"/>
        <v>92174119822</v>
      </c>
      <c r="F488" s="8" t="s">
        <v>3319</v>
      </c>
      <c r="G488" s="8">
        <v>1</v>
      </c>
      <c r="H488" s="8">
        <v>20250401</v>
      </c>
      <c r="I488" s="8" t="str">
        <f t="shared" si="36"/>
        <v>4/1/2025</v>
      </c>
      <c r="J488" s="8">
        <v>20241001</v>
      </c>
      <c r="K488" s="8" t="str">
        <f t="shared" si="37"/>
        <v>10/1/2024</v>
      </c>
      <c r="L488" s="8" t="s">
        <v>56</v>
      </c>
      <c r="M488" s="8">
        <v>25</v>
      </c>
      <c r="N488" s="8">
        <v>50</v>
      </c>
      <c r="O488" s="6" t="s">
        <v>3947</v>
      </c>
      <c r="P488" s="6" t="s">
        <v>3952</v>
      </c>
    </row>
    <row r="489" spans="1:37" ht="15" customHeight="1" x14ac:dyDescent="0.2">
      <c r="A489" s="7" t="s">
        <v>3920</v>
      </c>
      <c r="B489" s="7">
        <v>8325282</v>
      </c>
      <c r="C489" s="8">
        <v>2</v>
      </c>
      <c r="D489" s="8">
        <v>921776253</v>
      </c>
      <c r="E489" s="8" t="str">
        <f t="shared" si="35"/>
        <v>92177625322</v>
      </c>
      <c r="F489" s="8" t="s">
        <v>3354</v>
      </c>
      <c r="G489" s="8">
        <v>1</v>
      </c>
      <c r="H489" s="8">
        <v>20250401</v>
      </c>
      <c r="I489" s="8" t="str">
        <f t="shared" si="36"/>
        <v>4/1/2025</v>
      </c>
      <c r="J489" s="8">
        <v>20250201</v>
      </c>
      <c r="K489" s="8" t="str">
        <f t="shared" si="37"/>
        <v>2/1/2025</v>
      </c>
      <c r="L489" s="8" t="s">
        <v>56</v>
      </c>
      <c r="M489" s="8">
        <v>25</v>
      </c>
      <c r="N489" s="8">
        <v>50</v>
      </c>
      <c r="O489" s="6" t="s">
        <v>3947</v>
      </c>
      <c r="P489" s="6" t="s">
        <v>3952</v>
      </c>
    </row>
    <row r="490" spans="1:37" ht="15" customHeight="1" x14ac:dyDescent="0.2">
      <c r="A490" s="7" t="s">
        <v>3920</v>
      </c>
      <c r="B490" s="7">
        <v>8325282</v>
      </c>
      <c r="C490" s="8">
        <v>3</v>
      </c>
      <c r="D490" s="8">
        <v>921766386</v>
      </c>
      <c r="E490" s="8" t="str">
        <f t="shared" si="35"/>
        <v>92176638622</v>
      </c>
      <c r="F490" s="8" t="s">
        <v>3337</v>
      </c>
      <c r="G490" s="8">
        <v>1</v>
      </c>
      <c r="H490" s="8">
        <v>20250401</v>
      </c>
      <c r="I490" s="8" t="str">
        <f t="shared" si="36"/>
        <v>4/1/2025</v>
      </c>
      <c r="J490" s="8">
        <v>20250101</v>
      </c>
      <c r="K490" s="8" t="str">
        <f t="shared" si="37"/>
        <v>1/1/2025</v>
      </c>
      <c r="L490" s="8" t="s">
        <v>56</v>
      </c>
      <c r="M490" s="8">
        <v>25</v>
      </c>
      <c r="N490" s="8">
        <v>75</v>
      </c>
      <c r="O490" s="6" t="s">
        <v>3947</v>
      </c>
      <c r="P490" s="6" t="s">
        <v>3953</v>
      </c>
    </row>
    <row r="491" spans="1:37" ht="15" customHeight="1" x14ac:dyDescent="0.2">
      <c r="A491" s="7" t="s">
        <v>3920</v>
      </c>
      <c r="B491" s="7">
        <v>8325282</v>
      </c>
      <c r="C491" s="8">
        <v>1</v>
      </c>
      <c r="D491" s="8">
        <v>921629549</v>
      </c>
      <c r="E491" s="8" t="str">
        <f t="shared" ref="E491:E496" si="38">CONCATENATE(D491,33)</f>
        <v>92162954933</v>
      </c>
      <c r="F491" s="8" t="s">
        <v>3286</v>
      </c>
      <c r="G491" s="8">
        <v>1</v>
      </c>
      <c r="H491" s="8">
        <v>20250401</v>
      </c>
      <c r="I491" s="8" t="str">
        <f t="shared" si="36"/>
        <v>4/1/2025</v>
      </c>
      <c r="J491" s="8">
        <v>20230101</v>
      </c>
      <c r="K491" s="8" t="str">
        <f t="shared" si="37"/>
        <v>1/1/2023</v>
      </c>
      <c r="L491" s="8" t="s">
        <v>198</v>
      </c>
      <c r="M491" s="8">
        <v>15</v>
      </c>
      <c r="N491" s="8">
        <v>15</v>
      </c>
      <c r="O491" s="6" t="s">
        <v>3950</v>
      </c>
      <c r="AK491" s="12"/>
    </row>
    <row r="492" spans="1:37" ht="15" customHeight="1" x14ac:dyDescent="0.2">
      <c r="A492" s="7" t="s">
        <v>3920</v>
      </c>
      <c r="B492" s="7">
        <v>8325282</v>
      </c>
      <c r="C492" s="8">
        <v>1</v>
      </c>
      <c r="D492" s="8">
        <v>921707523</v>
      </c>
      <c r="E492" s="8" t="str">
        <f t="shared" si="38"/>
        <v>92170752333</v>
      </c>
      <c r="F492" s="8" t="s">
        <v>3304</v>
      </c>
      <c r="G492" s="8">
        <v>1</v>
      </c>
      <c r="H492" s="8">
        <v>20250401</v>
      </c>
      <c r="I492" s="8" t="str">
        <f t="shared" si="36"/>
        <v>4/1/2025</v>
      </c>
      <c r="J492" s="8">
        <v>20240201</v>
      </c>
      <c r="K492" s="8" t="str">
        <f t="shared" si="37"/>
        <v>2/1/2024</v>
      </c>
      <c r="L492" s="8" t="s">
        <v>198</v>
      </c>
      <c r="M492" s="8">
        <v>15</v>
      </c>
      <c r="N492" s="8">
        <v>15</v>
      </c>
      <c r="O492" s="6" t="s">
        <v>3950</v>
      </c>
      <c r="AK492" s="12"/>
    </row>
    <row r="493" spans="1:37" ht="15" customHeight="1" x14ac:dyDescent="0.2">
      <c r="A493" s="7" t="s">
        <v>3920</v>
      </c>
      <c r="B493" s="7">
        <v>8325282</v>
      </c>
      <c r="C493" s="8">
        <v>1</v>
      </c>
      <c r="D493" s="8">
        <v>920747803</v>
      </c>
      <c r="E493" s="8" t="str">
        <f t="shared" si="38"/>
        <v>92074780333</v>
      </c>
      <c r="F493" s="8" t="s">
        <v>3196</v>
      </c>
      <c r="G493" s="8">
        <v>1</v>
      </c>
      <c r="H493" s="8">
        <v>20250301</v>
      </c>
      <c r="I493" s="8" t="str">
        <f t="shared" si="36"/>
        <v>3/1/2025</v>
      </c>
      <c r="J493" s="8">
        <v>20250101</v>
      </c>
      <c r="K493" s="8" t="str">
        <f t="shared" si="37"/>
        <v>1/1/2025</v>
      </c>
      <c r="L493" s="8" t="s">
        <v>198</v>
      </c>
      <c r="M493" s="8">
        <v>20</v>
      </c>
      <c r="N493" s="8">
        <v>20</v>
      </c>
      <c r="O493" s="6" t="s">
        <v>3950</v>
      </c>
    </row>
    <row r="494" spans="1:37" ht="15" customHeight="1" x14ac:dyDescent="0.2">
      <c r="A494" s="7" t="s">
        <v>3920</v>
      </c>
      <c r="B494" s="7">
        <v>8325282</v>
      </c>
      <c r="C494" s="8">
        <v>1</v>
      </c>
      <c r="D494" s="8">
        <v>920943822</v>
      </c>
      <c r="E494" s="8" t="str">
        <f t="shared" si="38"/>
        <v>92094382233</v>
      </c>
      <c r="F494" s="8" t="s">
        <v>3208</v>
      </c>
      <c r="G494" s="8">
        <v>1</v>
      </c>
      <c r="H494" s="8">
        <v>20250401</v>
      </c>
      <c r="I494" s="8" t="str">
        <f t="shared" si="36"/>
        <v>4/1/2025</v>
      </c>
      <c r="J494" s="8">
        <v>20241201</v>
      </c>
      <c r="K494" s="8" t="str">
        <f t="shared" si="37"/>
        <v>12/1/2024</v>
      </c>
      <c r="L494" s="8" t="s">
        <v>198</v>
      </c>
      <c r="M494" s="8">
        <v>20</v>
      </c>
      <c r="N494" s="8">
        <v>20</v>
      </c>
      <c r="O494" s="6" t="s">
        <v>3950</v>
      </c>
    </row>
    <row r="495" spans="1:37" ht="15" customHeight="1" x14ac:dyDescent="0.2">
      <c r="A495" s="7" t="s">
        <v>3920</v>
      </c>
      <c r="B495" s="7">
        <v>8325282</v>
      </c>
      <c r="C495" s="8">
        <v>1</v>
      </c>
      <c r="D495" s="8">
        <v>921765817</v>
      </c>
      <c r="E495" s="8" t="str">
        <f t="shared" si="38"/>
        <v>92176581733</v>
      </c>
      <c r="F495" s="8" t="s">
        <v>3335</v>
      </c>
      <c r="G495" s="8">
        <v>1</v>
      </c>
      <c r="H495" s="8">
        <v>20250401</v>
      </c>
      <c r="I495" s="8" t="str">
        <f t="shared" si="36"/>
        <v>4/1/2025</v>
      </c>
      <c r="J495" s="8">
        <v>20250101</v>
      </c>
      <c r="K495" s="8" t="str">
        <f t="shared" si="37"/>
        <v>1/1/2025</v>
      </c>
      <c r="L495" s="8" t="s">
        <v>198</v>
      </c>
      <c r="M495" s="8">
        <v>20</v>
      </c>
      <c r="N495" s="8">
        <v>20</v>
      </c>
      <c r="O495" s="6" t="s">
        <v>3950</v>
      </c>
    </row>
    <row r="496" spans="1:37" ht="15" customHeight="1" x14ac:dyDescent="0.2">
      <c r="A496" s="7" t="s">
        <v>3920</v>
      </c>
      <c r="B496" s="7">
        <v>8325282</v>
      </c>
      <c r="C496" s="8">
        <v>2</v>
      </c>
      <c r="D496" s="8">
        <v>921712330</v>
      </c>
      <c r="E496" s="8" t="str">
        <f t="shared" si="38"/>
        <v>92171233033</v>
      </c>
      <c r="F496" s="8" t="s">
        <v>3311</v>
      </c>
      <c r="G496" s="8">
        <v>1</v>
      </c>
      <c r="H496" s="8">
        <v>20250401</v>
      </c>
      <c r="I496" s="8" t="str">
        <f t="shared" si="36"/>
        <v>4/1/2025</v>
      </c>
      <c r="J496" s="8">
        <v>20250101</v>
      </c>
      <c r="K496" s="8" t="str">
        <f t="shared" si="37"/>
        <v>1/1/2025</v>
      </c>
      <c r="L496" s="8" t="s">
        <v>198</v>
      </c>
      <c r="M496" s="8">
        <v>20</v>
      </c>
      <c r="N496" s="8">
        <v>40</v>
      </c>
      <c r="O496" s="6" t="s">
        <v>3950</v>
      </c>
      <c r="P496" s="6" t="s">
        <v>3952</v>
      </c>
    </row>
    <row r="497" spans="1:16" ht="15" customHeight="1" x14ac:dyDescent="0.3">
      <c r="A497" s="7" t="s">
        <v>3920</v>
      </c>
      <c r="B497" s="7">
        <v>8325282</v>
      </c>
      <c r="C497" s="8">
        <v>1</v>
      </c>
      <c r="D497" s="8">
        <v>921331639</v>
      </c>
      <c r="E497" s="8" t="str">
        <f t="shared" ref="E497:E516" si="39">CONCATENATE(D497,44)</f>
        <v>92133163944</v>
      </c>
      <c r="F497" s="8" t="s">
        <v>3220</v>
      </c>
      <c r="G497" s="8">
        <v>1</v>
      </c>
      <c r="H497" s="8">
        <v>20250401</v>
      </c>
      <c r="I497" s="8" t="str">
        <f t="shared" si="36"/>
        <v>4/1/2025</v>
      </c>
      <c r="J497" s="8">
        <v>20170101</v>
      </c>
      <c r="K497" s="8" t="str">
        <f t="shared" si="37"/>
        <v>1/1/2017</v>
      </c>
      <c r="L497" s="8" t="s">
        <v>65</v>
      </c>
      <c r="M497" s="8">
        <v>25</v>
      </c>
      <c r="N497" s="8">
        <v>25</v>
      </c>
      <c r="O497" s="14" t="s">
        <v>3948</v>
      </c>
    </row>
    <row r="498" spans="1:16" ht="15" customHeight="1" x14ac:dyDescent="0.3">
      <c r="A498" s="7" t="s">
        <v>3920</v>
      </c>
      <c r="B498" s="7">
        <v>8325282</v>
      </c>
      <c r="C498" s="8">
        <v>1</v>
      </c>
      <c r="D498" s="8">
        <v>921361689</v>
      </c>
      <c r="E498" s="8" t="str">
        <f t="shared" si="39"/>
        <v>92136168944</v>
      </c>
      <c r="F498" s="8" t="s">
        <v>1719</v>
      </c>
      <c r="G498" s="8">
        <v>1</v>
      </c>
      <c r="H498" s="8">
        <v>20250401</v>
      </c>
      <c r="I498" s="8" t="str">
        <f t="shared" si="36"/>
        <v>4/1/2025</v>
      </c>
      <c r="J498" s="8">
        <v>20170901</v>
      </c>
      <c r="K498" s="8" t="str">
        <f t="shared" si="37"/>
        <v>9/1/2017</v>
      </c>
      <c r="L498" s="8" t="s">
        <v>65</v>
      </c>
      <c r="M498" s="8">
        <v>25</v>
      </c>
      <c r="N498" s="8">
        <v>25</v>
      </c>
      <c r="O498" s="14" t="s">
        <v>3948</v>
      </c>
    </row>
    <row r="499" spans="1:16" ht="15" customHeight="1" x14ac:dyDescent="0.3">
      <c r="A499" s="7" t="s">
        <v>3920</v>
      </c>
      <c r="B499" s="7">
        <v>8325282</v>
      </c>
      <c r="C499" s="8">
        <v>1</v>
      </c>
      <c r="D499" s="8">
        <v>921425918</v>
      </c>
      <c r="E499" s="8" t="str">
        <f t="shared" si="39"/>
        <v>92142591844</v>
      </c>
      <c r="F499" s="8" t="s">
        <v>3232</v>
      </c>
      <c r="G499" s="8">
        <v>1</v>
      </c>
      <c r="H499" s="8">
        <v>20250401</v>
      </c>
      <c r="I499" s="8" t="str">
        <f t="shared" si="36"/>
        <v>4/1/2025</v>
      </c>
      <c r="J499" s="8">
        <v>20180901</v>
      </c>
      <c r="K499" s="8" t="str">
        <f t="shared" si="37"/>
        <v>9/1/2018</v>
      </c>
      <c r="L499" s="8" t="s">
        <v>65</v>
      </c>
      <c r="M499" s="8">
        <v>25</v>
      </c>
      <c r="N499" s="8">
        <v>25</v>
      </c>
      <c r="O499" s="14" t="s">
        <v>3948</v>
      </c>
    </row>
    <row r="500" spans="1:16" ht="15" customHeight="1" x14ac:dyDescent="0.3">
      <c r="A500" s="7" t="s">
        <v>3920</v>
      </c>
      <c r="B500" s="7">
        <v>8325282</v>
      </c>
      <c r="C500" s="8">
        <v>1</v>
      </c>
      <c r="D500" s="8">
        <v>921480505</v>
      </c>
      <c r="E500" s="8" t="str">
        <f t="shared" si="39"/>
        <v>92148050544</v>
      </c>
      <c r="F500" s="8" t="s">
        <v>3243</v>
      </c>
      <c r="G500" s="8">
        <v>1</v>
      </c>
      <c r="H500" s="8">
        <v>20250401</v>
      </c>
      <c r="I500" s="8" t="str">
        <f t="shared" si="36"/>
        <v>4/1/2025</v>
      </c>
      <c r="J500" s="8">
        <v>20190901</v>
      </c>
      <c r="K500" s="8" t="str">
        <f t="shared" si="37"/>
        <v>9/1/2019</v>
      </c>
      <c r="L500" s="8" t="s">
        <v>65</v>
      </c>
      <c r="M500" s="8">
        <v>25</v>
      </c>
      <c r="N500" s="8">
        <v>25</v>
      </c>
      <c r="O500" s="14" t="s">
        <v>3948</v>
      </c>
    </row>
    <row r="501" spans="1:16" ht="15" customHeight="1" x14ac:dyDescent="0.3">
      <c r="A501" s="7" t="s">
        <v>3920</v>
      </c>
      <c r="B501" s="7">
        <v>8325282</v>
      </c>
      <c r="C501" s="8">
        <v>1</v>
      </c>
      <c r="D501" s="8">
        <v>921491611</v>
      </c>
      <c r="E501" s="8" t="str">
        <f t="shared" si="39"/>
        <v>92149161144</v>
      </c>
      <c r="F501" s="8" t="s">
        <v>3245</v>
      </c>
      <c r="G501" s="8">
        <v>1</v>
      </c>
      <c r="H501" s="8">
        <v>20250301</v>
      </c>
      <c r="I501" s="8" t="str">
        <f t="shared" si="36"/>
        <v>3/1/2025</v>
      </c>
      <c r="J501" s="8">
        <v>20230101</v>
      </c>
      <c r="K501" s="8" t="str">
        <f t="shared" si="37"/>
        <v>1/1/2023</v>
      </c>
      <c r="L501" s="8" t="s">
        <v>65</v>
      </c>
      <c r="M501" s="8">
        <v>25</v>
      </c>
      <c r="N501" s="8">
        <v>25</v>
      </c>
      <c r="O501" s="14" t="s">
        <v>3948</v>
      </c>
    </row>
    <row r="502" spans="1:16" ht="15" customHeight="1" x14ac:dyDescent="0.3">
      <c r="A502" s="7" t="s">
        <v>3920</v>
      </c>
      <c r="B502" s="7">
        <v>8325282</v>
      </c>
      <c r="C502" s="8">
        <v>1</v>
      </c>
      <c r="D502" s="8">
        <v>921531601</v>
      </c>
      <c r="E502" s="8" t="str">
        <f t="shared" si="39"/>
        <v>92153160144</v>
      </c>
      <c r="F502" s="8" t="s">
        <v>3251</v>
      </c>
      <c r="G502" s="8">
        <v>1</v>
      </c>
      <c r="H502" s="8">
        <v>20250401</v>
      </c>
      <c r="I502" s="8" t="str">
        <f t="shared" si="36"/>
        <v>4/1/2025</v>
      </c>
      <c r="J502" s="8">
        <v>20231201</v>
      </c>
      <c r="K502" s="8" t="str">
        <f t="shared" si="37"/>
        <v>12/1/2023</v>
      </c>
      <c r="L502" s="8" t="s">
        <v>65</v>
      </c>
      <c r="M502" s="8">
        <v>25</v>
      </c>
      <c r="N502" s="8">
        <v>25</v>
      </c>
      <c r="O502" s="14" t="s">
        <v>3948</v>
      </c>
    </row>
    <row r="503" spans="1:16" ht="15" customHeight="1" x14ac:dyDescent="0.3">
      <c r="A503" s="7" t="s">
        <v>3920</v>
      </c>
      <c r="B503" s="7">
        <v>8325282</v>
      </c>
      <c r="C503" s="8">
        <v>1</v>
      </c>
      <c r="D503" s="8">
        <v>921559300</v>
      </c>
      <c r="E503" s="8" t="str">
        <f t="shared" si="39"/>
        <v>92155930044</v>
      </c>
      <c r="F503" s="8" t="s">
        <v>3262</v>
      </c>
      <c r="G503" s="8">
        <v>1</v>
      </c>
      <c r="H503" s="8">
        <v>20250301</v>
      </c>
      <c r="I503" s="8" t="str">
        <f t="shared" si="36"/>
        <v>3/1/2025</v>
      </c>
      <c r="J503" s="8">
        <v>20230201</v>
      </c>
      <c r="K503" s="8" t="str">
        <f t="shared" si="37"/>
        <v>2/1/2023</v>
      </c>
      <c r="L503" s="8" t="s">
        <v>65</v>
      </c>
      <c r="M503" s="8">
        <v>25</v>
      </c>
      <c r="N503" s="8">
        <v>25</v>
      </c>
      <c r="O503" s="14" t="s">
        <v>3948</v>
      </c>
    </row>
    <row r="504" spans="1:16" ht="15" customHeight="1" x14ac:dyDescent="0.3">
      <c r="A504" s="7" t="s">
        <v>3920</v>
      </c>
      <c r="B504" s="7">
        <v>8325282</v>
      </c>
      <c r="C504" s="8">
        <v>1</v>
      </c>
      <c r="D504" s="8">
        <v>921618617</v>
      </c>
      <c r="E504" s="8" t="str">
        <f t="shared" si="39"/>
        <v>92161861744</v>
      </c>
      <c r="F504" s="8" t="s">
        <v>3282</v>
      </c>
      <c r="G504" s="8">
        <v>1</v>
      </c>
      <c r="H504" s="8">
        <v>20250301</v>
      </c>
      <c r="I504" s="8" t="str">
        <f t="shared" si="36"/>
        <v>3/1/2025</v>
      </c>
      <c r="J504" s="8">
        <v>20220801</v>
      </c>
      <c r="K504" s="8" t="str">
        <f t="shared" si="37"/>
        <v>8/1/2022</v>
      </c>
      <c r="L504" s="8" t="s">
        <v>65</v>
      </c>
      <c r="M504" s="8">
        <v>25</v>
      </c>
      <c r="N504" s="8">
        <v>25</v>
      </c>
      <c r="O504" s="14" t="s">
        <v>3948</v>
      </c>
    </row>
    <row r="505" spans="1:16" ht="15" customHeight="1" x14ac:dyDescent="0.3">
      <c r="A505" s="7" t="s">
        <v>3920</v>
      </c>
      <c r="B505" s="7">
        <v>8325282</v>
      </c>
      <c r="C505" s="8">
        <v>2</v>
      </c>
      <c r="D505" s="8">
        <v>921060189</v>
      </c>
      <c r="E505" s="8" t="str">
        <f t="shared" si="39"/>
        <v>92106018944</v>
      </c>
      <c r="F505" s="8" t="s">
        <v>3212</v>
      </c>
      <c r="G505" s="8">
        <v>1</v>
      </c>
      <c r="H505" s="8">
        <v>20250401</v>
      </c>
      <c r="I505" s="8" t="str">
        <f t="shared" si="36"/>
        <v>4/1/2025</v>
      </c>
      <c r="J505" s="8">
        <v>20150101</v>
      </c>
      <c r="K505" s="8" t="str">
        <f t="shared" si="37"/>
        <v>1/1/2015</v>
      </c>
      <c r="L505" s="8" t="s">
        <v>65</v>
      </c>
      <c r="M505" s="8">
        <v>25</v>
      </c>
      <c r="N505" s="8">
        <v>50</v>
      </c>
      <c r="O505" s="14" t="s">
        <v>3948</v>
      </c>
      <c r="P505" s="6" t="s">
        <v>3952</v>
      </c>
    </row>
    <row r="506" spans="1:16" ht="15" customHeight="1" x14ac:dyDescent="0.3">
      <c r="A506" s="7" t="s">
        <v>3920</v>
      </c>
      <c r="B506" s="7">
        <v>8325282</v>
      </c>
      <c r="C506" s="8">
        <v>2</v>
      </c>
      <c r="D506" s="8">
        <v>921410093</v>
      </c>
      <c r="E506" s="8" t="str">
        <f t="shared" si="39"/>
        <v>92141009344</v>
      </c>
      <c r="F506" s="8" t="s">
        <v>3230</v>
      </c>
      <c r="G506" s="8">
        <v>1</v>
      </c>
      <c r="H506" s="8">
        <v>20250401</v>
      </c>
      <c r="I506" s="8" t="str">
        <f t="shared" si="36"/>
        <v>4/1/2025</v>
      </c>
      <c r="J506" s="8">
        <v>20180201</v>
      </c>
      <c r="K506" s="8" t="str">
        <f t="shared" si="37"/>
        <v>2/1/2018</v>
      </c>
      <c r="L506" s="8" t="s">
        <v>65</v>
      </c>
      <c r="M506" s="8">
        <v>25</v>
      </c>
      <c r="N506" s="8">
        <v>50</v>
      </c>
      <c r="O506" s="14" t="s">
        <v>3948</v>
      </c>
      <c r="P506" s="6" t="s">
        <v>3952</v>
      </c>
    </row>
    <row r="507" spans="1:16" ht="15" customHeight="1" x14ac:dyDescent="0.3">
      <c r="A507" s="7" t="s">
        <v>3920</v>
      </c>
      <c r="B507" s="7">
        <v>8325282</v>
      </c>
      <c r="C507" s="8">
        <v>2</v>
      </c>
      <c r="D507" s="8">
        <v>921560384</v>
      </c>
      <c r="E507" s="8" t="str">
        <f t="shared" si="39"/>
        <v>92156038444</v>
      </c>
      <c r="F507" s="8" t="s">
        <v>3264</v>
      </c>
      <c r="G507" s="8">
        <v>1</v>
      </c>
      <c r="H507" s="8">
        <v>20250401</v>
      </c>
      <c r="I507" s="8" t="str">
        <f t="shared" si="36"/>
        <v>4/1/2025</v>
      </c>
      <c r="J507" s="8">
        <v>20210301</v>
      </c>
      <c r="K507" s="8" t="str">
        <f t="shared" si="37"/>
        <v>3/1/2021</v>
      </c>
      <c r="L507" s="8" t="s">
        <v>65</v>
      </c>
      <c r="M507" s="8">
        <v>25</v>
      </c>
      <c r="N507" s="8">
        <v>50</v>
      </c>
      <c r="O507" s="14" t="s">
        <v>3948</v>
      </c>
      <c r="P507" s="6" t="s">
        <v>3952</v>
      </c>
    </row>
    <row r="508" spans="1:16" ht="15" customHeight="1" x14ac:dyDescent="0.3">
      <c r="A508" s="7" t="s">
        <v>3920</v>
      </c>
      <c r="B508" s="7">
        <v>8325282</v>
      </c>
      <c r="C508" s="8">
        <v>1</v>
      </c>
      <c r="D508" s="8">
        <v>921749527</v>
      </c>
      <c r="E508" s="8" t="str">
        <f t="shared" si="39"/>
        <v>92174952744</v>
      </c>
      <c r="F508" s="8" t="s">
        <v>3321</v>
      </c>
      <c r="G508" s="8">
        <v>1</v>
      </c>
      <c r="H508" s="8">
        <v>20250401</v>
      </c>
      <c r="I508" s="8" t="str">
        <f t="shared" si="36"/>
        <v>4/1/2025</v>
      </c>
      <c r="J508" s="8">
        <v>20250101</v>
      </c>
      <c r="K508" s="8" t="str">
        <f t="shared" si="37"/>
        <v>1/1/2025</v>
      </c>
      <c r="L508" s="8" t="s">
        <v>65</v>
      </c>
      <c r="M508" s="8">
        <v>30</v>
      </c>
      <c r="N508" s="8">
        <v>30</v>
      </c>
      <c r="O508" s="14" t="s">
        <v>3948</v>
      </c>
    </row>
    <row r="509" spans="1:16" ht="15" customHeight="1" x14ac:dyDescent="0.3">
      <c r="A509" s="7" t="s">
        <v>3920</v>
      </c>
      <c r="B509" s="7">
        <v>8325282</v>
      </c>
      <c r="C509" s="8">
        <v>1</v>
      </c>
      <c r="D509" s="8">
        <v>921753448</v>
      </c>
      <c r="E509" s="8" t="str">
        <f t="shared" si="39"/>
        <v>92175344844</v>
      </c>
      <c r="F509" s="8" t="s">
        <v>3328</v>
      </c>
      <c r="G509" s="8">
        <v>1</v>
      </c>
      <c r="H509" s="8">
        <v>20250401</v>
      </c>
      <c r="I509" s="8" t="str">
        <f t="shared" si="36"/>
        <v>4/1/2025</v>
      </c>
      <c r="J509" s="8">
        <v>20250101</v>
      </c>
      <c r="K509" s="8" t="str">
        <f t="shared" si="37"/>
        <v>1/1/2025</v>
      </c>
      <c r="L509" s="8" t="s">
        <v>65</v>
      </c>
      <c r="M509" s="8">
        <v>30</v>
      </c>
      <c r="N509" s="8">
        <v>30</v>
      </c>
      <c r="O509" s="14" t="s">
        <v>3948</v>
      </c>
    </row>
    <row r="510" spans="1:16" ht="15" customHeight="1" x14ac:dyDescent="0.3">
      <c r="A510" s="7" t="s">
        <v>3920</v>
      </c>
      <c r="B510" s="7">
        <v>8325282</v>
      </c>
      <c r="C510" s="8">
        <v>1</v>
      </c>
      <c r="D510" s="8">
        <v>921753939</v>
      </c>
      <c r="E510" s="8" t="str">
        <f t="shared" si="39"/>
        <v>92175393944</v>
      </c>
      <c r="F510" s="8" t="s">
        <v>3330</v>
      </c>
      <c r="G510" s="8">
        <v>1</v>
      </c>
      <c r="H510" s="8">
        <v>20250401</v>
      </c>
      <c r="I510" s="8" t="str">
        <f t="shared" si="36"/>
        <v>4/1/2025</v>
      </c>
      <c r="J510" s="8">
        <v>20250101</v>
      </c>
      <c r="K510" s="8" t="str">
        <f t="shared" si="37"/>
        <v>1/1/2025</v>
      </c>
      <c r="L510" s="8" t="s">
        <v>65</v>
      </c>
      <c r="M510" s="8">
        <v>30</v>
      </c>
      <c r="N510" s="8">
        <v>30</v>
      </c>
      <c r="O510" s="14" t="s">
        <v>3948</v>
      </c>
    </row>
    <row r="511" spans="1:16" ht="15" customHeight="1" x14ac:dyDescent="0.3">
      <c r="A511" s="7" t="s">
        <v>3920</v>
      </c>
      <c r="B511" s="7">
        <v>8325282</v>
      </c>
      <c r="C511" s="8">
        <v>1</v>
      </c>
      <c r="D511" s="8">
        <v>921770026</v>
      </c>
      <c r="E511" s="8" t="str">
        <f t="shared" si="39"/>
        <v>92177002644</v>
      </c>
      <c r="F511" s="8" t="s">
        <v>3340</v>
      </c>
      <c r="G511" s="8">
        <v>1</v>
      </c>
      <c r="H511" s="8">
        <v>20250401</v>
      </c>
      <c r="I511" s="8" t="str">
        <f t="shared" si="36"/>
        <v>4/1/2025</v>
      </c>
      <c r="J511" s="8">
        <v>20250201</v>
      </c>
      <c r="K511" s="8" t="str">
        <f t="shared" si="37"/>
        <v>2/1/2025</v>
      </c>
      <c r="L511" s="8" t="s">
        <v>65</v>
      </c>
      <c r="M511" s="8">
        <v>30</v>
      </c>
      <c r="N511" s="8">
        <v>30</v>
      </c>
      <c r="O511" s="14" t="s">
        <v>3948</v>
      </c>
    </row>
    <row r="512" spans="1:16" ht="15" customHeight="1" x14ac:dyDescent="0.3">
      <c r="A512" s="7" t="s">
        <v>3920</v>
      </c>
      <c r="B512" s="7">
        <v>8325282</v>
      </c>
      <c r="C512" s="8">
        <v>1</v>
      </c>
      <c r="D512" s="8">
        <v>921774856</v>
      </c>
      <c r="E512" s="8" t="str">
        <f t="shared" si="39"/>
        <v>92177485644</v>
      </c>
      <c r="F512" s="8" t="s">
        <v>3345</v>
      </c>
      <c r="G512" s="8">
        <v>1</v>
      </c>
      <c r="H512" s="8">
        <v>20250401</v>
      </c>
      <c r="I512" s="8" t="str">
        <f t="shared" si="36"/>
        <v>4/1/2025</v>
      </c>
      <c r="J512" s="8">
        <v>20250301</v>
      </c>
      <c r="K512" s="8" t="str">
        <f t="shared" si="37"/>
        <v>3/1/2025</v>
      </c>
      <c r="L512" s="8" t="s">
        <v>65</v>
      </c>
      <c r="M512" s="8">
        <v>30</v>
      </c>
      <c r="N512" s="8">
        <v>30</v>
      </c>
      <c r="O512" s="14" t="s">
        <v>3948</v>
      </c>
    </row>
    <row r="513" spans="1:37" ht="15" customHeight="1" x14ac:dyDescent="0.3">
      <c r="A513" s="7" t="s">
        <v>3920</v>
      </c>
      <c r="B513" s="7">
        <v>8325282</v>
      </c>
      <c r="C513" s="8">
        <v>1</v>
      </c>
      <c r="D513" s="8">
        <v>921779442</v>
      </c>
      <c r="E513" s="8" t="str">
        <f t="shared" si="39"/>
        <v>92177944244</v>
      </c>
      <c r="F513" s="8" t="s">
        <v>3356</v>
      </c>
      <c r="G513" s="8">
        <v>1</v>
      </c>
      <c r="H513" s="8">
        <v>20250401</v>
      </c>
      <c r="I513" s="8" t="str">
        <f t="shared" si="36"/>
        <v>4/1/2025</v>
      </c>
      <c r="J513" s="8">
        <v>20250301</v>
      </c>
      <c r="K513" s="8" t="str">
        <f t="shared" si="37"/>
        <v>3/1/2025</v>
      </c>
      <c r="L513" s="8" t="s">
        <v>65</v>
      </c>
      <c r="M513" s="8">
        <v>30</v>
      </c>
      <c r="N513" s="8">
        <v>30</v>
      </c>
      <c r="O513" s="14" t="s">
        <v>3948</v>
      </c>
    </row>
    <row r="514" spans="1:37" ht="15" customHeight="1" x14ac:dyDescent="0.3">
      <c r="A514" s="7" t="s">
        <v>3920</v>
      </c>
      <c r="B514" s="7">
        <v>8325282</v>
      </c>
      <c r="C514" s="8">
        <v>3</v>
      </c>
      <c r="D514" s="8">
        <v>921761322</v>
      </c>
      <c r="E514" s="8" t="str">
        <f t="shared" si="39"/>
        <v>92176132244</v>
      </c>
      <c r="F514" s="8" t="s">
        <v>3332</v>
      </c>
      <c r="G514" s="8">
        <v>1</v>
      </c>
      <c r="H514" s="8">
        <v>20250401</v>
      </c>
      <c r="I514" s="8" t="str">
        <f t="shared" si="36"/>
        <v>4/1/2025</v>
      </c>
      <c r="J514" s="8">
        <v>20250101</v>
      </c>
      <c r="K514" s="8" t="str">
        <f t="shared" si="37"/>
        <v>1/1/2025</v>
      </c>
      <c r="L514" s="8" t="s">
        <v>65</v>
      </c>
      <c r="M514" s="8">
        <v>30</v>
      </c>
      <c r="N514" s="8">
        <v>90</v>
      </c>
      <c r="O514" s="14" t="s">
        <v>3948</v>
      </c>
      <c r="P514" s="6" t="s">
        <v>3953</v>
      </c>
      <c r="AK514" s="12"/>
    </row>
    <row r="515" spans="1:37" ht="15" customHeight="1" x14ac:dyDescent="0.3">
      <c r="A515" s="7" t="s">
        <v>3920</v>
      </c>
      <c r="B515" s="7">
        <v>8325282</v>
      </c>
      <c r="C515" s="8">
        <v>3</v>
      </c>
      <c r="D515" s="8">
        <v>921775848</v>
      </c>
      <c r="E515" s="8" t="str">
        <f t="shared" si="39"/>
        <v>92177584844</v>
      </c>
      <c r="F515" s="8" t="s">
        <v>3351</v>
      </c>
      <c r="G515" s="8">
        <v>1</v>
      </c>
      <c r="H515" s="8">
        <v>20250401</v>
      </c>
      <c r="I515" s="8" t="str">
        <f t="shared" ref="I515:I578" si="40">TEXT(DATE(LEFT(H515,4), MID(H515,5,2), RIGHT(H515,2)), "M/d/yyyy")</f>
        <v>4/1/2025</v>
      </c>
      <c r="J515" s="8">
        <v>20250201</v>
      </c>
      <c r="K515" s="8" t="str">
        <f t="shared" ref="K515:K578" si="41">TEXT(DATE(LEFT(J515,4), MID(J515,5,2), RIGHT(J515,2)), "M/d/yyyy")</f>
        <v>2/1/2025</v>
      </c>
      <c r="L515" s="8" t="s">
        <v>65</v>
      </c>
      <c r="M515" s="8">
        <v>30</v>
      </c>
      <c r="N515" s="8">
        <v>90</v>
      </c>
      <c r="O515" s="14" t="s">
        <v>3948</v>
      </c>
      <c r="P515" s="6" t="s">
        <v>3953</v>
      </c>
      <c r="AK515" s="12"/>
    </row>
    <row r="516" spans="1:37" ht="15" customHeight="1" x14ac:dyDescent="0.3">
      <c r="A516" s="7" t="s">
        <v>3920</v>
      </c>
      <c r="B516" s="7">
        <v>8325282</v>
      </c>
      <c r="C516" s="6">
        <v>-1</v>
      </c>
      <c r="D516" s="8">
        <v>921771373</v>
      </c>
      <c r="E516" s="8" t="str">
        <f t="shared" si="39"/>
        <v>92177137344</v>
      </c>
      <c r="F516" s="8" t="s">
        <v>3342</v>
      </c>
      <c r="G516" s="8">
        <v>-1</v>
      </c>
      <c r="H516" s="8">
        <v>20250301</v>
      </c>
      <c r="I516" s="8" t="str">
        <f t="shared" si="40"/>
        <v>3/1/2025</v>
      </c>
      <c r="J516" s="8">
        <v>20250201</v>
      </c>
      <c r="K516" s="8" t="str">
        <f t="shared" si="41"/>
        <v>2/1/2025</v>
      </c>
      <c r="L516" s="8" t="s">
        <v>65</v>
      </c>
      <c r="M516" s="8">
        <v>30</v>
      </c>
      <c r="N516" s="8">
        <v>-30</v>
      </c>
      <c r="O516" s="14" t="s">
        <v>3948</v>
      </c>
    </row>
    <row r="517" spans="1:37" ht="15" customHeight="1" x14ac:dyDescent="0.2">
      <c r="A517" s="7" t="s">
        <v>3920</v>
      </c>
      <c r="B517" s="7">
        <v>8325282</v>
      </c>
      <c r="C517" s="8">
        <v>1</v>
      </c>
      <c r="D517" s="8">
        <v>921549194</v>
      </c>
      <c r="E517" s="8" t="str">
        <f t="shared" ref="E517:E523" si="42">CONCATENATE(D517,55)</f>
        <v>92154919455</v>
      </c>
      <c r="F517" s="8" t="s">
        <v>3255</v>
      </c>
      <c r="G517" s="8">
        <v>1</v>
      </c>
      <c r="H517" s="8">
        <v>20250401</v>
      </c>
      <c r="I517" s="8" t="str">
        <f t="shared" si="40"/>
        <v>4/1/2025</v>
      </c>
      <c r="J517" s="8">
        <v>20210101</v>
      </c>
      <c r="K517" s="8" t="str">
        <f t="shared" si="41"/>
        <v>1/1/2021</v>
      </c>
      <c r="L517" s="8" t="s">
        <v>138</v>
      </c>
      <c r="M517" s="8">
        <v>20</v>
      </c>
      <c r="N517" s="8">
        <v>20</v>
      </c>
      <c r="O517" s="6" t="s">
        <v>3946</v>
      </c>
    </row>
    <row r="518" spans="1:37" ht="15" customHeight="1" x14ac:dyDescent="0.2">
      <c r="A518" s="7" t="s">
        <v>3920</v>
      </c>
      <c r="B518" s="7">
        <v>8325282</v>
      </c>
      <c r="C518" s="8">
        <v>1</v>
      </c>
      <c r="D518" s="8">
        <v>921549194</v>
      </c>
      <c r="E518" s="8" t="str">
        <f t="shared" si="42"/>
        <v>92154919455</v>
      </c>
      <c r="F518" s="8" t="s">
        <v>3255</v>
      </c>
      <c r="G518" s="8">
        <v>1</v>
      </c>
      <c r="H518" s="8">
        <v>20250301</v>
      </c>
      <c r="I518" s="8" t="str">
        <f t="shared" si="40"/>
        <v>3/1/2025</v>
      </c>
      <c r="J518" s="8">
        <v>20210101</v>
      </c>
      <c r="K518" s="8" t="str">
        <f t="shared" si="41"/>
        <v>1/1/2021</v>
      </c>
      <c r="L518" s="8" t="s">
        <v>138</v>
      </c>
      <c r="M518" s="8">
        <v>20</v>
      </c>
      <c r="N518" s="8">
        <v>20</v>
      </c>
      <c r="O518" s="6" t="s">
        <v>3946</v>
      </c>
    </row>
    <row r="519" spans="1:37" ht="15" customHeight="1" x14ac:dyDescent="0.2">
      <c r="A519" s="7" t="s">
        <v>3920</v>
      </c>
      <c r="B519" s="7">
        <v>8325282</v>
      </c>
      <c r="C519" s="8">
        <v>1</v>
      </c>
      <c r="D519" s="8">
        <v>921572037</v>
      </c>
      <c r="E519" s="8" t="str">
        <f t="shared" si="42"/>
        <v>92157203755</v>
      </c>
      <c r="F519" s="8" t="s">
        <v>3272</v>
      </c>
      <c r="G519" s="8">
        <v>1</v>
      </c>
      <c r="H519" s="8">
        <v>20250401</v>
      </c>
      <c r="I519" s="8" t="str">
        <f t="shared" si="40"/>
        <v>4/1/2025</v>
      </c>
      <c r="J519" s="8">
        <v>20210701</v>
      </c>
      <c r="K519" s="8" t="str">
        <f t="shared" si="41"/>
        <v>7/1/2021</v>
      </c>
      <c r="L519" s="8" t="s">
        <v>138</v>
      </c>
      <c r="M519" s="8">
        <v>20</v>
      </c>
      <c r="N519" s="8">
        <v>20</v>
      </c>
      <c r="O519" s="6" t="s">
        <v>3946</v>
      </c>
    </row>
    <row r="520" spans="1:37" ht="15" customHeight="1" x14ac:dyDescent="0.2">
      <c r="A520" s="7" t="s">
        <v>3920</v>
      </c>
      <c r="B520" s="7">
        <v>8325282</v>
      </c>
      <c r="C520" s="8">
        <v>1</v>
      </c>
      <c r="D520" s="8">
        <v>921657715</v>
      </c>
      <c r="E520" s="8" t="str">
        <f t="shared" si="42"/>
        <v>92165771555</v>
      </c>
      <c r="F520" s="8" t="s">
        <v>3294</v>
      </c>
      <c r="G520" s="8">
        <v>1</v>
      </c>
      <c r="H520" s="8">
        <v>20250401</v>
      </c>
      <c r="I520" s="8" t="str">
        <f t="shared" si="40"/>
        <v>4/1/2025</v>
      </c>
      <c r="J520" s="8">
        <v>20230501</v>
      </c>
      <c r="K520" s="8" t="str">
        <f t="shared" si="41"/>
        <v>5/1/2023</v>
      </c>
      <c r="L520" s="8" t="s">
        <v>138</v>
      </c>
      <c r="M520" s="8">
        <v>20</v>
      </c>
      <c r="N520" s="8">
        <v>20</v>
      </c>
      <c r="O520" s="6" t="s">
        <v>3946</v>
      </c>
    </row>
    <row r="521" spans="1:37" ht="15" customHeight="1" x14ac:dyDescent="0.2">
      <c r="A521" s="7" t="s">
        <v>3920</v>
      </c>
      <c r="B521" s="7">
        <v>8325282</v>
      </c>
      <c r="C521" s="8">
        <v>2</v>
      </c>
      <c r="D521" s="8">
        <v>921608326</v>
      </c>
      <c r="E521" s="8" t="str">
        <f t="shared" si="42"/>
        <v>92160832655</v>
      </c>
      <c r="F521" s="8" t="s">
        <v>3278</v>
      </c>
      <c r="G521" s="8">
        <v>1</v>
      </c>
      <c r="H521" s="8">
        <v>20250401</v>
      </c>
      <c r="I521" s="8" t="str">
        <f t="shared" si="40"/>
        <v>4/1/2025</v>
      </c>
      <c r="J521" s="8">
        <v>20220301</v>
      </c>
      <c r="K521" s="8" t="str">
        <f t="shared" si="41"/>
        <v>3/1/2022</v>
      </c>
      <c r="L521" s="8" t="s">
        <v>138</v>
      </c>
      <c r="M521" s="8">
        <v>20</v>
      </c>
      <c r="N521" s="8">
        <v>40</v>
      </c>
      <c r="O521" s="6" t="s">
        <v>3946</v>
      </c>
      <c r="P521" s="6" t="s">
        <v>3952</v>
      </c>
    </row>
    <row r="522" spans="1:37" ht="15" customHeight="1" x14ac:dyDescent="0.2">
      <c r="A522" s="7" t="s">
        <v>3920</v>
      </c>
      <c r="B522" s="7">
        <v>8325282</v>
      </c>
      <c r="C522" s="8">
        <v>4</v>
      </c>
      <c r="D522" s="8">
        <v>921019452</v>
      </c>
      <c r="E522" s="8" t="str">
        <f t="shared" si="42"/>
        <v>92101945255</v>
      </c>
      <c r="F522" s="8" t="s">
        <v>3210</v>
      </c>
      <c r="G522" s="8">
        <v>1</v>
      </c>
      <c r="H522" s="8">
        <v>20250401</v>
      </c>
      <c r="I522" s="8" t="str">
        <f t="shared" si="40"/>
        <v>4/1/2025</v>
      </c>
      <c r="J522" s="8">
        <v>20150101</v>
      </c>
      <c r="K522" s="8" t="str">
        <f t="shared" si="41"/>
        <v>1/1/2015</v>
      </c>
      <c r="L522" s="8" t="s">
        <v>138</v>
      </c>
      <c r="M522" s="8">
        <v>20</v>
      </c>
      <c r="N522" s="8">
        <v>80</v>
      </c>
      <c r="O522" s="6" t="s">
        <v>3946</v>
      </c>
      <c r="P522" s="6" t="s">
        <v>3954</v>
      </c>
    </row>
    <row r="523" spans="1:37" ht="15" customHeight="1" x14ac:dyDescent="0.2">
      <c r="A523" s="7" t="s">
        <v>3920</v>
      </c>
      <c r="B523" s="7">
        <v>8325282</v>
      </c>
      <c r="C523" s="8">
        <v>4</v>
      </c>
      <c r="D523" s="8">
        <v>921019452</v>
      </c>
      <c r="E523" s="8" t="str">
        <f t="shared" si="42"/>
        <v>92101945255</v>
      </c>
      <c r="F523" s="8" t="s">
        <v>3210</v>
      </c>
      <c r="G523" s="8">
        <v>1</v>
      </c>
      <c r="H523" s="8">
        <v>20250301</v>
      </c>
      <c r="I523" s="8" t="str">
        <f t="shared" si="40"/>
        <v>3/1/2025</v>
      </c>
      <c r="J523" s="8">
        <v>20150101</v>
      </c>
      <c r="K523" s="8" t="str">
        <f t="shared" si="41"/>
        <v>1/1/2015</v>
      </c>
      <c r="L523" s="8" t="s">
        <v>138</v>
      </c>
      <c r="M523" s="8">
        <v>20</v>
      </c>
      <c r="N523" s="8">
        <v>80</v>
      </c>
      <c r="O523" s="6" t="s">
        <v>3946</v>
      </c>
      <c r="P523" s="6" t="s">
        <v>3954</v>
      </c>
    </row>
    <row r="524" spans="1:37" ht="15" customHeight="1" x14ac:dyDescent="0.2">
      <c r="A524" s="7" t="s">
        <v>3920</v>
      </c>
      <c r="B524" s="7">
        <v>8325282</v>
      </c>
      <c r="D524" s="8">
        <v>921712330</v>
      </c>
      <c r="E524" s="8" t="str">
        <f>CONCATENATE(1,D524)</f>
        <v>1921712330</v>
      </c>
      <c r="F524" s="8" t="s">
        <v>3311</v>
      </c>
      <c r="G524" s="8">
        <v>30.66</v>
      </c>
      <c r="H524" s="8">
        <v>20250401</v>
      </c>
      <c r="I524" s="8" t="str">
        <f t="shared" si="40"/>
        <v>4/1/2025</v>
      </c>
      <c r="J524" s="8">
        <v>20250101</v>
      </c>
      <c r="K524" s="8" t="str">
        <f t="shared" si="41"/>
        <v>1/1/2025</v>
      </c>
      <c r="L524" s="8" t="s">
        <v>116</v>
      </c>
      <c r="M524" s="8">
        <v>0.06</v>
      </c>
      <c r="N524" s="8">
        <v>1.84</v>
      </c>
      <c r="O524" s="6" t="s">
        <v>3938</v>
      </c>
    </row>
    <row r="525" spans="1:37" ht="15" customHeight="1" x14ac:dyDescent="0.2">
      <c r="A525" s="7" t="s">
        <v>3920</v>
      </c>
      <c r="B525" s="7">
        <v>8325282</v>
      </c>
      <c r="D525" s="8">
        <v>921331639</v>
      </c>
      <c r="E525" s="8" t="str">
        <f>CONCATENATE(1,D525)</f>
        <v>1921331639</v>
      </c>
      <c r="F525" s="8" t="s">
        <v>3220</v>
      </c>
      <c r="G525" s="8">
        <v>35.729999999999997</v>
      </c>
      <c r="H525" s="8">
        <v>20250401</v>
      </c>
      <c r="I525" s="8" t="str">
        <f t="shared" si="40"/>
        <v>4/1/2025</v>
      </c>
      <c r="J525" s="8">
        <v>20250101</v>
      </c>
      <c r="K525" s="8" t="str">
        <f t="shared" si="41"/>
        <v>1/1/2025</v>
      </c>
      <c r="L525" s="8" t="s">
        <v>116</v>
      </c>
      <c r="M525" s="8">
        <v>0.06</v>
      </c>
      <c r="N525" s="8">
        <v>2.14</v>
      </c>
      <c r="O525" s="6" t="s">
        <v>3938</v>
      </c>
    </row>
    <row r="526" spans="1:37" ht="15" customHeight="1" x14ac:dyDescent="0.2">
      <c r="A526" s="7" t="s">
        <v>3920</v>
      </c>
      <c r="B526" s="7">
        <v>8325282</v>
      </c>
      <c r="D526" s="8">
        <v>957199512</v>
      </c>
      <c r="E526" s="8" t="str">
        <f t="shared" ref="E526:E542" si="43">CONCATENATE(D526,9)</f>
        <v>9571995129</v>
      </c>
      <c r="F526" s="8" t="s">
        <v>3372</v>
      </c>
      <c r="G526" s="8">
        <v>121.58</v>
      </c>
      <c r="H526" s="8">
        <v>20250301</v>
      </c>
      <c r="I526" s="8" t="str">
        <f t="shared" si="40"/>
        <v>3/1/2025</v>
      </c>
      <c r="J526" s="8">
        <v>20250101</v>
      </c>
      <c r="K526" s="8" t="str">
        <f t="shared" si="41"/>
        <v>1/1/2025</v>
      </c>
      <c r="L526" s="8" t="s">
        <v>980</v>
      </c>
      <c r="M526" s="8">
        <v>0.18</v>
      </c>
      <c r="N526" s="8">
        <v>21.88</v>
      </c>
      <c r="O526" s="6" t="s">
        <v>3944</v>
      </c>
    </row>
    <row r="527" spans="1:37" ht="15" customHeight="1" x14ac:dyDescent="0.2">
      <c r="A527" s="7" t="s">
        <v>3920</v>
      </c>
      <c r="B527" s="7">
        <v>8325282</v>
      </c>
      <c r="D527" s="8">
        <v>957181234</v>
      </c>
      <c r="E527" s="8" t="str">
        <f t="shared" si="43"/>
        <v>9571812349</v>
      </c>
      <c r="F527" s="8" t="s">
        <v>3360</v>
      </c>
      <c r="G527" s="8">
        <v>128.49</v>
      </c>
      <c r="H527" s="8">
        <v>20250301</v>
      </c>
      <c r="I527" s="8" t="str">
        <f t="shared" si="40"/>
        <v>3/1/2025</v>
      </c>
      <c r="J527" s="8">
        <v>20240801</v>
      </c>
      <c r="K527" s="8" t="str">
        <f t="shared" si="41"/>
        <v>8/1/2024</v>
      </c>
      <c r="L527" s="8" t="s">
        <v>980</v>
      </c>
      <c r="M527" s="8">
        <v>0.18</v>
      </c>
      <c r="N527" s="8">
        <v>23.13</v>
      </c>
      <c r="O527" s="6" t="s">
        <v>3944</v>
      </c>
    </row>
    <row r="528" spans="1:37" ht="15" customHeight="1" x14ac:dyDescent="0.2">
      <c r="A528" s="7" t="s">
        <v>3920</v>
      </c>
      <c r="B528" s="7">
        <v>8325282</v>
      </c>
      <c r="D528" s="8">
        <v>957182082</v>
      </c>
      <c r="E528" s="8" t="str">
        <f t="shared" si="43"/>
        <v>9571820829</v>
      </c>
      <c r="F528" s="8" t="s">
        <v>3362</v>
      </c>
      <c r="G528" s="8">
        <v>135.13</v>
      </c>
      <c r="H528" s="8">
        <v>20250301</v>
      </c>
      <c r="I528" s="8" t="str">
        <f t="shared" si="40"/>
        <v>3/1/2025</v>
      </c>
      <c r="J528" s="8">
        <v>20240901</v>
      </c>
      <c r="K528" s="8" t="str">
        <f t="shared" si="41"/>
        <v>9/1/2024</v>
      </c>
      <c r="L528" s="8" t="s">
        <v>980</v>
      </c>
      <c r="M528" s="8">
        <v>0.18</v>
      </c>
      <c r="N528" s="8">
        <v>24.32</v>
      </c>
      <c r="O528" s="6" t="s">
        <v>3944</v>
      </c>
    </row>
    <row r="529" spans="1:15" ht="15" customHeight="1" x14ac:dyDescent="0.2">
      <c r="A529" s="7" t="s">
        <v>3920</v>
      </c>
      <c r="B529" s="7">
        <v>8325282</v>
      </c>
      <c r="D529" s="8">
        <v>957182082</v>
      </c>
      <c r="E529" s="8" t="str">
        <f t="shared" si="43"/>
        <v>9571820829</v>
      </c>
      <c r="F529" s="8" t="s">
        <v>3362</v>
      </c>
      <c r="G529" s="8">
        <v>135.13</v>
      </c>
      <c r="H529" s="8">
        <v>20250301</v>
      </c>
      <c r="I529" s="8" t="str">
        <f t="shared" si="40"/>
        <v>3/1/2025</v>
      </c>
      <c r="J529" s="8">
        <v>20240901</v>
      </c>
      <c r="K529" s="8" t="str">
        <f t="shared" si="41"/>
        <v>9/1/2024</v>
      </c>
      <c r="L529" s="8" t="s">
        <v>980</v>
      </c>
      <c r="M529" s="8">
        <v>0.18</v>
      </c>
      <c r="N529" s="8">
        <v>24.32</v>
      </c>
      <c r="O529" s="6" t="s">
        <v>3944</v>
      </c>
    </row>
    <row r="530" spans="1:15" ht="15" customHeight="1" x14ac:dyDescent="0.2">
      <c r="A530" s="7" t="s">
        <v>3920</v>
      </c>
      <c r="B530" s="7">
        <v>8325282</v>
      </c>
      <c r="D530" s="8">
        <v>957182082</v>
      </c>
      <c r="E530" s="8" t="str">
        <f t="shared" si="43"/>
        <v>9571820829</v>
      </c>
      <c r="F530" s="8" t="s">
        <v>3362</v>
      </c>
      <c r="G530" s="8">
        <v>135.13</v>
      </c>
      <c r="H530" s="8">
        <v>20250201</v>
      </c>
      <c r="I530" s="8" t="str">
        <f t="shared" si="40"/>
        <v>2/1/2025</v>
      </c>
      <c r="J530" s="8">
        <v>20240901</v>
      </c>
      <c r="K530" s="8" t="str">
        <f t="shared" si="41"/>
        <v>9/1/2024</v>
      </c>
      <c r="L530" s="8" t="s">
        <v>980</v>
      </c>
      <c r="M530" s="8">
        <v>0.18</v>
      </c>
      <c r="N530" s="8">
        <v>24.32</v>
      </c>
      <c r="O530" s="6" t="s">
        <v>3944</v>
      </c>
    </row>
    <row r="531" spans="1:15" ht="15" customHeight="1" x14ac:dyDescent="0.2">
      <c r="A531" s="7" t="s">
        <v>3920</v>
      </c>
      <c r="B531" s="7">
        <v>8325282</v>
      </c>
      <c r="D531" s="8">
        <v>957182082</v>
      </c>
      <c r="E531" s="8" t="str">
        <f t="shared" si="43"/>
        <v>9571820829</v>
      </c>
      <c r="F531" s="8" t="s">
        <v>3362</v>
      </c>
      <c r="G531" s="8">
        <v>135.13</v>
      </c>
      <c r="H531" s="8">
        <v>20250101</v>
      </c>
      <c r="I531" s="8" t="str">
        <f t="shared" si="40"/>
        <v>1/1/2025</v>
      </c>
      <c r="J531" s="8">
        <v>20240901</v>
      </c>
      <c r="K531" s="8" t="str">
        <f t="shared" si="41"/>
        <v>9/1/2024</v>
      </c>
      <c r="L531" s="8" t="s">
        <v>980</v>
      </c>
      <c r="M531" s="8">
        <v>0.18</v>
      </c>
      <c r="N531" s="8">
        <v>24.32</v>
      </c>
      <c r="O531" s="6" t="s">
        <v>3944</v>
      </c>
    </row>
    <row r="532" spans="1:15" ht="15" customHeight="1" x14ac:dyDescent="0.2">
      <c r="A532" s="7" t="s">
        <v>3920</v>
      </c>
      <c r="B532" s="7">
        <v>8325282</v>
      </c>
      <c r="D532" s="8">
        <v>957182082</v>
      </c>
      <c r="E532" s="8" t="str">
        <f t="shared" si="43"/>
        <v>9571820829</v>
      </c>
      <c r="F532" s="8" t="s">
        <v>3362</v>
      </c>
      <c r="G532" s="8">
        <v>135.13</v>
      </c>
      <c r="H532" s="8">
        <v>20241201</v>
      </c>
      <c r="I532" s="8" t="str">
        <f t="shared" si="40"/>
        <v>12/1/2024</v>
      </c>
      <c r="J532" s="8">
        <v>20240901</v>
      </c>
      <c r="K532" s="8" t="str">
        <f t="shared" si="41"/>
        <v>9/1/2024</v>
      </c>
      <c r="L532" s="8" t="s">
        <v>980</v>
      </c>
      <c r="M532" s="8">
        <v>0.18</v>
      </c>
      <c r="N532" s="8">
        <v>24.32</v>
      </c>
      <c r="O532" s="6" t="s">
        <v>3944</v>
      </c>
    </row>
    <row r="533" spans="1:15" ht="15" customHeight="1" x14ac:dyDescent="0.2">
      <c r="A533" s="7" t="s">
        <v>3920</v>
      </c>
      <c r="B533" s="7">
        <v>8325282</v>
      </c>
      <c r="D533" s="8">
        <v>957182082</v>
      </c>
      <c r="E533" s="8" t="str">
        <f t="shared" si="43"/>
        <v>9571820829</v>
      </c>
      <c r="F533" s="8" t="s">
        <v>3362</v>
      </c>
      <c r="G533" s="8">
        <v>135.13</v>
      </c>
      <c r="H533" s="8">
        <v>20241101</v>
      </c>
      <c r="I533" s="8" t="str">
        <f t="shared" si="40"/>
        <v>11/1/2024</v>
      </c>
      <c r="J533" s="8">
        <v>20240901</v>
      </c>
      <c r="K533" s="8" t="str">
        <f t="shared" si="41"/>
        <v>9/1/2024</v>
      </c>
      <c r="L533" s="8" t="s">
        <v>980</v>
      </c>
      <c r="M533" s="8">
        <v>0.18</v>
      </c>
      <c r="N533" s="8">
        <v>24.32</v>
      </c>
      <c r="O533" s="6" t="s">
        <v>3944</v>
      </c>
    </row>
    <row r="534" spans="1:15" ht="15" customHeight="1" x14ac:dyDescent="0.2">
      <c r="A534" s="7" t="s">
        <v>3920</v>
      </c>
      <c r="B534" s="7">
        <v>8325282</v>
      </c>
      <c r="D534" s="8">
        <v>957182082</v>
      </c>
      <c r="E534" s="8" t="str">
        <f t="shared" si="43"/>
        <v>9571820829</v>
      </c>
      <c r="F534" s="8" t="s">
        <v>3362</v>
      </c>
      <c r="G534" s="8">
        <v>135.13</v>
      </c>
      <c r="H534" s="8">
        <v>20241001</v>
      </c>
      <c r="I534" s="8" t="str">
        <f t="shared" si="40"/>
        <v>10/1/2024</v>
      </c>
      <c r="J534" s="8">
        <v>20240901</v>
      </c>
      <c r="K534" s="8" t="str">
        <f t="shared" si="41"/>
        <v>9/1/2024</v>
      </c>
      <c r="L534" s="8" t="s">
        <v>980</v>
      </c>
      <c r="M534" s="8">
        <v>0.18</v>
      </c>
      <c r="N534" s="8">
        <v>24.32</v>
      </c>
      <c r="O534" s="6" t="s">
        <v>3944</v>
      </c>
    </row>
    <row r="535" spans="1:15" ht="15" customHeight="1" x14ac:dyDescent="0.2">
      <c r="A535" s="7" t="s">
        <v>3920</v>
      </c>
      <c r="B535" s="7">
        <v>8325282</v>
      </c>
      <c r="D535" s="8">
        <v>957180281</v>
      </c>
      <c r="E535" s="8" t="str">
        <f t="shared" si="43"/>
        <v>9571802819</v>
      </c>
      <c r="F535" s="8" t="s">
        <v>3358</v>
      </c>
      <c r="G535" s="8">
        <v>139.74</v>
      </c>
      <c r="H535" s="8">
        <v>20250401</v>
      </c>
      <c r="I535" s="8" t="str">
        <f t="shared" si="40"/>
        <v>4/1/2025</v>
      </c>
      <c r="J535" s="8">
        <v>20241001</v>
      </c>
      <c r="K535" s="8" t="str">
        <f t="shared" si="41"/>
        <v>10/1/2024</v>
      </c>
      <c r="L535" s="8" t="s">
        <v>980</v>
      </c>
      <c r="M535" s="8">
        <v>0.18</v>
      </c>
      <c r="N535" s="8">
        <v>25.15</v>
      </c>
      <c r="O535" s="6" t="s">
        <v>3944</v>
      </c>
    </row>
    <row r="536" spans="1:15" ht="15" customHeight="1" x14ac:dyDescent="0.2">
      <c r="A536" s="7" t="s">
        <v>3920</v>
      </c>
      <c r="B536" s="7">
        <v>8325282</v>
      </c>
      <c r="D536" s="8">
        <v>957190088</v>
      </c>
      <c r="E536" s="8" t="str">
        <f t="shared" si="43"/>
        <v>9571900889</v>
      </c>
      <c r="F536" s="8" t="s">
        <v>3368</v>
      </c>
      <c r="G536" s="8">
        <v>158.77000000000001</v>
      </c>
      <c r="H536" s="8">
        <v>20250301</v>
      </c>
      <c r="I536" s="8" t="str">
        <f t="shared" si="40"/>
        <v>3/1/2025</v>
      </c>
      <c r="J536" s="8">
        <v>20250101</v>
      </c>
      <c r="K536" s="8" t="str">
        <f t="shared" si="41"/>
        <v>1/1/2025</v>
      </c>
      <c r="L536" s="8" t="s">
        <v>980</v>
      </c>
      <c r="M536" s="8">
        <v>0.18</v>
      </c>
      <c r="N536" s="8">
        <v>28.58</v>
      </c>
      <c r="O536" s="6" t="s">
        <v>3944</v>
      </c>
    </row>
    <row r="537" spans="1:15" ht="15" customHeight="1" x14ac:dyDescent="0.2">
      <c r="A537" s="7" t="s">
        <v>3920</v>
      </c>
      <c r="B537" s="7">
        <v>8325282</v>
      </c>
      <c r="C537" s="6">
        <v>-1</v>
      </c>
      <c r="D537" s="8">
        <v>957182082</v>
      </c>
      <c r="E537" s="8" t="str">
        <f t="shared" si="43"/>
        <v>9571820829</v>
      </c>
      <c r="F537" s="8" t="s">
        <v>3362</v>
      </c>
      <c r="G537" s="8">
        <v>-135.13</v>
      </c>
      <c r="H537" s="8">
        <v>20250301</v>
      </c>
      <c r="I537" s="8" t="str">
        <f t="shared" si="40"/>
        <v>3/1/2025</v>
      </c>
      <c r="J537" s="8">
        <v>20240901</v>
      </c>
      <c r="K537" s="8" t="str">
        <f t="shared" si="41"/>
        <v>9/1/2024</v>
      </c>
      <c r="L537" s="8" t="s">
        <v>980</v>
      </c>
      <c r="M537" s="8">
        <v>0.18</v>
      </c>
      <c r="N537" s="8">
        <v>-24.32</v>
      </c>
      <c r="O537" s="6" t="s">
        <v>3944</v>
      </c>
    </row>
    <row r="538" spans="1:15" ht="15" customHeight="1" x14ac:dyDescent="0.2">
      <c r="A538" s="7" t="s">
        <v>3920</v>
      </c>
      <c r="B538" s="7">
        <v>8325282</v>
      </c>
      <c r="C538" s="6">
        <v>-1</v>
      </c>
      <c r="D538" s="8">
        <v>957182082</v>
      </c>
      <c r="E538" s="8" t="str">
        <f t="shared" si="43"/>
        <v>9571820829</v>
      </c>
      <c r="F538" s="8" t="s">
        <v>3362</v>
      </c>
      <c r="G538" s="8">
        <v>-135.13</v>
      </c>
      <c r="H538" s="8">
        <v>20250201</v>
      </c>
      <c r="I538" s="8" t="str">
        <f t="shared" si="40"/>
        <v>2/1/2025</v>
      </c>
      <c r="J538" s="8">
        <v>20240901</v>
      </c>
      <c r="K538" s="8" t="str">
        <f t="shared" si="41"/>
        <v>9/1/2024</v>
      </c>
      <c r="L538" s="8" t="s">
        <v>980</v>
      </c>
      <c r="M538" s="8">
        <v>0.18</v>
      </c>
      <c r="N538" s="8">
        <v>-24.32</v>
      </c>
      <c r="O538" s="6" t="s">
        <v>3944</v>
      </c>
    </row>
    <row r="539" spans="1:15" ht="15" customHeight="1" x14ac:dyDescent="0.2">
      <c r="A539" s="7" t="s">
        <v>3920</v>
      </c>
      <c r="B539" s="7">
        <v>8325282</v>
      </c>
      <c r="C539" s="6">
        <v>-1</v>
      </c>
      <c r="D539" s="8">
        <v>957182082</v>
      </c>
      <c r="E539" s="8" t="str">
        <f t="shared" si="43"/>
        <v>9571820829</v>
      </c>
      <c r="F539" s="8" t="s">
        <v>3362</v>
      </c>
      <c r="G539" s="8">
        <v>-135.13</v>
      </c>
      <c r="H539" s="8">
        <v>20250101</v>
      </c>
      <c r="I539" s="8" t="str">
        <f t="shared" si="40"/>
        <v>1/1/2025</v>
      </c>
      <c r="J539" s="8">
        <v>20240901</v>
      </c>
      <c r="K539" s="8" t="str">
        <f t="shared" si="41"/>
        <v>9/1/2024</v>
      </c>
      <c r="L539" s="8" t="s">
        <v>980</v>
      </c>
      <c r="M539" s="8">
        <v>0.18</v>
      </c>
      <c r="N539" s="8">
        <v>-24.32</v>
      </c>
      <c r="O539" s="6" t="s">
        <v>3944</v>
      </c>
    </row>
    <row r="540" spans="1:15" ht="15" customHeight="1" x14ac:dyDescent="0.2">
      <c r="A540" s="7" t="s">
        <v>3920</v>
      </c>
      <c r="B540" s="7">
        <v>8325282</v>
      </c>
      <c r="C540" s="6">
        <v>-1</v>
      </c>
      <c r="D540" s="8">
        <v>957182082</v>
      </c>
      <c r="E540" s="8" t="str">
        <f t="shared" si="43"/>
        <v>9571820829</v>
      </c>
      <c r="F540" s="8" t="s">
        <v>3362</v>
      </c>
      <c r="G540" s="8">
        <v>-135.13</v>
      </c>
      <c r="H540" s="8">
        <v>20241201</v>
      </c>
      <c r="I540" s="8" t="str">
        <f t="shared" si="40"/>
        <v>12/1/2024</v>
      </c>
      <c r="J540" s="8">
        <v>20240901</v>
      </c>
      <c r="K540" s="8" t="str">
        <f t="shared" si="41"/>
        <v>9/1/2024</v>
      </c>
      <c r="L540" s="8" t="s">
        <v>980</v>
      </c>
      <c r="M540" s="8">
        <v>0.18</v>
      </c>
      <c r="N540" s="8">
        <v>-24.32</v>
      </c>
      <c r="O540" s="6" t="s">
        <v>3944</v>
      </c>
    </row>
    <row r="541" spans="1:15" ht="15" customHeight="1" x14ac:dyDescent="0.2">
      <c r="A541" s="7" t="s">
        <v>3920</v>
      </c>
      <c r="B541" s="7">
        <v>8325282</v>
      </c>
      <c r="C541" s="6">
        <v>-1</v>
      </c>
      <c r="D541" s="8">
        <v>957182082</v>
      </c>
      <c r="E541" s="8" t="str">
        <f t="shared" si="43"/>
        <v>9571820829</v>
      </c>
      <c r="F541" s="8" t="s">
        <v>3362</v>
      </c>
      <c r="G541" s="8">
        <v>-135.13</v>
      </c>
      <c r="H541" s="8">
        <v>20241101</v>
      </c>
      <c r="I541" s="8" t="str">
        <f t="shared" si="40"/>
        <v>11/1/2024</v>
      </c>
      <c r="J541" s="8">
        <v>20240901</v>
      </c>
      <c r="K541" s="8" t="str">
        <f t="shared" si="41"/>
        <v>9/1/2024</v>
      </c>
      <c r="L541" s="8" t="s">
        <v>980</v>
      </c>
      <c r="M541" s="8">
        <v>0.18</v>
      </c>
      <c r="N541" s="8">
        <v>-24.32</v>
      </c>
      <c r="O541" s="6" t="s">
        <v>3944</v>
      </c>
    </row>
    <row r="542" spans="1:15" ht="15" customHeight="1" x14ac:dyDescent="0.2">
      <c r="A542" s="7" t="s">
        <v>3920</v>
      </c>
      <c r="B542" s="7">
        <v>8325282</v>
      </c>
      <c r="C542" s="6">
        <v>-1</v>
      </c>
      <c r="D542" s="8">
        <v>957182082</v>
      </c>
      <c r="E542" s="8" t="str">
        <f t="shared" si="43"/>
        <v>9571820829</v>
      </c>
      <c r="F542" s="8" t="s">
        <v>3362</v>
      </c>
      <c r="G542" s="8">
        <v>-135.13</v>
      </c>
      <c r="H542" s="8">
        <v>20241001</v>
      </c>
      <c r="I542" s="8" t="str">
        <f t="shared" si="40"/>
        <v>10/1/2024</v>
      </c>
      <c r="J542" s="8">
        <v>20240901</v>
      </c>
      <c r="K542" s="8" t="str">
        <f t="shared" si="41"/>
        <v>9/1/2024</v>
      </c>
      <c r="L542" s="8" t="s">
        <v>980</v>
      </c>
      <c r="M542" s="8">
        <v>0.18</v>
      </c>
      <c r="N542" s="8">
        <v>-24.32</v>
      </c>
      <c r="O542" s="6" t="s">
        <v>3944</v>
      </c>
    </row>
    <row r="543" spans="1:15" ht="15" customHeight="1" x14ac:dyDescent="0.2">
      <c r="A543" s="7" t="s">
        <v>3913</v>
      </c>
      <c r="B543" s="7">
        <v>17301495</v>
      </c>
      <c r="C543" s="8">
        <v>1</v>
      </c>
      <c r="D543" s="8">
        <v>921566146</v>
      </c>
      <c r="E543" s="8" t="str">
        <f>CONCATENATE(D543,22)</f>
        <v>92156614622</v>
      </c>
      <c r="F543" s="8" t="s">
        <v>2908</v>
      </c>
      <c r="G543" s="8">
        <v>1</v>
      </c>
      <c r="H543" s="8">
        <v>20250401</v>
      </c>
      <c r="I543" s="8" t="str">
        <f t="shared" si="40"/>
        <v>4/1/2025</v>
      </c>
      <c r="J543" s="8">
        <v>20210501</v>
      </c>
      <c r="K543" s="8" t="str">
        <f t="shared" si="41"/>
        <v>5/1/2021</v>
      </c>
      <c r="L543" s="8" t="s">
        <v>56</v>
      </c>
      <c r="M543" s="8">
        <v>20</v>
      </c>
      <c r="N543" s="8">
        <v>20</v>
      </c>
      <c r="O543" s="6" t="s">
        <v>3947</v>
      </c>
    </row>
    <row r="544" spans="1:15" ht="15" customHeight="1" x14ac:dyDescent="0.2">
      <c r="A544" s="7" t="s">
        <v>3913</v>
      </c>
      <c r="B544" s="7">
        <v>17301495</v>
      </c>
      <c r="C544" s="8">
        <v>1</v>
      </c>
      <c r="D544" s="8">
        <v>921568365</v>
      </c>
      <c r="E544" s="8" t="str">
        <f>CONCATENATE(D544,22)</f>
        <v>92156836522</v>
      </c>
      <c r="F544" s="8" t="s">
        <v>2910</v>
      </c>
      <c r="G544" s="8">
        <v>1</v>
      </c>
      <c r="H544" s="8">
        <v>20250401</v>
      </c>
      <c r="I544" s="8" t="str">
        <f t="shared" si="40"/>
        <v>4/1/2025</v>
      </c>
      <c r="J544" s="8">
        <v>20220101</v>
      </c>
      <c r="K544" s="8" t="str">
        <f t="shared" si="41"/>
        <v>1/1/2022</v>
      </c>
      <c r="L544" s="8" t="s">
        <v>56</v>
      </c>
      <c r="M544" s="8">
        <v>20</v>
      </c>
      <c r="N544" s="8">
        <v>20</v>
      </c>
      <c r="O544" s="6" t="s">
        <v>3947</v>
      </c>
    </row>
    <row r="545" spans="1:37" ht="15" customHeight="1" x14ac:dyDescent="0.2">
      <c r="A545" s="7" t="s">
        <v>3913</v>
      </c>
      <c r="B545" s="7">
        <v>17301495</v>
      </c>
      <c r="C545" s="8">
        <v>1</v>
      </c>
      <c r="D545" s="8">
        <v>921688165</v>
      </c>
      <c r="E545" s="8" t="str">
        <f>CONCATENATE(D545,22)</f>
        <v>92168816522</v>
      </c>
      <c r="F545" s="8" t="s">
        <v>2918</v>
      </c>
      <c r="G545" s="8">
        <v>1</v>
      </c>
      <c r="H545" s="8">
        <v>20250401</v>
      </c>
      <c r="I545" s="8" t="str">
        <f t="shared" si="40"/>
        <v>4/1/2025</v>
      </c>
      <c r="J545" s="8">
        <v>20240101</v>
      </c>
      <c r="K545" s="8" t="str">
        <f t="shared" si="41"/>
        <v>1/1/2024</v>
      </c>
      <c r="L545" s="8" t="s">
        <v>56</v>
      </c>
      <c r="M545" s="8">
        <v>20</v>
      </c>
      <c r="N545" s="8">
        <v>20</v>
      </c>
      <c r="O545" s="6" t="s">
        <v>3947</v>
      </c>
    </row>
    <row r="546" spans="1:37" ht="15" customHeight="1" x14ac:dyDescent="0.2">
      <c r="A546" s="7" t="s">
        <v>3913</v>
      </c>
      <c r="B546" s="7">
        <v>17301495</v>
      </c>
      <c r="C546" s="8">
        <v>1</v>
      </c>
      <c r="D546" s="8">
        <v>921480992</v>
      </c>
      <c r="E546" s="8" t="str">
        <f>CONCATENATE(D546,33)</f>
        <v>92148099233</v>
      </c>
      <c r="F546" s="8" t="s">
        <v>2900</v>
      </c>
      <c r="G546" s="8">
        <v>1</v>
      </c>
      <c r="H546" s="8">
        <v>20250401</v>
      </c>
      <c r="I546" s="8" t="str">
        <f t="shared" si="40"/>
        <v>4/1/2025</v>
      </c>
      <c r="J546" s="8">
        <v>20230101</v>
      </c>
      <c r="K546" s="8" t="str">
        <f t="shared" si="41"/>
        <v>1/1/2023</v>
      </c>
      <c r="L546" s="8" t="s">
        <v>198</v>
      </c>
      <c r="M546" s="8">
        <v>15</v>
      </c>
      <c r="N546" s="8">
        <v>15</v>
      </c>
      <c r="O546" s="6" t="s">
        <v>3950</v>
      </c>
      <c r="AK546" s="12"/>
    </row>
    <row r="547" spans="1:37" ht="15" customHeight="1" x14ac:dyDescent="0.2">
      <c r="A547" s="7" t="s">
        <v>3913</v>
      </c>
      <c r="B547" s="7">
        <v>17301495</v>
      </c>
      <c r="C547" s="8">
        <v>1</v>
      </c>
      <c r="D547" s="8">
        <v>921500141</v>
      </c>
      <c r="E547" s="8" t="str">
        <f>CONCATENATE(D547,33)</f>
        <v>92150014133</v>
      </c>
      <c r="F547" s="8" t="s">
        <v>2904</v>
      </c>
      <c r="G547" s="8">
        <v>1</v>
      </c>
      <c r="H547" s="8">
        <v>20250401</v>
      </c>
      <c r="I547" s="8" t="str">
        <f t="shared" si="40"/>
        <v>4/1/2025</v>
      </c>
      <c r="J547" s="8">
        <v>20200101</v>
      </c>
      <c r="K547" s="8" t="str">
        <f t="shared" si="41"/>
        <v>1/1/2020</v>
      </c>
      <c r="L547" s="8" t="s">
        <v>198</v>
      </c>
      <c r="M547" s="8">
        <v>15</v>
      </c>
      <c r="N547" s="8">
        <v>15</v>
      </c>
      <c r="O547" s="6" t="s">
        <v>3950</v>
      </c>
      <c r="AK547" s="12"/>
    </row>
    <row r="548" spans="1:37" ht="15" customHeight="1" x14ac:dyDescent="0.2">
      <c r="A548" s="7" t="s">
        <v>3913</v>
      </c>
      <c r="B548" s="7">
        <v>17301495</v>
      </c>
      <c r="C548" s="8">
        <v>1</v>
      </c>
      <c r="D548" s="8">
        <v>921689009</v>
      </c>
      <c r="E548" s="8" t="str">
        <f>CONCATENATE(D548,33)</f>
        <v>92168900933</v>
      </c>
      <c r="F548" s="8" t="s">
        <v>2920</v>
      </c>
      <c r="G548" s="8">
        <v>1</v>
      </c>
      <c r="H548" s="8">
        <v>20250401</v>
      </c>
      <c r="I548" s="8" t="str">
        <f t="shared" si="40"/>
        <v>4/1/2025</v>
      </c>
      <c r="J548" s="8">
        <v>20240101</v>
      </c>
      <c r="K548" s="8" t="str">
        <f t="shared" si="41"/>
        <v>1/1/2024</v>
      </c>
      <c r="L548" s="8" t="s">
        <v>198</v>
      </c>
      <c r="M548" s="8">
        <v>15</v>
      </c>
      <c r="N548" s="8">
        <v>15</v>
      </c>
      <c r="O548" s="6" t="s">
        <v>3950</v>
      </c>
      <c r="AK548" s="12"/>
    </row>
    <row r="549" spans="1:37" ht="15" customHeight="1" x14ac:dyDescent="0.2">
      <c r="A549" s="7" t="s">
        <v>3913</v>
      </c>
      <c r="B549" s="7">
        <v>17301495</v>
      </c>
      <c r="C549" s="8">
        <v>2</v>
      </c>
      <c r="D549" s="8">
        <v>921660934</v>
      </c>
      <c r="E549" s="8" t="str">
        <f>CONCATENATE(D549,33)</f>
        <v>92166093433</v>
      </c>
      <c r="F549" s="8" t="s">
        <v>2916</v>
      </c>
      <c r="G549" s="8">
        <v>1</v>
      </c>
      <c r="H549" s="8">
        <v>20250401</v>
      </c>
      <c r="I549" s="8" t="str">
        <f t="shared" si="40"/>
        <v>4/1/2025</v>
      </c>
      <c r="J549" s="8">
        <v>20230601</v>
      </c>
      <c r="K549" s="8" t="str">
        <f t="shared" si="41"/>
        <v>6/1/2023</v>
      </c>
      <c r="L549" s="8" t="s">
        <v>198</v>
      </c>
      <c r="M549" s="8">
        <v>15</v>
      </c>
      <c r="N549" s="8">
        <v>30</v>
      </c>
      <c r="O549" s="6" t="s">
        <v>3950</v>
      </c>
      <c r="P549" s="6" t="s">
        <v>3952</v>
      </c>
    </row>
    <row r="550" spans="1:37" ht="15" customHeight="1" x14ac:dyDescent="0.2">
      <c r="A550" s="7" t="s">
        <v>3913</v>
      </c>
      <c r="B550" s="7">
        <v>17301495</v>
      </c>
      <c r="C550" s="8">
        <v>1</v>
      </c>
      <c r="D550" s="8">
        <v>921772181</v>
      </c>
      <c r="E550" s="8" t="str">
        <f>CONCATENATE(D550,33)</f>
        <v>92177218133</v>
      </c>
      <c r="F550" s="8" t="s">
        <v>2922</v>
      </c>
      <c r="G550" s="8">
        <v>1</v>
      </c>
      <c r="H550" s="8">
        <v>20250401</v>
      </c>
      <c r="I550" s="8" t="str">
        <f t="shared" si="40"/>
        <v>4/1/2025</v>
      </c>
      <c r="J550" s="8">
        <v>20250201</v>
      </c>
      <c r="K550" s="8" t="str">
        <f t="shared" si="41"/>
        <v>2/1/2025</v>
      </c>
      <c r="L550" s="8" t="s">
        <v>198</v>
      </c>
      <c r="M550" s="8">
        <v>20</v>
      </c>
      <c r="N550" s="8">
        <v>20</v>
      </c>
      <c r="O550" s="6" t="s">
        <v>3950</v>
      </c>
    </row>
    <row r="551" spans="1:37" ht="15" customHeight="1" x14ac:dyDescent="0.3">
      <c r="A551" s="7" t="s">
        <v>3913</v>
      </c>
      <c r="B551" s="7">
        <v>17301495</v>
      </c>
      <c r="C551" s="8">
        <v>1</v>
      </c>
      <c r="D551" s="8">
        <v>920913321</v>
      </c>
      <c r="E551" s="8" t="str">
        <f>CONCATENATE(D551,44)</f>
        <v>92091332144</v>
      </c>
      <c r="F551" s="8" t="s">
        <v>2898</v>
      </c>
      <c r="G551" s="8">
        <v>1</v>
      </c>
      <c r="H551" s="8">
        <v>20250401</v>
      </c>
      <c r="I551" s="8" t="str">
        <f t="shared" si="40"/>
        <v>4/1/2025</v>
      </c>
      <c r="J551" s="8">
        <v>20240201</v>
      </c>
      <c r="K551" s="8" t="str">
        <f t="shared" si="41"/>
        <v>2/1/2024</v>
      </c>
      <c r="L551" s="8" t="s">
        <v>65</v>
      </c>
      <c r="M551" s="8">
        <v>25</v>
      </c>
      <c r="N551" s="8">
        <v>25</v>
      </c>
      <c r="O551" s="14" t="s">
        <v>3948</v>
      </c>
    </row>
    <row r="552" spans="1:37" ht="15" customHeight="1" x14ac:dyDescent="0.3">
      <c r="A552" s="7" t="s">
        <v>3913</v>
      </c>
      <c r="B552" s="7">
        <v>17301495</v>
      </c>
      <c r="C552" s="8">
        <v>1</v>
      </c>
      <c r="D552" s="8">
        <v>921613196</v>
      </c>
      <c r="E552" s="8" t="str">
        <f>CONCATENATE(D552,44)</f>
        <v>92161319644</v>
      </c>
      <c r="F552" s="8" t="s">
        <v>2914</v>
      </c>
      <c r="G552" s="8">
        <v>1</v>
      </c>
      <c r="H552" s="8">
        <v>20250401</v>
      </c>
      <c r="I552" s="8" t="str">
        <f t="shared" si="40"/>
        <v>4/1/2025</v>
      </c>
      <c r="J552" s="8">
        <v>20220501</v>
      </c>
      <c r="K552" s="8" t="str">
        <f t="shared" si="41"/>
        <v>5/1/2022</v>
      </c>
      <c r="L552" s="8" t="s">
        <v>65</v>
      </c>
      <c r="M552" s="8">
        <v>25</v>
      </c>
      <c r="N552" s="8">
        <v>25</v>
      </c>
      <c r="O552" s="14" t="s">
        <v>3948</v>
      </c>
    </row>
    <row r="553" spans="1:37" ht="15" customHeight="1" x14ac:dyDescent="0.2">
      <c r="A553" s="7" t="s">
        <v>3913</v>
      </c>
      <c r="B553" s="7">
        <v>17301495</v>
      </c>
      <c r="C553" s="8">
        <v>1</v>
      </c>
      <c r="D553" s="8">
        <v>921493746</v>
      </c>
      <c r="E553" s="8" t="str">
        <f>CONCATENATE(D553,55)</f>
        <v>92149374655</v>
      </c>
      <c r="F553" s="8" t="s">
        <v>2902</v>
      </c>
      <c r="G553" s="8">
        <v>1</v>
      </c>
      <c r="H553" s="8">
        <v>20250401</v>
      </c>
      <c r="I553" s="8" t="str">
        <f t="shared" si="40"/>
        <v>4/1/2025</v>
      </c>
      <c r="J553" s="8">
        <v>20210701</v>
      </c>
      <c r="K553" s="8" t="str">
        <f t="shared" si="41"/>
        <v>7/1/2021</v>
      </c>
      <c r="L553" s="8" t="s">
        <v>138</v>
      </c>
      <c r="M553" s="8">
        <v>20</v>
      </c>
      <c r="N553" s="8">
        <v>20</v>
      </c>
      <c r="O553" s="6" t="s">
        <v>3946</v>
      </c>
    </row>
    <row r="554" spans="1:37" ht="15" customHeight="1" x14ac:dyDescent="0.2">
      <c r="A554" s="7" t="s">
        <v>3913</v>
      </c>
      <c r="B554" s="7">
        <v>17301495</v>
      </c>
      <c r="C554" s="8">
        <v>1</v>
      </c>
      <c r="D554" s="8">
        <v>921511219</v>
      </c>
      <c r="E554" s="8" t="str">
        <f>CONCATENATE(D554,55)</f>
        <v>92151121955</v>
      </c>
      <c r="F554" s="8" t="s">
        <v>2906</v>
      </c>
      <c r="G554" s="8">
        <v>1</v>
      </c>
      <c r="H554" s="8">
        <v>20250401</v>
      </c>
      <c r="I554" s="8" t="str">
        <f t="shared" si="40"/>
        <v>4/1/2025</v>
      </c>
      <c r="J554" s="8">
        <v>20200201</v>
      </c>
      <c r="K554" s="8" t="str">
        <f t="shared" si="41"/>
        <v>2/1/2020</v>
      </c>
      <c r="L554" s="8" t="s">
        <v>138</v>
      </c>
      <c r="M554" s="8">
        <v>20</v>
      </c>
      <c r="N554" s="8">
        <v>20</v>
      </c>
      <c r="O554" s="6" t="s">
        <v>3946</v>
      </c>
    </row>
    <row r="555" spans="1:37" ht="15" customHeight="1" x14ac:dyDescent="0.2">
      <c r="A555" s="7" t="s">
        <v>3913</v>
      </c>
      <c r="B555" s="7">
        <v>17301495</v>
      </c>
      <c r="C555" s="8">
        <v>1</v>
      </c>
      <c r="D555" s="8">
        <v>921577108</v>
      </c>
      <c r="E555" s="8" t="str">
        <f>CONCATENATE(D555,55)</f>
        <v>92157710855</v>
      </c>
      <c r="F555" s="8" t="s">
        <v>2912</v>
      </c>
      <c r="G555" s="8">
        <v>1</v>
      </c>
      <c r="H555" s="8">
        <v>20250401</v>
      </c>
      <c r="I555" s="8" t="str">
        <f t="shared" si="40"/>
        <v>4/1/2025</v>
      </c>
      <c r="J555" s="8">
        <v>20210801</v>
      </c>
      <c r="K555" s="8" t="str">
        <f t="shared" si="41"/>
        <v>8/1/2021</v>
      </c>
      <c r="L555" s="8" t="s">
        <v>138</v>
      </c>
      <c r="M555" s="8">
        <v>20</v>
      </c>
      <c r="N555" s="8">
        <v>20</v>
      </c>
      <c r="O555" s="6" t="s">
        <v>3946</v>
      </c>
    </row>
    <row r="556" spans="1:37" ht="15" customHeight="1" x14ac:dyDescent="0.2">
      <c r="A556" s="7" t="s">
        <v>3913</v>
      </c>
      <c r="B556" s="7">
        <v>17301495</v>
      </c>
      <c r="D556" s="8">
        <v>957201791</v>
      </c>
      <c r="E556" s="8" t="str">
        <f>CONCATENATE(D556,8)</f>
        <v>9572017918</v>
      </c>
      <c r="F556" s="8" t="s">
        <v>2924</v>
      </c>
      <c r="G556" s="8">
        <v>436.01</v>
      </c>
      <c r="H556" s="8">
        <v>20250301</v>
      </c>
      <c r="I556" s="8" t="str">
        <f t="shared" si="40"/>
        <v>3/1/2025</v>
      </c>
      <c r="J556" s="8">
        <v>20250101</v>
      </c>
      <c r="K556" s="8" t="str">
        <f t="shared" si="41"/>
        <v>1/1/2025</v>
      </c>
      <c r="L556" s="8" t="s">
        <v>2926</v>
      </c>
      <c r="M556" s="8">
        <v>0.05</v>
      </c>
      <c r="N556" s="8">
        <v>21.8</v>
      </c>
      <c r="O556" s="6" t="s">
        <v>3939</v>
      </c>
    </row>
    <row r="557" spans="1:37" ht="15" customHeight="1" x14ac:dyDescent="0.2">
      <c r="A557" s="7" t="s">
        <v>3892</v>
      </c>
      <c r="B557" s="7">
        <v>12047257</v>
      </c>
      <c r="C557" s="8">
        <v>1</v>
      </c>
      <c r="D557" s="8">
        <v>921679661</v>
      </c>
      <c r="E557" s="8" t="str">
        <f>CONCATENATE(D557,22)</f>
        <v>92167966122</v>
      </c>
      <c r="F557" s="8" t="s">
        <v>518</v>
      </c>
      <c r="G557" s="8">
        <v>1</v>
      </c>
      <c r="H557" s="8">
        <v>20250401</v>
      </c>
      <c r="I557" s="8" t="str">
        <f t="shared" si="40"/>
        <v>4/1/2025</v>
      </c>
      <c r="J557" s="8">
        <v>20240101</v>
      </c>
      <c r="K557" s="8" t="str">
        <f t="shared" si="41"/>
        <v>1/1/2024</v>
      </c>
      <c r="L557" s="8" t="s">
        <v>56</v>
      </c>
      <c r="M557" s="8">
        <v>20</v>
      </c>
      <c r="N557" s="8">
        <v>20</v>
      </c>
      <c r="O557" s="6" t="s">
        <v>3947</v>
      </c>
    </row>
    <row r="558" spans="1:37" ht="15" customHeight="1" x14ac:dyDescent="0.2">
      <c r="A558" s="7" t="s">
        <v>3892</v>
      </c>
      <c r="B558" s="7">
        <v>12047257</v>
      </c>
      <c r="C558" s="8">
        <v>1</v>
      </c>
      <c r="D558" s="8">
        <v>921667063</v>
      </c>
      <c r="E558" s="8" t="str">
        <f>CONCATENATE(D558,22)</f>
        <v>92166706322</v>
      </c>
      <c r="F558" s="8" t="s">
        <v>512</v>
      </c>
      <c r="G558" s="8">
        <v>1</v>
      </c>
      <c r="H558" s="8">
        <v>20250401</v>
      </c>
      <c r="I558" s="8" t="str">
        <f t="shared" si="40"/>
        <v>4/1/2025</v>
      </c>
      <c r="J558" s="8">
        <v>20250101</v>
      </c>
      <c r="K558" s="8" t="str">
        <f t="shared" si="41"/>
        <v>1/1/2025</v>
      </c>
      <c r="L558" s="8" t="s">
        <v>56</v>
      </c>
      <c r="M558" s="8">
        <v>25</v>
      </c>
      <c r="N558" s="8">
        <v>25</v>
      </c>
      <c r="O558" s="6" t="s">
        <v>3947</v>
      </c>
    </row>
    <row r="559" spans="1:37" ht="15" customHeight="1" x14ac:dyDescent="0.2">
      <c r="A559" s="7" t="s">
        <v>3892</v>
      </c>
      <c r="B559" s="7">
        <v>12047257</v>
      </c>
      <c r="D559" s="8">
        <v>921667063</v>
      </c>
      <c r="E559" s="8" t="str">
        <f>CONCATENATE(1,D559)</f>
        <v>1921667063</v>
      </c>
      <c r="F559" s="8" t="s">
        <v>512</v>
      </c>
      <c r="G559" s="8">
        <v>19.52</v>
      </c>
      <c r="H559" s="8">
        <v>20250401</v>
      </c>
      <c r="I559" s="8" t="str">
        <f t="shared" si="40"/>
        <v>4/1/2025</v>
      </c>
      <c r="J559" s="8">
        <v>20250101</v>
      </c>
      <c r="K559" s="8" t="str">
        <f t="shared" si="41"/>
        <v>1/1/2025</v>
      </c>
      <c r="L559" s="8" t="s">
        <v>116</v>
      </c>
      <c r="M559" s="8">
        <v>0.06</v>
      </c>
      <c r="N559" s="8">
        <v>1.17</v>
      </c>
      <c r="O559" s="6" t="s">
        <v>3938</v>
      </c>
    </row>
    <row r="560" spans="1:37" ht="15" customHeight="1" x14ac:dyDescent="0.2">
      <c r="A560" s="7" t="s">
        <v>3902</v>
      </c>
      <c r="B560" s="7">
        <v>8814784</v>
      </c>
      <c r="C560" s="8">
        <v>1</v>
      </c>
      <c r="D560" s="8">
        <v>890545645</v>
      </c>
      <c r="E560" s="8" t="str">
        <f t="shared" ref="E560:E583" si="44">CONCATENATE(D560,22)</f>
        <v>89054564522</v>
      </c>
      <c r="F560" s="8" t="s">
        <v>1942</v>
      </c>
      <c r="G560" s="8">
        <v>1</v>
      </c>
      <c r="H560" s="8">
        <v>20250401</v>
      </c>
      <c r="I560" s="8" t="str">
        <f t="shared" si="40"/>
        <v>4/1/2025</v>
      </c>
      <c r="J560" s="8">
        <v>20200101</v>
      </c>
      <c r="K560" s="8" t="str">
        <f t="shared" si="41"/>
        <v>1/1/2020</v>
      </c>
      <c r="L560" s="8" t="s">
        <v>56</v>
      </c>
      <c r="M560" s="8">
        <v>20</v>
      </c>
      <c r="N560" s="8">
        <v>20</v>
      </c>
      <c r="O560" s="6" t="s">
        <v>3947</v>
      </c>
    </row>
    <row r="561" spans="1:16" ht="15" customHeight="1" x14ac:dyDescent="0.2">
      <c r="A561" s="7" t="s">
        <v>3902</v>
      </c>
      <c r="B561" s="7">
        <v>8814784</v>
      </c>
      <c r="C561" s="8">
        <v>1</v>
      </c>
      <c r="D561" s="8">
        <v>920719848</v>
      </c>
      <c r="E561" s="8" t="str">
        <f t="shared" si="44"/>
        <v>92071984822</v>
      </c>
      <c r="F561" s="8" t="s">
        <v>1948</v>
      </c>
      <c r="G561" s="8">
        <v>1</v>
      </c>
      <c r="H561" s="8">
        <v>20250401</v>
      </c>
      <c r="I561" s="8" t="str">
        <f t="shared" si="40"/>
        <v>4/1/2025</v>
      </c>
      <c r="J561" s="8">
        <v>20200401</v>
      </c>
      <c r="K561" s="8" t="str">
        <f t="shared" si="41"/>
        <v>4/1/2020</v>
      </c>
      <c r="L561" s="8" t="s">
        <v>56</v>
      </c>
      <c r="M561" s="8">
        <v>20</v>
      </c>
      <c r="N561" s="8">
        <v>20</v>
      </c>
      <c r="O561" s="6" t="s">
        <v>3947</v>
      </c>
    </row>
    <row r="562" spans="1:16" ht="15" customHeight="1" x14ac:dyDescent="0.2">
      <c r="A562" s="7" t="s">
        <v>3902</v>
      </c>
      <c r="B562" s="7">
        <v>8814784</v>
      </c>
      <c r="C562" s="8">
        <v>1</v>
      </c>
      <c r="D562" s="8">
        <v>920784697</v>
      </c>
      <c r="E562" s="8" t="str">
        <f t="shared" si="44"/>
        <v>92078469722</v>
      </c>
      <c r="F562" s="8" t="s">
        <v>1955</v>
      </c>
      <c r="G562" s="8">
        <v>1</v>
      </c>
      <c r="H562" s="8">
        <v>20250401</v>
      </c>
      <c r="I562" s="8" t="str">
        <f t="shared" si="40"/>
        <v>4/1/2025</v>
      </c>
      <c r="J562" s="8">
        <v>20240101</v>
      </c>
      <c r="K562" s="8" t="str">
        <f t="shared" si="41"/>
        <v>1/1/2024</v>
      </c>
      <c r="L562" s="8" t="s">
        <v>56</v>
      </c>
      <c r="M562" s="8">
        <v>20</v>
      </c>
      <c r="N562" s="8">
        <v>20</v>
      </c>
      <c r="O562" s="6" t="s">
        <v>3947</v>
      </c>
    </row>
    <row r="563" spans="1:16" ht="15" customHeight="1" x14ac:dyDescent="0.2">
      <c r="A563" s="7" t="s">
        <v>3902</v>
      </c>
      <c r="B563" s="7">
        <v>8814784</v>
      </c>
      <c r="C563" s="8">
        <v>1</v>
      </c>
      <c r="D563" s="8">
        <v>921179704</v>
      </c>
      <c r="E563" s="8" t="str">
        <f t="shared" si="44"/>
        <v>92117970422</v>
      </c>
      <c r="F563" s="8" t="s">
        <v>1975</v>
      </c>
      <c r="G563" s="8">
        <v>1</v>
      </c>
      <c r="H563" s="8">
        <v>20250401</v>
      </c>
      <c r="I563" s="8" t="str">
        <f t="shared" si="40"/>
        <v>4/1/2025</v>
      </c>
      <c r="J563" s="8">
        <v>20210801</v>
      </c>
      <c r="K563" s="8" t="str">
        <f t="shared" si="41"/>
        <v>8/1/2021</v>
      </c>
      <c r="L563" s="8" t="s">
        <v>56</v>
      </c>
      <c r="M563" s="8">
        <v>20</v>
      </c>
      <c r="N563" s="8">
        <v>20</v>
      </c>
      <c r="O563" s="6" t="s">
        <v>3947</v>
      </c>
    </row>
    <row r="564" spans="1:16" ht="15" customHeight="1" x14ac:dyDescent="0.2">
      <c r="A564" s="7" t="s">
        <v>3902</v>
      </c>
      <c r="B564" s="7">
        <v>8814784</v>
      </c>
      <c r="C564" s="8">
        <v>1</v>
      </c>
      <c r="D564" s="8">
        <v>921399306</v>
      </c>
      <c r="E564" s="8" t="str">
        <f t="shared" si="44"/>
        <v>92139930622</v>
      </c>
      <c r="F564" s="8" t="s">
        <v>1997</v>
      </c>
      <c r="G564" s="8">
        <v>1</v>
      </c>
      <c r="H564" s="8">
        <v>20250401</v>
      </c>
      <c r="I564" s="8" t="str">
        <f t="shared" si="40"/>
        <v>4/1/2025</v>
      </c>
      <c r="J564" s="8">
        <v>20210401</v>
      </c>
      <c r="K564" s="8" t="str">
        <f t="shared" si="41"/>
        <v>4/1/2021</v>
      </c>
      <c r="L564" s="8" t="s">
        <v>56</v>
      </c>
      <c r="M564" s="8">
        <v>20</v>
      </c>
      <c r="N564" s="8">
        <v>20</v>
      </c>
      <c r="O564" s="6" t="s">
        <v>3947</v>
      </c>
    </row>
    <row r="565" spans="1:16" ht="15" customHeight="1" x14ac:dyDescent="0.2">
      <c r="A565" s="7" t="s">
        <v>3902</v>
      </c>
      <c r="B565" s="7">
        <v>8814784</v>
      </c>
      <c r="C565" s="8">
        <v>1</v>
      </c>
      <c r="D565" s="8">
        <v>921444050</v>
      </c>
      <c r="E565" s="8" t="str">
        <f t="shared" si="44"/>
        <v>92144405022</v>
      </c>
      <c r="F565" s="8" t="s">
        <v>2001</v>
      </c>
      <c r="G565" s="8">
        <v>1</v>
      </c>
      <c r="H565" s="8">
        <v>20250401</v>
      </c>
      <c r="I565" s="8" t="str">
        <f t="shared" si="40"/>
        <v>4/1/2025</v>
      </c>
      <c r="J565" s="8">
        <v>20190101</v>
      </c>
      <c r="K565" s="8" t="str">
        <f t="shared" si="41"/>
        <v>1/1/2019</v>
      </c>
      <c r="L565" s="8" t="s">
        <v>56</v>
      </c>
      <c r="M565" s="8">
        <v>20</v>
      </c>
      <c r="N565" s="8">
        <v>20</v>
      </c>
      <c r="O565" s="6" t="s">
        <v>3947</v>
      </c>
    </row>
    <row r="566" spans="1:16" ht="15" customHeight="1" x14ac:dyDescent="0.2">
      <c r="A566" s="7" t="s">
        <v>3902</v>
      </c>
      <c r="B566" s="7">
        <v>8814784</v>
      </c>
      <c r="C566" s="8">
        <v>1</v>
      </c>
      <c r="D566" s="8">
        <v>921603355</v>
      </c>
      <c r="E566" s="8" t="str">
        <f t="shared" si="44"/>
        <v>92160335522</v>
      </c>
      <c r="F566" s="8" t="s">
        <v>2007</v>
      </c>
      <c r="G566" s="8">
        <v>1</v>
      </c>
      <c r="H566" s="8">
        <v>20250401</v>
      </c>
      <c r="I566" s="8" t="str">
        <f t="shared" si="40"/>
        <v>4/1/2025</v>
      </c>
      <c r="J566" s="8">
        <v>20220201</v>
      </c>
      <c r="K566" s="8" t="str">
        <f t="shared" si="41"/>
        <v>2/1/2022</v>
      </c>
      <c r="L566" s="8" t="s">
        <v>56</v>
      </c>
      <c r="M566" s="8">
        <v>20</v>
      </c>
      <c r="N566" s="8">
        <v>20</v>
      </c>
      <c r="O566" s="6" t="s">
        <v>3947</v>
      </c>
    </row>
    <row r="567" spans="1:16" ht="15" customHeight="1" x14ac:dyDescent="0.2">
      <c r="A567" s="7" t="s">
        <v>3902</v>
      </c>
      <c r="B567" s="7">
        <v>8814784</v>
      </c>
      <c r="C567" s="8">
        <v>1</v>
      </c>
      <c r="D567" s="8">
        <v>921605712</v>
      </c>
      <c r="E567" s="8" t="str">
        <f t="shared" si="44"/>
        <v>92160571222</v>
      </c>
      <c r="F567" s="8" t="s">
        <v>2009</v>
      </c>
      <c r="G567" s="8">
        <v>1</v>
      </c>
      <c r="H567" s="8">
        <v>20250401</v>
      </c>
      <c r="I567" s="8" t="str">
        <f t="shared" si="40"/>
        <v>4/1/2025</v>
      </c>
      <c r="J567" s="8">
        <v>20220101</v>
      </c>
      <c r="K567" s="8" t="str">
        <f t="shared" si="41"/>
        <v>1/1/2022</v>
      </c>
      <c r="L567" s="8" t="s">
        <v>56</v>
      </c>
      <c r="M567" s="8">
        <v>20</v>
      </c>
      <c r="N567" s="8">
        <v>20</v>
      </c>
      <c r="O567" s="6" t="s">
        <v>3947</v>
      </c>
    </row>
    <row r="568" spans="1:16" ht="15" customHeight="1" x14ac:dyDescent="0.2">
      <c r="A568" s="7" t="s">
        <v>3902</v>
      </c>
      <c r="B568" s="7">
        <v>8814784</v>
      </c>
      <c r="C568" s="8">
        <v>1</v>
      </c>
      <c r="D568" s="8">
        <v>921630535</v>
      </c>
      <c r="E568" s="8" t="str">
        <f t="shared" si="44"/>
        <v>92163053522</v>
      </c>
      <c r="F568" s="8" t="s">
        <v>2015</v>
      </c>
      <c r="G568" s="8">
        <v>1</v>
      </c>
      <c r="H568" s="8">
        <v>20250401</v>
      </c>
      <c r="I568" s="8" t="str">
        <f t="shared" si="40"/>
        <v>4/1/2025</v>
      </c>
      <c r="J568" s="8">
        <v>20230101</v>
      </c>
      <c r="K568" s="8" t="str">
        <f t="shared" si="41"/>
        <v>1/1/2023</v>
      </c>
      <c r="L568" s="8" t="s">
        <v>56</v>
      </c>
      <c r="M568" s="8">
        <v>20</v>
      </c>
      <c r="N568" s="8">
        <v>20</v>
      </c>
      <c r="O568" s="6" t="s">
        <v>3947</v>
      </c>
    </row>
    <row r="569" spans="1:16" ht="15" customHeight="1" x14ac:dyDescent="0.2">
      <c r="A569" s="7" t="s">
        <v>3902</v>
      </c>
      <c r="B569" s="7">
        <v>8814784</v>
      </c>
      <c r="C569" s="8">
        <v>1</v>
      </c>
      <c r="D569" s="8">
        <v>921713629</v>
      </c>
      <c r="E569" s="8" t="str">
        <f t="shared" si="44"/>
        <v>92171362922</v>
      </c>
      <c r="F569" s="8" t="s">
        <v>2035</v>
      </c>
      <c r="G569" s="8">
        <v>1</v>
      </c>
      <c r="H569" s="8">
        <v>20250401</v>
      </c>
      <c r="I569" s="8" t="str">
        <f t="shared" si="40"/>
        <v>4/1/2025</v>
      </c>
      <c r="J569" s="8">
        <v>20240301</v>
      </c>
      <c r="K569" s="8" t="str">
        <f t="shared" si="41"/>
        <v>3/1/2024</v>
      </c>
      <c r="L569" s="8" t="s">
        <v>56</v>
      </c>
      <c r="M569" s="8">
        <v>20</v>
      </c>
      <c r="N569" s="8">
        <v>20</v>
      </c>
      <c r="O569" s="6" t="s">
        <v>3947</v>
      </c>
    </row>
    <row r="570" spans="1:16" ht="15" customHeight="1" x14ac:dyDescent="0.2">
      <c r="A570" s="7" t="s">
        <v>3902</v>
      </c>
      <c r="B570" s="7">
        <v>8814784</v>
      </c>
      <c r="C570" s="8">
        <v>1</v>
      </c>
      <c r="D570" s="8">
        <v>921713715</v>
      </c>
      <c r="E570" s="8" t="str">
        <f t="shared" si="44"/>
        <v>92171371522</v>
      </c>
      <c r="F570" s="8" t="s">
        <v>2037</v>
      </c>
      <c r="G570" s="8">
        <v>1</v>
      </c>
      <c r="H570" s="8">
        <v>20250401</v>
      </c>
      <c r="I570" s="8" t="str">
        <f t="shared" si="40"/>
        <v>4/1/2025</v>
      </c>
      <c r="J570" s="8">
        <v>20240301</v>
      </c>
      <c r="K570" s="8" t="str">
        <f t="shared" si="41"/>
        <v>3/1/2024</v>
      </c>
      <c r="L570" s="8" t="s">
        <v>56</v>
      </c>
      <c r="M570" s="8">
        <v>20</v>
      </c>
      <c r="N570" s="8">
        <v>20</v>
      </c>
      <c r="O570" s="6" t="s">
        <v>3947</v>
      </c>
    </row>
    <row r="571" spans="1:16" ht="15" customHeight="1" x14ac:dyDescent="0.2">
      <c r="A571" s="7" t="s">
        <v>3902</v>
      </c>
      <c r="B571" s="7">
        <v>8814784</v>
      </c>
      <c r="C571" s="8">
        <v>2</v>
      </c>
      <c r="D571" s="8">
        <v>921267733</v>
      </c>
      <c r="E571" s="8" t="str">
        <f t="shared" si="44"/>
        <v>92126773322</v>
      </c>
      <c r="F571" s="8" t="s">
        <v>1987</v>
      </c>
      <c r="G571" s="8">
        <v>1</v>
      </c>
      <c r="H571" s="8">
        <v>20250301</v>
      </c>
      <c r="I571" s="8" t="str">
        <f t="shared" si="40"/>
        <v>3/1/2025</v>
      </c>
      <c r="J571" s="8">
        <v>20240201</v>
      </c>
      <c r="K571" s="8" t="str">
        <f t="shared" si="41"/>
        <v>2/1/2024</v>
      </c>
      <c r="L571" s="8" t="s">
        <v>56</v>
      </c>
      <c r="M571" s="8">
        <v>20</v>
      </c>
      <c r="N571" s="8">
        <v>40</v>
      </c>
      <c r="O571" s="6" t="s">
        <v>3947</v>
      </c>
      <c r="P571" s="6" t="s">
        <v>3952</v>
      </c>
    </row>
    <row r="572" spans="1:16" ht="15" customHeight="1" x14ac:dyDescent="0.2">
      <c r="A572" s="7" t="s">
        <v>3902</v>
      </c>
      <c r="B572" s="7">
        <v>8814784</v>
      </c>
      <c r="C572" s="8">
        <v>2</v>
      </c>
      <c r="D572" s="8">
        <v>921680480</v>
      </c>
      <c r="E572" s="8" t="str">
        <f t="shared" si="44"/>
        <v>92168048022</v>
      </c>
      <c r="F572" s="8" t="s">
        <v>2029</v>
      </c>
      <c r="G572" s="8">
        <v>1</v>
      </c>
      <c r="H572" s="8">
        <v>20250401</v>
      </c>
      <c r="I572" s="8" t="str">
        <f t="shared" si="40"/>
        <v>4/1/2025</v>
      </c>
      <c r="J572" s="8">
        <v>20240101</v>
      </c>
      <c r="K572" s="8" t="str">
        <f t="shared" si="41"/>
        <v>1/1/2024</v>
      </c>
      <c r="L572" s="8" t="s">
        <v>56</v>
      </c>
      <c r="M572" s="8">
        <v>20</v>
      </c>
      <c r="N572" s="8">
        <v>40</v>
      </c>
      <c r="O572" s="6" t="s">
        <v>3947</v>
      </c>
      <c r="P572" s="6" t="s">
        <v>3952</v>
      </c>
    </row>
    <row r="573" spans="1:16" ht="15" customHeight="1" x14ac:dyDescent="0.2">
      <c r="A573" s="7" t="s">
        <v>3902</v>
      </c>
      <c r="B573" s="7">
        <v>8814784</v>
      </c>
      <c r="C573" s="8">
        <v>3</v>
      </c>
      <c r="D573" s="8">
        <v>921243078</v>
      </c>
      <c r="E573" s="8" t="str">
        <f t="shared" si="44"/>
        <v>92124307822</v>
      </c>
      <c r="F573" s="8" t="s">
        <v>1979</v>
      </c>
      <c r="G573" s="8">
        <v>1</v>
      </c>
      <c r="H573" s="8">
        <v>20250401</v>
      </c>
      <c r="I573" s="8" t="str">
        <f t="shared" si="40"/>
        <v>4/1/2025</v>
      </c>
      <c r="J573" s="8">
        <v>20160301</v>
      </c>
      <c r="K573" s="8" t="str">
        <f t="shared" si="41"/>
        <v>3/1/2016</v>
      </c>
      <c r="L573" s="8" t="s">
        <v>56</v>
      </c>
      <c r="M573" s="8">
        <v>20</v>
      </c>
      <c r="N573" s="8">
        <v>60</v>
      </c>
      <c r="O573" s="6" t="s">
        <v>3947</v>
      </c>
      <c r="P573" s="6" t="s">
        <v>3953</v>
      </c>
    </row>
    <row r="574" spans="1:16" ht="15" customHeight="1" x14ac:dyDescent="0.2">
      <c r="A574" s="7" t="s">
        <v>3902</v>
      </c>
      <c r="B574" s="7">
        <v>8814784</v>
      </c>
      <c r="C574" s="8">
        <v>3</v>
      </c>
      <c r="D574" s="8">
        <v>921378016</v>
      </c>
      <c r="E574" s="8" t="str">
        <f t="shared" si="44"/>
        <v>92137801622</v>
      </c>
      <c r="F574" s="8" t="s">
        <v>1991</v>
      </c>
      <c r="G574" s="8">
        <v>1</v>
      </c>
      <c r="H574" s="8">
        <v>20250401</v>
      </c>
      <c r="I574" s="8" t="str">
        <f t="shared" si="40"/>
        <v>4/1/2025</v>
      </c>
      <c r="J574" s="8">
        <v>20200101</v>
      </c>
      <c r="K574" s="8" t="str">
        <f t="shared" si="41"/>
        <v>1/1/2020</v>
      </c>
      <c r="L574" s="8" t="s">
        <v>56</v>
      </c>
      <c r="M574" s="8">
        <v>20</v>
      </c>
      <c r="N574" s="8">
        <v>60</v>
      </c>
      <c r="O574" s="6" t="s">
        <v>3947</v>
      </c>
      <c r="P574" s="6" t="s">
        <v>3953</v>
      </c>
    </row>
    <row r="575" spans="1:16" ht="15" customHeight="1" x14ac:dyDescent="0.2">
      <c r="A575" s="7" t="s">
        <v>3902</v>
      </c>
      <c r="B575" s="7">
        <v>8814784</v>
      </c>
      <c r="C575" s="8">
        <v>3</v>
      </c>
      <c r="D575" s="8">
        <v>921609465</v>
      </c>
      <c r="E575" s="8" t="str">
        <f t="shared" si="44"/>
        <v>92160946522</v>
      </c>
      <c r="F575" s="8" t="s">
        <v>2011</v>
      </c>
      <c r="G575" s="8">
        <v>1</v>
      </c>
      <c r="H575" s="8">
        <v>20250401</v>
      </c>
      <c r="I575" s="8" t="str">
        <f t="shared" si="40"/>
        <v>4/1/2025</v>
      </c>
      <c r="J575" s="8">
        <v>20220401</v>
      </c>
      <c r="K575" s="8" t="str">
        <f t="shared" si="41"/>
        <v>4/1/2022</v>
      </c>
      <c r="L575" s="8" t="s">
        <v>56</v>
      </c>
      <c r="M575" s="8">
        <v>20</v>
      </c>
      <c r="N575" s="8">
        <v>60</v>
      </c>
      <c r="O575" s="6" t="s">
        <v>3947</v>
      </c>
      <c r="P575" s="6" t="s">
        <v>3953</v>
      </c>
    </row>
    <row r="576" spans="1:16" ht="15" customHeight="1" x14ac:dyDescent="0.2">
      <c r="A576" s="7" t="s">
        <v>3902</v>
      </c>
      <c r="B576" s="7">
        <v>8814784</v>
      </c>
      <c r="C576" s="8">
        <v>3</v>
      </c>
      <c r="D576" s="8">
        <v>921609465</v>
      </c>
      <c r="E576" s="8" t="str">
        <f t="shared" si="44"/>
        <v>92160946522</v>
      </c>
      <c r="F576" s="8" t="s">
        <v>2011</v>
      </c>
      <c r="G576" s="8">
        <v>1</v>
      </c>
      <c r="H576" s="8">
        <v>20250301</v>
      </c>
      <c r="I576" s="8" t="str">
        <f t="shared" si="40"/>
        <v>3/1/2025</v>
      </c>
      <c r="J576" s="8">
        <v>20220401</v>
      </c>
      <c r="K576" s="8" t="str">
        <f t="shared" si="41"/>
        <v>4/1/2022</v>
      </c>
      <c r="L576" s="8" t="s">
        <v>56</v>
      </c>
      <c r="M576" s="8">
        <v>20</v>
      </c>
      <c r="N576" s="8">
        <v>60</v>
      </c>
      <c r="O576" s="6" t="s">
        <v>3947</v>
      </c>
      <c r="P576" s="6" t="s">
        <v>3953</v>
      </c>
    </row>
    <row r="577" spans="1:16" ht="15" customHeight="1" x14ac:dyDescent="0.2">
      <c r="A577" s="7" t="s">
        <v>3902</v>
      </c>
      <c r="B577" s="7">
        <v>8814784</v>
      </c>
      <c r="C577" s="8">
        <v>1</v>
      </c>
      <c r="D577" s="8">
        <v>890715455</v>
      </c>
      <c r="E577" s="8" t="str">
        <f t="shared" si="44"/>
        <v>89071545522</v>
      </c>
      <c r="F577" s="8" t="s">
        <v>1946</v>
      </c>
      <c r="G577" s="8">
        <v>1</v>
      </c>
      <c r="H577" s="8">
        <v>20250401</v>
      </c>
      <c r="I577" s="8" t="str">
        <f t="shared" si="40"/>
        <v>4/1/2025</v>
      </c>
      <c r="J577" s="8">
        <v>20240701</v>
      </c>
      <c r="K577" s="8" t="str">
        <f t="shared" si="41"/>
        <v>7/1/2024</v>
      </c>
      <c r="L577" s="8" t="s">
        <v>56</v>
      </c>
      <c r="M577" s="8">
        <v>25</v>
      </c>
      <c r="N577" s="8">
        <v>25</v>
      </c>
      <c r="O577" s="6" t="s">
        <v>3947</v>
      </c>
    </row>
    <row r="578" spans="1:16" ht="15" customHeight="1" x14ac:dyDescent="0.2">
      <c r="A578" s="7" t="s">
        <v>3902</v>
      </c>
      <c r="B578" s="7">
        <v>8814784</v>
      </c>
      <c r="C578" s="8">
        <v>1</v>
      </c>
      <c r="D578" s="8">
        <v>920943430</v>
      </c>
      <c r="E578" s="8" t="str">
        <f t="shared" si="44"/>
        <v>92094343022</v>
      </c>
      <c r="F578" s="8" t="s">
        <v>1965</v>
      </c>
      <c r="G578" s="8">
        <v>1</v>
      </c>
      <c r="H578" s="8">
        <v>20250401</v>
      </c>
      <c r="I578" s="8" t="str">
        <f t="shared" si="40"/>
        <v>4/1/2025</v>
      </c>
      <c r="J578" s="8">
        <v>20250101</v>
      </c>
      <c r="K578" s="8" t="str">
        <f t="shared" si="41"/>
        <v>1/1/2025</v>
      </c>
      <c r="L578" s="8" t="s">
        <v>56</v>
      </c>
      <c r="M578" s="8">
        <v>25</v>
      </c>
      <c r="N578" s="8">
        <v>25</v>
      </c>
      <c r="O578" s="6" t="s">
        <v>3947</v>
      </c>
    </row>
    <row r="579" spans="1:16" ht="15" customHeight="1" x14ac:dyDescent="0.2">
      <c r="A579" s="7" t="s">
        <v>3902</v>
      </c>
      <c r="B579" s="7">
        <v>8814784</v>
      </c>
      <c r="C579" s="8">
        <v>1</v>
      </c>
      <c r="D579" s="8">
        <v>921153608</v>
      </c>
      <c r="E579" s="8" t="str">
        <f t="shared" si="44"/>
        <v>92115360822</v>
      </c>
      <c r="F579" s="8" t="s">
        <v>1973</v>
      </c>
      <c r="G579" s="8">
        <v>1</v>
      </c>
      <c r="H579" s="8">
        <v>20250401</v>
      </c>
      <c r="I579" s="8" t="str">
        <f t="shared" ref="I579:I642" si="45">TEXT(DATE(LEFT(H579,4), MID(H579,5,2), RIGHT(H579,2)), "M/d/yyyy")</f>
        <v>4/1/2025</v>
      </c>
      <c r="J579" s="8">
        <v>20250201</v>
      </c>
      <c r="K579" s="8" t="str">
        <f t="shared" ref="K579:K642" si="46">TEXT(DATE(LEFT(J579,4), MID(J579,5,2), RIGHT(J579,2)), "M/d/yyyy")</f>
        <v>2/1/2025</v>
      </c>
      <c r="L579" s="8" t="s">
        <v>56</v>
      </c>
      <c r="M579" s="8">
        <v>25</v>
      </c>
      <c r="N579" s="8">
        <v>25</v>
      </c>
      <c r="O579" s="6" t="s">
        <v>3947</v>
      </c>
    </row>
    <row r="580" spans="1:16" ht="15" customHeight="1" x14ac:dyDescent="0.2">
      <c r="A580" s="7" t="s">
        <v>3902</v>
      </c>
      <c r="B580" s="7">
        <v>8814784</v>
      </c>
      <c r="C580" s="8">
        <v>1</v>
      </c>
      <c r="D580" s="8">
        <v>921754198</v>
      </c>
      <c r="E580" s="8" t="str">
        <f t="shared" si="44"/>
        <v>92175419822</v>
      </c>
      <c r="F580" s="8" t="s">
        <v>2043</v>
      </c>
      <c r="G580" s="8">
        <v>1</v>
      </c>
      <c r="H580" s="8">
        <v>20250401</v>
      </c>
      <c r="I580" s="8" t="str">
        <f t="shared" si="45"/>
        <v>4/1/2025</v>
      </c>
      <c r="J580" s="8">
        <v>20250101</v>
      </c>
      <c r="K580" s="8" t="str">
        <f t="shared" si="46"/>
        <v>1/1/2025</v>
      </c>
      <c r="L580" s="8" t="s">
        <v>56</v>
      </c>
      <c r="M580" s="8">
        <v>25</v>
      </c>
      <c r="N580" s="8">
        <v>25</v>
      </c>
      <c r="O580" s="6" t="s">
        <v>3947</v>
      </c>
    </row>
    <row r="581" spans="1:16" ht="15" customHeight="1" x14ac:dyDescent="0.2">
      <c r="A581" s="7" t="s">
        <v>3902</v>
      </c>
      <c r="B581" s="7">
        <v>8814784</v>
      </c>
      <c r="C581" s="8">
        <v>1</v>
      </c>
      <c r="D581" s="8">
        <v>921761596</v>
      </c>
      <c r="E581" s="8" t="str">
        <f t="shared" si="44"/>
        <v>92176159622</v>
      </c>
      <c r="F581" s="8" t="s">
        <v>2049</v>
      </c>
      <c r="G581" s="8">
        <v>1</v>
      </c>
      <c r="H581" s="8">
        <v>20250401</v>
      </c>
      <c r="I581" s="8" t="str">
        <f t="shared" si="45"/>
        <v>4/1/2025</v>
      </c>
      <c r="J581" s="8">
        <v>20250101</v>
      </c>
      <c r="K581" s="8" t="str">
        <f t="shared" si="46"/>
        <v>1/1/2025</v>
      </c>
      <c r="L581" s="8" t="s">
        <v>56</v>
      </c>
      <c r="M581" s="8">
        <v>25</v>
      </c>
      <c r="N581" s="8">
        <v>25</v>
      </c>
      <c r="O581" s="6" t="s">
        <v>3947</v>
      </c>
    </row>
    <row r="582" spans="1:16" ht="15" customHeight="1" x14ac:dyDescent="0.2">
      <c r="A582" s="7" t="s">
        <v>3902</v>
      </c>
      <c r="B582" s="7">
        <v>8814784</v>
      </c>
      <c r="C582" s="8">
        <v>1</v>
      </c>
      <c r="D582" s="8">
        <v>921778978</v>
      </c>
      <c r="E582" s="8" t="str">
        <f t="shared" si="44"/>
        <v>92177897822</v>
      </c>
      <c r="F582" s="8" t="s">
        <v>2053</v>
      </c>
      <c r="G582" s="8">
        <v>1</v>
      </c>
      <c r="H582" s="8">
        <v>20250401</v>
      </c>
      <c r="I582" s="8" t="str">
        <f t="shared" si="45"/>
        <v>4/1/2025</v>
      </c>
      <c r="J582" s="8">
        <v>20250301</v>
      </c>
      <c r="K582" s="8" t="str">
        <f t="shared" si="46"/>
        <v>3/1/2025</v>
      </c>
      <c r="L582" s="8" t="s">
        <v>56</v>
      </c>
      <c r="M582" s="8">
        <v>25</v>
      </c>
      <c r="N582" s="8">
        <v>25</v>
      </c>
      <c r="O582" s="6" t="s">
        <v>3947</v>
      </c>
    </row>
    <row r="583" spans="1:16" ht="15" customHeight="1" x14ac:dyDescent="0.2">
      <c r="A583" s="7" t="s">
        <v>3902</v>
      </c>
      <c r="B583" s="7">
        <v>8814784</v>
      </c>
      <c r="C583" s="8">
        <v>2</v>
      </c>
      <c r="D583" s="8">
        <v>921252929</v>
      </c>
      <c r="E583" s="8" t="str">
        <f t="shared" si="44"/>
        <v>92125292922</v>
      </c>
      <c r="F583" s="8" t="s">
        <v>1985</v>
      </c>
      <c r="G583" s="8">
        <v>1</v>
      </c>
      <c r="H583" s="8">
        <v>20250401</v>
      </c>
      <c r="I583" s="8" t="str">
        <f t="shared" si="45"/>
        <v>4/1/2025</v>
      </c>
      <c r="J583" s="8">
        <v>20250101</v>
      </c>
      <c r="K583" s="8" t="str">
        <f t="shared" si="46"/>
        <v>1/1/2025</v>
      </c>
      <c r="L583" s="8" t="s">
        <v>56</v>
      </c>
      <c r="M583" s="8">
        <v>25</v>
      </c>
      <c r="N583" s="8">
        <v>50</v>
      </c>
      <c r="O583" s="6" t="s">
        <v>3947</v>
      </c>
      <c r="P583" s="6" t="s">
        <v>3952</v>
      </c>
    </row>
    <row r="584" spans="1:16" ht="15" customHeight="1" x14ac:dyDescent="0.2">
      <c r="A584" s="7" t="s">
        <v>3902</v>
      </c>
      <c r="B584" s="7">
        <v>8814784</v>
      </c>
      <c r="C584" s="8">
        <v>1</v>
      </c>
      <c r="D584" s="8">
        <v>921640271</v>
      </c>
      <c r="E584" s="8" t="str">
        <f>CONCATENATE(D584,33)</f>
        <v>92164027133</v>
      </c>
      <c r="F584" s="8" t="s">
        <v>2019</v>
      </c>
      <c r="G584" s="8">
        <v>1</v>
      </c>
      <c r="H584" s="8">
        <v>20250401</v>
      </c>
      <c r="I584" s="8" t="str">
        <f t="shared" si="45"/>
        <v>4/1/2025</v>
      </c>
      <c r="J584" s="8">
        <v>20230101</v>
      </c>
      <c r="K584" s="8" t="str">
        <f t="shared" si="46"/>
        <v>1/1/2023</v>
      </c>
      <c r="L584" s="8" t="s">
        <v>198</v>
      </c>
      <c r="M584" s="8">
        <v>15</v>
      </c>
      <c r="N584" s="8">
        <v>15</v>
      </c>
      <c r="O584" s="6" t="s">
        <v>3950</v>
      </c>
    </row>
    <row r="585" spans="1:16" ht="15" customHeight="1" x14ac:dyDescent="0.2">
      <c r="A585" s="7" t="s">
        <v>3902</v>
      </c>
      <c r="B585" s="7">
        <v>8814784</v>
      </c>
      <c r="C585" s="8">
        <v>1</v>
      </c>
      <c r="D585" s="8">
        <v>920927833</v>
      </c>
      <c r="E585" s="8" t="str">
        <f>CONCATENATE(D585,33)</f>
        <v>92092783333</v>
      </c>
      <c r="F585" s="8" t="s">
        <v>1961</v>
      </c>
      <c r="G585" s="8">
        <v>1</v>
      </c>
      <c r="H585" s="8">
        <v>20250401</v>
      </c>
      <c r="I585" s="8" t="str">
        <f t="shared" si="45"/>
        <v>4/1/2025</v>
      </c>
      <c r="J585" s="8">
        <v>20250101</v>
      </c>
      <c r="K585" s="8" t="str">
        <f t="shared" si="46"/>
        <v>1/1/2025</v>
      </c>
      <c r="L585" s="8" t="s">
        <v>198</v>
      </c>
      <c r="M585" s="8">
        <v>20</v>
      </c>
      <c r="N585" s="8">
        <v>20</v>
      </c>
      <c r="O585" s="6" t="s">
        <v>3950</v>
      </c>
    </row>
    <row r="586" spans="1:16" ht="15" customHeight="1" x14ac:dyDescent="0.2">
      <c r="A586" s="7" t="s">
        <v>3902</v>
      </c>
      <c r="B586" s="7">
        <v>8814784</v>
      </c>
      <c r="C586" s="8">
        <v>1</v>
      </c>
      <c r="D586" s="8">
        <v>921760538</v>
      </c>
      <c r="E586" s="8" t="str">
        <f>CONCATENATE(D586,33)</f>
        <v>92176053833</v>
      </c>
      <c r="F586" s="8" t="s">
        <v>2047</v>
      </c>
      <c r="G586" s="8">
        <v>1</v>
      </c>
      <c r="H586" s="8">
        <v>20250401</v>
      </c>
      <c r="I586" s="8" t="str">
        <f t="shared" si="45"/>
        <v>4/1/2025</v>
      </c>
      <c r="J586" s="8">
        <v>20250101</v>
      </c>
      <c r="K586" s="8" t="str">
        <f t="shared" si="46"/>
        <v>1/1/2025</v>
      </c>
      <c r="L586" s="8" t="s">
        <v>198</v>
      </c>
      <c r="M586" s="8">
        <v>20</v>
      </c>
      <c r="N586" s="8">
        <v>20</v>
      </c>
      <c r="O586" s="6" t="s">
        <v>3950</v>
      </c>
    </row>
    <row r="587" spans="1:16" ht="15" customHeight="1" x14ac:dyDescent="0.3">
      <c r="A587" s="7" t="s">
        <v>3902</v>
      </c>
      <c r="B587" s="7">
        <v>8814784</v>
      </c>
      <c r="C587" s="8">
        <v>1</v>
      </c>
      <c r="D587" s="8">
        <v>920760884</v>
      </c>
      <c r="E587" s="8" t="str">
        <f t="shared" ref="E587:E605" si="47">CONCATENATE(D587,44)</f>
        <v>92076088444</v>
      </c>
      <c r="F587" s="8" t="s">
        <v>1950</v>
      </c>
      <c r="G587" s="8">
        <v>1</v>
      </c>
      <c r="H587" s="8">
        <v>20250401</v>
      </c>
      <c r="I587" s="8" t="str">
        <f t="shared" si="45"/>
        <v>4/1/2025</v>
      </c>
      <c r="J587" s="8">
        <v>20230101</v>
      </c>
      <c r="K587" s="8" t="str">
        <f t="shared" si="46"/>
        <v>1/1/2023</v>
      </c>
      <c r="L587" s="8" t="s">
        <v>65</v>
      </c>
      <c r="M587" s="8">
        <v>25</v>
      </c>
      <c r="N587" s="8">
        <v>25</v>
      </c>
      <c r="O587" s="14" t="s">
        <v>3948</v>
      </c>
    </row>
    <row r="588" spans="1:16" ht="15" customHeight="1" x14ac:dyDescent="0.3">
      <c r="A588" s="7" t="s">
        <v>3902</v>
      </c>
      <c r="B588" s="7">
        <v>8814784</v>
      </c>
      <c r="C588" s="8">
        <v>1</v>
      </c>
      <c r="D588" s="8">
        <v>920775423</v>
      </c>
      <c r="E588" s="8" t="str">
        <f t="shared" si="47"/>
        <v>92077542344</v>
      </c>
      <c r="F588" s="8" t="s">
        <v>1953</v>
      </c>
      <c r="G588" s="8">
        <v>1</v>
      </c>
      <c r="H588" s="8">
        <v>20250401</v>
      </c>
      <c r="I588" s="8" t="str">
        <f t="shared" si="45"/>
        <v>4/1/2025</v>
      </c>
      <c r="J588" s="8">
        <v>20140301</v>
      </c>
      <c r="K588" s="8" t="str">
        <f t="shared" si="46"/>
        <v>3/1/2014</v>
      </c>
      <c r="L588" s="8" t="s">
        <v>65</v>
      </c>
      <c r="M588" s="8">
        <v>25</v>
      </c>
      <c r="N588" s="8">
        <v>25</v>
      </c>
      <c r="O588" s="14" t="s">
        <v>3948</v>
      </c>
    </row>
    <row r="589" spans="1:16" ht="15" customHeight="1" x14ac:dyDescent="0.3">
      <c r="A589" s="7" t="s">
        <v>3902</v>
      </c>
      <c r="B589" s="7">
        <v>8814784</v>
      </c>
      <c r="C589" s="8">
        <v>1</v>
      </c>
      <c r="D589" s="8">
        <v>920861836</v>
      </c>
      <c r="E589" s="8" t="str">
        <f t="shared" si="47"/>
        <v>92086183644</v>
      </c>
      <c r="F589" s="8" t="s">
        <v>1957</v>
      </c>
      <c r="G589" s="8">
        <v>1</v>
      </c>
      <c r="H589" s="8">
        <v>20250401</v>
      </c>
      <c r="I589" s="8" t="str">
        <f t="shared" si="45"/>
        <v>4/1/2025</v>
      </c>
      <c r="J589" s="8">
        <v>20140401</v>
      </c>
      <c r="K589" s="8" t="str">
        <f t="shared" si="46"/>
        <v>4/1/2014</v>
      </c>
      <c r="L589" s="8" t="s">
        <v>65</v>
      </c>
      <c r="M589" s="8">
        <v>25</v>
      </c>
      <c r="N589" s="8">
        <v>25</v>
      </c>
      <c r="O589" s="14" t="s">
        <v>3948</v>
      </c>
    </row>
    <row r="590" spans="1:16" ht="15" customHeight="1" x14ac:dyDescent="0.3">
      <c r="A590" s="7" t="s">
        <v>3902</v>
      </c>
      <c r="B590" s="7">
        <v>8814784</v>
      </c>
      <c r="C590" s="8">
        <v>1</v>
      </c>
      <c r="D590" s="8">
        <v>920869125</v>
      </c>
      <c r="E590" s="8" t="str">
        <f t="shared" si="47"/>
        <v>92086912544</v>
      </c>
      <c r="F590" s="8" t="s">
        <v>1959</v>
      </c>
      <c r="G590" s="8">
        <v>1</v>
      </c>
      <c r="H590" s="8">
        <v>20250401</v>
      </c>
      <c r="I590" s="8" t="str">
        <f t="shared" si="45"/>
        <v>4/1/2025</v>
      </c>
      <c r="J590" s="8">
        <v>20170101</v>
      </c>
      <c r="K590" s="8" t="str">
        <f t="shared" si="46"/>
        <v>1/1/2017</v>
      </c>
      <c r="L590" s="8" t="s">
        <v>65</v>
      </c>
      <c r="M590" s="8">
        <v>25</v>
      </c>
      <c r="N590" s="8">
        <v>25</v>
      </c>
      <c r="O590" s="14" t="s">
        <v>3948</v>
      </c>
    </row>
    <row r="591" spans="1:16" ht="15" customHeight="1" x14ac:dyDescent="0.3">
      <c r="A591" s="7" t="s">
        <v>3902</v>
      </c>
      <c r="B591" s="7">
        <v>8814784</v>
      </c>
      <c r="C591" s="8">
        <v>1</v>
      </c>
      <c r="D591" s="8">
        <v>921044671</v>
      </c>
      <c r="E591" s="8" t="str">
        <f t="shared" si="47"/>
        <v>92104467144</v>
      </c>
      <c r="F591" s="8" t="s">
        <v>1967</v>
      </c>
      <c r="G591" s="8">
        <v>1</v>
      </c>
      <c r="H591" s="8">
        <v>20250201</v>
      </c>
      <c r="I591" s="8" t="str">
        <f t="shared" si="45"/>
        <v>2/1/2025</v>
      </c>
      <c r="J591" s="8">
        <v>20170101</v>
      </c>
      <c r="K591" s="8" t="str">
        <f t="shared" si="46"/>
        <v>1/1/2017</v>
      </c>
      <c r="L591" s="8" t="s">
        <v>65</v>
      </c>
      <c r="M591" s="8">
        <v>25</v>
      </c>
      <c r="N591" s="8">
        <v>25</v>
      </c>
      <c r="O591" s="14" t="s">
        <v>3948</v>
      </c>
    </row>
    <row r="592" spans="1:16" ht="15" customHeight="1" x14ac:dyDescent="0.3">
      <c r="A592" s="7" t="s">
        <v>3902</v>
      </c>
      <c r="B592" s="7">
        <v>8814784</v>
      </c>
      <c r="C592" s="8">
        <v>1</v>
      </c>
      <c r="D592" s="8">
        <v>921372537</v>
      </c>
      <c r="E592" s="8" t="str">
        <f t="shared" si="47"/>
        <v>92137253744</v>
      </c>
      <c r="F592" s="8" t="s">
        <v>1989</v>
      </c>
      <c r="G592" s="8">
        <v>1</v>
      </c>
      <c r="H592" s="8">
        <v>20250401</v>
      </c>
      <c r="I592" s="8" t="str">
        <f t="shared" si="45"/>
        <v>4/1/2025</v>
      </c>
      <c r="J592" s="8">
        <v>20200101</v>
      </c>
      <c r="K592" s="8" t="str">
        <f t="shared" si="46"/>
        <v>1/1/2020</v>
      </c>
      <c r="L592" s="8" t="s">
        <v>65</v>
      </c>
      <c r="M592" s="8">
        <v>25</v>
      </c>
      <c r="N592" s="8">
        <v>25</v>
      </c>
      <c r="O592" s="14" t="s">
        <v>3948</v>
      </c>
    </row>
    <row r="593" spans="1:37" ht="15" customHeight="1" x14ac:dyDescent="0.3">
      <c r="A593" s="7" t="s">
        <v>3902</v>
      </c>
      <c r="B593" s="7">
        <v>8814784</v>
      </c>
      <c r="C593" s="8">
        <v>1</v>
      </c>
      <c r="D593" s="8">
        <v>921506116</v>
      </c>
      <c r="E593" s="8" t="str">
        <f t="shared" si="47"/>
        <v>92150611644</v>
      </c>
      <c r="F593" s="8" t="s">
        <v>2003</v>
      </c>
      <c r="G593" s="8">
        <v>1</v>
      </c>
      <c r="H593" s="8">
        <v>20250401</v>
      </c>
      <c r="I593" s="8" t="str">
        <f t="shared" si="45"/>
        <v>4/1/2025</v>
      </c>
      <c r="J593" s="8">
        <v>20200101</v>
      </c>
      <c r="K593" s="8" t="str">
        <f t="shared" si="46"/>
        <v>1/1/2020</v>
      </c>
      <c r="L593" s="8" t="s">
        <v>65</v>
      </c>
      <c r="M593" s="8">
        <v>25</v>
      </c>
      <c r="N593" s="8">
        <v>25</v>
      </c>
      <c r="O593" s="14" t="s">
        <v>3948</v>
      </c>
    </row>
    <row r="594" spans="1:37" ht="15" customHeight="1" x14ac:dyDescent="0.3">
      <c r="A594" s="7" t="s">
        <v>3902</v>
      </c>
      <c r="B594" s="7">
        <v>8814784</v>
      </c>
      <c r="C594" s="8">
        <v>1</v>
      </c>
      <c r="D594" s="8">
        <v>921614291</v>
      </c>
      <c r="E594" s="8" t="str">
        <f t="shared" si="47"/>
        <v>92161429144</v>
      </c>
      <c r="F594" s="8" t="s">
        <v>2013</v>
      </c>
      <c r="G594" s="8">
        <v>1</v>
      </c>
      <c r="H594" s="8">
        <v>20250401</v>
      </c>
      <c r="I594" s="8" t="str">
        <f t="shared" si="45"/>
        <v>4/1/2025</v>
      </c>
      <c r="J594" s="8">
        <v>20220601</v>
      </c>
      <c r="K594" s="8" t="str">
        <f t="shared" si="46"/>
        <v>6/1/2022</v>
      </c>
      <c r="L594" s="8" t="s">
        <v>65</v>
      </c>
      <c r="M594" s="8">
        <v>25</v>
      </c>
      <c r="N594" s="8">
        <v>25</v>
      </c>
      <c r="O594" s="14" t="s">
        <v>3948</v>
      </c>
    </row>
    <row r="595" spans="1:37" ht="15" customHeight="1" x14ac:dyDescent="0.3">
      <c r="A595" s="7" t="s">
        <v>3902</v>
      </c>
      <c r="B595" s="7">
        <v>8814784</v>
      </c>
      <c r="C595" s="8">
        <v>1</v>
      </c>
      <c r="D595" s="8">
        <v>921637408</v>
      </c>
      <c r="E595" s="8" t="str">
        <f t="shared" si="47"/>
        <v>92163740844</v>
      </c>
      <c r="F595" s="8" t="s">
        <v>2017</v>
      </c>
      <c r="G595" s="8">
        <v>1</v>
      </c>
      <c r="H595" s="8">
        <v>20250401</v>
      </c>
      <c r="I595" s="8" t="str">
        <f t="shared" si="45"/>
        <v>4/1/2025</v>
      </c>
      <c r="J595" s="8">
        <v>20230101</v>
      </c>
      <c r="K595" s="8" t="str">
        <f t="shared" si="46"/>
        <v>1/1/2023</v>
      </c>
      <c r="L595" s="8" t="s">
        <v>65</v>
      </c>
      <c r="M595" s="8">
        <v>25</v>
      </c>
      <c r="N595" s="8">
        <v>25</v>
      </c>
      <c r="O595" s="14" t="s">
        <v>3948</v>
      </c>
    </row>
    <row r="596" spans="1:37" ht="15" customHeight="1" x14ac:dyDescent="0.3">
      <c r="A596" s="7" t="s">
        <v>3902</v>
      </c>
      <c r="B596" s="7">
        <v>8814784</v>
      </c>
      <c r="C596" s="8">
        <v>1</v>
      </c>
      <c r="D596" s="8">
        <v>921641638</v>
      </c>
      <c r="E596" s="8" t="str">
        <f t="shared" si="47"/>
        <v>92164163844</v>
      </c>
      <c r="F596" s="8" t="s">
        <v>2021</v>
      </c>
      <c r="G596" s="8">
        <v>1</v>
      </c>
      <c r="H596" s="8">
        <v>20250401</v>
      </c>
      <c r="I596" s="8" t="str">
        <f t="shared" si="45"/>
        <v>4/1/2025</v>
      </c>
      <c r="J596" s="8">
        <v>20230101</v>
      </c>
      <c r="K596" s="8" t="str">
        <f t="shared" si="46"/>
        <v>1/1/2023</v>
      </c>
      <c r="L596" s="8" t="s">
        <v>65</v>
      </c>
      <c r="M596" s="8">
        <v>25</v>
      </c>
      <c r="N596" s="8">
        <v>25</v>
      </c>
      <c r="O596" s="14" t="s">
        <v>3948</v>
      </c>
    </row>
    <row r="597" spans="1:37" ht="15" customHeight="1" x14ac:dyDescent="0.3">
      <c r="A597" s="7" t="s">
        <v>3902</v>
      </c>
      <c r="B597" s="7">
        <v>8814784</v>
      </c>
      <c r="C597" s="8">
        <v>1</v>
      </c>
      <c r="D597" s="8">
        <v>921655241</v>
      </c>
      <c r="E597" s="8" t="str">
        <f t="shared" si="47"/>
        <v>92165524144</v>
      </c>
      <c r="F597" s="8" t="s">
        <v>2025</v>
      </c>
      <c r="G597" s="8">
        <v>1</v>
      </c>
      <c r="H597" s="8">
        <v>20250401</v>
      </c>
      <c r="I597" s="8" t="str">
        <f t="shared" si="45"/>
        <v>4/1/2025</v>
      </c>
      <c r="J597" s="8">
        <v>20230401</v>
      </c>
      <c r="K597" s="8" t="str">
        <f t="shared" si="46"/>
        <v>4/1/2023</v>
      </c>
      <c r="L597" s="8" t="s">
        <v>65</v>
      </c>
      <c r="M597" s="8">
        <v>25</v>
      </c>
      <c r="N597" s="8">
        <v>25</v>
      </c>
      <c r="O597" s="14" t="s">
        <v>3948</v>
      </c>
    </row>
    <row r="598" spans="1:37" ht="15" customHeight="1" x14ac:dyDescent="0.3">
      <c r="A598" s="7" t="s">
        <v>3902</v>
      </c>
      <c r="B598" s="7">
        <v>8814784</v>
      </c>
      <c r="C598" s="8">
        <v>2</v>
      </c>
      <c r="D598" s="8">
        <v>921054464</v>
      </c>
      <c r="E598" s="8" t="str">
        <f t="shared" si="47"/>
        <v>92105446444</v>
      </c>
      <c r="F598" s="8" t="s">
        <v>1969</v>
      </c>
      <c r="G598" s="8">
        <v>1</v>
      </c>
      <c r="H598" s="8">
        <v>20250401</v>
      </c>
      <c r="I598" s="8" t="str">
        <f t="shared" si="45"/>
        <v>4/1/2025</v>
      </c>
      <c r="J598" s="8">
        <v>20230101</v>
      </c>
      <c r="K598" s="8" t="str">
        <f t="shared" si="46"/>
        <v>1/1/2023</v>
      </c>
      <c r="L598" s="8" t="s">
        <v>65</v>
      </c>
      <c r="M598" s="8">
        <v>25</v>
      </c>
      <c r="N598" s="8">
        <v>50</v>
      </c>
      <c r="O598" s="14" t="s">
        <v>3948</v>
      </c>
      <c r="P598" s="6" t="s">
        <v>3952</v>
      </c>
    </row>
    <row r="599" spans="1:37" ht="15" customHeight="1" x14ac:dyDescent="0.3">
      <c r="A599" s="7" t="s">
        <v>3902</v>
      </c>
      <c r="B599" s="7">
        <v>8814784</v>
      </c>
      <c r="C599" s="8">
        <v>2</v>
      </c>
      <c r="D599" s="8">
        <v>921544809</v>
      </c>
      <c r="E599" s="8" t="str">
        <f t="shared" si="47"/>
        <v>92154480944</v>
      </c>
      <c r="F599" s="8" t="s">
        <v>2005</v>
      </c>
      <c r="G599" s="8">
        <v>1</v>
      </c>
      <c r="H599" s="8">
        <v>20250301</v>
      </c>
      <c r="I599" s="8" t="str">
        <f t="shared" si="45"/>
        <v>3/1/2025</v>
      </c>
      <c r="J599" s="8">
        <v>20210101</v>
      </c>
      <c r="K599" s="8" t="str">
        <f t="shared" si="46"/>
        <v>1/1/2021</v>
      </c>
      <c r="L599" s="8" t="s">
        <v>65</v>
      </c>
      <c r="M599" s="8">
        <v>25</v>
      </c>
      <c r="N599" s="8">
        <v>50</v>
      </c>
      <c r="O599" s="14" t="s">
        <v>3948</v>
      </c>
      <c r="P599" s="6" t="s">
        <v>3952</v>
      </c>
    </row>
    <row r="600" spans="1:37" ht="15" customHeight="1" x14ac:dyDescent="0.3">
      <c r="A600" s="7" t="s">
        <v>3902</v>
      </c>
      <c r="B600" s="7">
        <v>8814784</v>
      </c>
      <c r="C600" s="8">
        <v>3</v>
      </c>
      <c r="D600" s="8">
        <v>921686958</v>
      </c>
      <c r="E600" s="8" t="str">
        <f t="shared" si="47"/>
        <v>92168695844</v>
      </c>
      <c r="F600" s="8" t="s">
        <v>2031</v>
      </c>
      <c r="G600" s="8">
        <v>1</v>
      </c>
      <c r="H600" s="8">
        <v>20250401</v>
      </c>
      <c r="I600" s="8" t="str">
        <f t="shared" si="45"/>
        <v>4/1/2025</v>
      </c>
      <c r="J600" s="8">
        <v>20240101</v>
      </c>
      <c r="K600" s="8" t="str">
        <f t="shared" si="46"/>
        <v>1/1/2024</v>
      </c>
      <c r="L600" s="8" t="s">
        <v>65</v>
      </c>
      <c r="M600" s="8">
        <v>25</v>
      </c>
      <c r="N600" s="8">
        <v>75</v>
      </c>
      <c r="O600" s="14" t="s">
        <v>3948</v>
      </c>
      <c r="P600" s="6" t="s">
        <v>3953</v>
      </c>
    </row>
    <row r="601" spans="1:37" ht="15" customHeight="1" x14ac:dyDescent="0.3">
      <c r="A601" s="7" t="s">
        <v>3902</v>
      </c>
      <c r="B601" s="7">
        <v>8814784</v>
      </c>
      <c r="C601" s="8">
        <v>1</v>
      </c>
      <c r="D601" s="8">
        <v>921649131</v>
      </c>
      <c r="E601" s="8" t="str">
        <f t="shared" si="47"/>
        <v>92164913144</v>
      </c>
      <c r="F601" s="8" t="s">
        <v>2023</v>
      </c>
      <c r="G601" s="8">
        <v>1</v>
      </c>
      <c r="H601" s="8">
        <v>20250301</v>
      </c>
      <c r="I601" s="8" t="str">
        <f t="shared" si="45"/>
        <v>3/1/2025</v>
      </c>
      <c r="J601" s="8">
        <v>20250101</v>
      </c>
      <c r="K601" s="8" t="str">
        <f t="shared" si="46"/>
        <v>1/1/2025</v>
      </c>
      <c r="L601" s="8" t="s">
        <v>65</v>
      </c>
      <c r="M601" s="8">
        <v>30</v>
      </c>
      <c r="N601" s="8">
        <v>30</v>
      </c>
      <c r="O601" s="14" t="s">
        <v>3948</v>
      </c>
    </row>
    <row r="602" spans="1:37" ht="15" customHeight="1" x14ac:dyDescent="0.3">
      <c r="A602" s="7" t="s">
        <v>3902</v>
      </c>
      <c r="B602" s="7">
        <v>8814784</v>
      </c>
      <c r="C602" s="8">
        <v>1</v>
      </c>
      <c r="D602" s="8">
        <v>921737260</v>
      </c>
      <c r="E602" s="8" t="str">
        <f t="shared" si="47"/>
        <v>92173726044</v>
      </c>
      <c r="F602" s="8" t="s">
        <v>2041</v>
      </c>
      <c r="G602" s="8">
        <v>1</v>
      </c>
      <c r="H602" s="8">
        <v>20250401</v>
      </c>
      <c r="I602" s="8" t="str">
        <f t="shared" si="45"/>
        <v>4/1/2025</v>
      </c>
      <c r="J602" s="8">
        <v>20240901</v>
      </c>
      <c r="K602" s="8" t="str">
        <f t="shared" si="46"/>
        <v>9/1/2024</v>
      </c>
      <c r="L602" s="8" t="s">
        <v>65</v>
      </c>
      <c r="M602" s="8">
        <v>30</v>
      </c>
      <c r="N602" s="8">
        <v>30</v>
      </c>
      <c r="O602" s="14" t="s">
        <v>3948</v>
      </c>
    </row>
    <row r="603" spans="1:37" ht="15" customHeight="1" x14ac:dyDescent="0.3">
      <c r="A603" s="7" t="s">
        <v>3902</v>
      </c>
      <c r="B603" s="7">
        <v>8814784</v>
      </c>
      <c r="C603" s="8">
        <v>1</v>
      </c>
      <c r="D603" s="8">
        <v>921757617</v>
      </c>
      <c r="E603" s="8" t="str">
        <f t="shared" si="47"/>
        <v>92175761744</v>
      </c>
      <c r="F603" s="8" t="s">
        <v>2045</v>
      </c>
      <c r="G603" s="8">
        <v>1</v>
      </c>
      <c r="H603" s="8">
        <v>20250401</v>
      </c>
      <c r="I603" s="8" t="str">
        <f t="shared" si="45"/>
        <v>4/1/2025</v>
      </c>
      <c r="J603" s="8">
        <v>20250101</v>
      </c>
      <c r="K603" s="8" t="str">
        <f t="shared" si="46"/>
        <v>1/1/2025</v>
      </c>
      <c r="L603" s="8" t="s">
        <v>65</v>
      </c>
      <c r="M603" s="8">
        <v>30</v>
      </c>
      <c r="N603" s="8">
        <v>30</v>
      </c>
      <c r="O603" s="14" t="s">
        <v>3948</v>
      </c>
    </row>
    <row r="604" spans="1:37" ht="15" customHeight="1" x14ac:dyDescent="0.3">
      <c r="A604" s="7" t="s">
        <v>3902</v>
      </c>
      <c r="B604" s="7">
        <v>8814784</v>
      </c>
      <c r="C604" s="8">
        <v>2</v>
      </c>
      <c r="D604" s="8">
        <v>921768375</v>
      </c>
      <c r="E604" s="8" t="str">
        <f t="shared" si="47"/>
        <v>92176837544</v>
      </c>
      <c r="F604" s="8" t="s">
        <v>2051</v>
      </c>
      <c r="G604" s="8">
        <v>1</v>
      </c>
      <c r="H604" s="8">
        <v>20250401</v>
      </c>
      <c r="I604" s="8" t="str">
        <f t="shared" si="45"/>
        <v>4/1/2025</v>
      </c>
      <c r="J604" s="8">
        <v>20250201</v>
      </c>
      <c r="K604" s="8" t="str">
        <f t="shared" si="46"/>
        <v>2/1/2025</v>
      </c>
      <c r="L604" s="8" t="s">
        <v>65</v>
      </c>
      <c r="M604" s="8">
        <v>30</v>
      </c>
      <c r="N604" s="8">
        <v>60</v>
      </c>
      <c r="O604" s="14" t="s">
        <v>3948</v>
      </c>
      <c r="P604" s="6" t="s">
        <v>3952</v>
      </c>
    </row>
    <row r="605" spans="1:37" ht="15" customHeight="1" x14ac:dyDescent="0.3">
      <c r="A605" s="7" t="s">
        <v>3902</v>
      </c>
      <c r="B605" s="7">
        <v>8814784</v>
      </c>
      <c r="C605" s="8">
        <v>4</v>
      </c>
      <c r="D605" s="8">
        <v>890262018</v>
      </c>
      <c r="E605" s="8" t="str">
        <f t="shared" si="47"/>
        <v>89026201844</v>
      </c>
      <c r="F605" s="8" t="s">
        <v>1940</v>
      </c>
      <c r="G605" s="8">
        <v>1</v>
      </c>
      <c r="H605" s="8">
        <v>20250401</v>
      </c>
      <c r="I605" s="8" t="str">
        <f t="shared" si="45"/>
        <v>4/1/2025</v>
      </c>
      <c r="J605" s="8">
        <v>20250101</v>
      </c>
      <c r="K605" s="8" t="str">
        <f t="shared" si="46"/>
        <v>1/1/2025</v>
      </c>
      <c r="L605" s="8" t="s">
        <v>65</v>
      </c>
      <c r="M605" s="8">
        <v>30</v>
      </c>
      <c r="N605" s="8">
        <v>120</v>
      </c>
      <c r="O605" s="14" t="s">
        <v>3948</v>
      </c>
      <c r="P605" s="6" t="s">
        <v>3954</v>
      </c>
      <c r="AK605" s="12"/>
    </row>
    <row r="606" spans="1:37" ht="15" customHeight="1" x14ac:dyDescent="0.2">
      <c r="A606" s="7" t="s">
        <v>3902</v>
      </c>
      <c r="B606" s="7">
        <v>8814784</v>
      </c>
      <c r="C606" s="8">
        <v>1</v>
      </c>
      <c r="D606" s="8">
        <v>890208523</v>
      </c>
      <c r="E606" s="8" t="str">
        <f t="shared" ref="E606:E614" si="48">CONCATENATE(D606,55)</f>
        <v>89020852355</v>
      </c>
      <c r="F606" s="8" t="s">
        <v>1938</v>
      </c>
      <c r="G606" s="8">
        <v>1</v>
      </c>
      <c r="H606" s="8">
        <v>20250401</v>
      </c>
      <c r="I606" s="8" t="str">
        <f t="shared" si="45"/>
        <v>4/1/2025</v>
      </c>
      <c r="J606" s="8">
        <v>20170101</v>
      </c>
      <c r="K606" s="8" t="str">
        <f t="shared" si="46"/>
        <v>1/1/2017</v>
      </c>
      <c r="L606" s="8" t="s">
        <v>138</v>
      </c>
      <c r="M606" s="8">
        <v>20</v>
      </c>
      <c r="N606" s="8">
        <v>20</v>
      </c>
      <c r="O606" s="6" t="s">
        <v>3946</v>
      </c>
    </row>
    <row r="607" spans="1:37" ht="15" customHeight="1" x14ac:dyDescent="0.2">
      <c r="A607" s="7" t="s">
        <v>3902</v>
      </c>
      <c r="B607" s="7">
        <v>8814784</v>
      </c>
      <c r="C607" s="8">
        <v>1</v>
      </c>
      <c r="D607" s="8">
        <v>920932458</v>
      </c>
      <c r="E607" s="8" t="str">
        <f t="shared" si="48"/>
        <v>92093245855</v>
      </c>
      <c r="F607" s="8" t="s">
        <v>1963</v>
      </c>
      <c r="G607" s="8">
        <v>1</v>
      </c>
      <c r="H607" s="8">
        <v>20250401</v>
      </c>
      <c r="I607" s="8" t="str">
        <f t="shared" si="45"/>
        <v>4/1/2025</v>
      </c>
      <c r="J607" s="8">
        <v>20180101</v>
      </c>
      <c r="K607" s="8" t="str">
        <f t="shared" si="46"/>
        <v>1/1/2018</v>
      </c>
      <c r="L607" s="8" t="s">
        <v>138</v>
      </c>
      <c r="M607" s="8">
        <v>20</v>
      </c>
      <c r="N607" s="8">
        <v>20</v>
      </c>
      <c r="O607" s="6" t="s">
        <v>3946</v>
      </c>
    </row>
    <row r="608" spans="1:37" ht="15" customHeight="1" x14ac:dyDescent="0.2">
      <c r="A608" s="7" t="s">
        <v>3902</v>
      </c>
      <c r="B608" s="7">
        <v>8814784</v>
      </c>
      <c r="C608" s="8">
        <v>1</v>
      </c>
      <c r="D608" s="8">
        <v>921399067</v>
      </c>
      <c r="E608" s="8" t="str">
        <f t="shared" si="48"/>
        <v>92139906755</v>
      </c>
      <c r="F608" s="8" t="s">
        <v>1995</v>
      </c>
      <c r="G608" s="8">
        <v>1</v>
      </c>
      <c r="H608" s="8">
        <v>20250401</v>
      </c>
      <c r="I608" s="8" t="str">
        <f t="shared" si="45"/>
        <v>4/1/2025</v>
      </c>
      <c r="J608" s="8">
        <v>20230401</v>
      </c>
      <c r="K608" s="8" t="str">
        <f t="shared" si="46"/>
        <v>4/1/2023</v>
      </c>
      <c r="L608" s="8" t="s">
        <v>138</v>
      </c>
      <c r="M608" s="8">
        <v>20</v>
      </c>
      <c r="N608" s="8">
        <v>20</v>
      </c>
      <c r="O608" s="6" t="s">
        <v>3946</v>
      </c>
    </row>
    <row r="609" spans="1:16" ht="15" customHeight="1" x14ac:dyDescent="0.2">
      <c r="A609" s="7" t="s">
        <v>3902</v>
      </c>
      <c r="B609" s="7">
        <v>8814784</v>
      </c>
      <c r="C609" s="8">
        <v>1</v>
      </c>
      <c r="D609" s="8">
        <v>921439239</v>
      </c>
      <c r="E609" s="8" t="str">
        <f t="shared" si="48"/>
        <v>92143923955</v>
      </c>
      <c r="F609" s="8" t="s">
        <v>1999</v>
      </c>
      <c r="G609" s="8">
        <v>1</v>
      </c>
      <c r="H609" s="8">
        <v>20250401</v>
      </c>
      <c r="I609" s="8" t="str">
        <f t="shared" si="45"/>
        <v>4/1/2025</v>
      </c>
      <c r="J609" s="8">
        <v>20190101</v>
      </c>
      <c r="K609" s="8" t="str">
        <f t="shared" si="46"/>
        <v>1/1/2019</v>
      </c>
      <c r="L609" s="8" t="s">
        <v>138</v>
      </c>
      <c r="M609" s="8">
        <v>20</v>
      </c>
      <c r="N609" s="8">
        <v>20</v>
      </c>
      <c r="O609" s="6" t="s">
        <v>3946</v>
      </c>
    </row>
    <row r="610" spans="1:16" ht="15" customHeight="1" x14ac:dyDescent="0.2">
      <c r="A610" s="7" t="s">
        <v>3902</v>
      </c>
      <c r="B610" s="7">
        <v>8814784</v>
      </c>
      <c r="C610" s="8">
        <v>1</v>
      </c>
      <c r="D610" s="8">
        <v>921670999</v>
      </c>
      <c r="E610" s="8" t="str">
        <f t="shared" si="48"/>
        <v>92167099955</v>
      </c>
      <c r="F610" s="8" t="s">
        <v>2027</v>
      </c>
      <c r="G610" s="8">
        <v>1</v>
      </c>
      <c r="H610" s="8">
        <v>20250401</v>
      </c>
      <c r="I610" s="8" t="str">
        <f t="shared" si="45"/>
        <v>4/1/2025</v>
      </c>
      <c r="J610" s="8">
        <v>20231001</v>
      </c>
      <c r="K610" s="8" t="str">
        <f t="shared" si="46"/>
        <v>10/1/2023</v>
      </c>
      <c r="L610" s="8" t="s">
        <v>138</v>
      </c>
      <c r="M610" s="8">
        <v>20</v>
      </c>
      <c r="N610" s="8">
        <v>20</v>
      </c>
      <c r="O610" s="6" t="s">
        <v>3946</v>
      </c>
    </row>
    <row r="611" spans="1:16" ht="15" customHeight="1" x14ac:dyDescent="0.2">
      <c r="A611" s="7" t="s">
        <v>3902</v>
      </c>
      <c r="B611" s="7">
        <v>8814784</v>
      </c>
      <c r="C611" s="8">
        <v>1</v>
      </c>
      <c r="D611" s="8">
        <v>921699934</v>
      </c>
      <c r="E611" s="8" t="str">
        <f t="shared" si="48"/>
        <v>92169993455</v>
      </c>
      <c r="F611" s="8" t="s">
        <v>2033</v>
      </c>
      <c r="G611" s="8">
        <v>1</v>
      </c>
      <c r="H611" s="8">
        <v>20250401</v>
      </c>
      <c r="I611" s="8" t="str">
        <f t="shared" si="45"/>
        <v>4/1/2025</v>
      </c>
      <c r="J611" s="8">
        <v>20240101</v>
      </c>
      <c r="K611" s="8" t="str">
        <f t="shared" si="46"/>
        <v>1/1/2024</v>
      </c>
      <c r="L611" s="8" t="s">
        <v>138</v>
      </c>
      <c r="M611" s="8">
        <v>20</v>
      </c>
      <c r="N611" s="8">
        <v>20</v>
      </c>
      <c r="O611" s="6" t="s">
        <v>3946</v>
      </c>
    </row>
    <row r="612" spans="1:16" ht="15" customHeight="1" x14ac:dyDescent="0.2">
      <c r="A612" s="7" t="s">
        <v>3902</v>
      </c>
      <c r="B612" s="7">
        <v>8814784</v>
      </c>
      <c r="C612" s="8">
        <v>2</v>
      </c>
      <c r="D612" s="8">
        <v>921060236</v>
      </c>
      <c r="E612" s="8" t="str">
        <f t="shared" si="48"/>
        <v>92106023655</v>
      </c>
      <c r="F612" s="8" t="s">
        <v>1971</v>
      </c>
      <c r="G612" s="8">
        <v>1</v>
      </c>
      <c r="H612" s="8">
        <v>20250401</v>
      </c>
      <c r="I612" s="8" t="str">
        <f t="shared" si="45"/>
        <v>4/1/2025</v>
      </c>
      <c r="J612" s="8">
        <v>20191101</v>
      </c>
      <c r="K612" s="8" t="str">
        <f t="shared" si="46"/>
        <v>11/1/2019</v>
      </c>
      <c r="L612" s="8" t="s">
        <v>138</v>
      </c>
      <c r="M612" s="8">
        <v>20</v>
      </c>
      <c r="N612" s="8">
        <v>40</v>
      </c>
      <c r="O612" s="6" t="s">
        <v>3946</v>
      </c>
      <c r="P612" s="6" t="s">
        <v>3952</v>
      </c>
    </row>
    <row r="613" spans="1:16" ht="15" customHeight="1" x14ac:dyDescent="0.2">
      <c r="A613" s="7" t="s">
        <v>3902</v>
      </c>
      <c r="B613" s="7">
        <v>8814784</v>
      </c>
      <c r="C613" s="8">
        <v>4</v>
      </c>
      <c r="D613" s="8">
        <v>921182822</v>
      </c>
      <c r="E613" s="8" t="str">
        <f t="shared" si="48"/>
        <v>92118282255</v>
      </c>
      <c r="F613" s="8" t="s">
        <v>1977</v>
      </c>
      <c r="G613" s="8">
        <v>1</v>
      </c>
      <c r="H613" s="8">
        <v>20250401</v>
      </c>
      <c r="I613" s="8" t="str">
        <f t="shared" si="45"/>
        <v>4/1/2025</v>
      </c>
      <c r="J613" s="8">
        <v>20220101</v>
      </c>
      <c r="K613" s="8" t="str">
        <f t="shared" si="46"/>
        <v>1/1/2022</v>
      </c>
      <c r="L613" s="8" t="s">
        <v>138</v>
      </c>
      <c r="M613" s="8">
        <v>20</v>
      </c>
      <c r="N613" s="8">
        <v>80</v>
      </c>
      <c r="O613" s="6" t="s">
        <v>3946</v>
      </c>
      <c r="P613" s="6" t="s">
        <v>3954</v>
      </c>
    </row>
    <row r="614" spans="1:16" ht="15" customHeight="1" x14ac:dyDescent="0.2">
      <c r="A614" s="7" t="s">
        <v>3902</v>
      </c>
      <c r="B614" s="7">
        <v>8814784</v>
      </c>
      <c r="C614" s="8">
        <v>2</v>
      </c>
      <c r="D614" s="8">
        <v>921720586</v>
      </c>
      <c r="E614" s="8" t="str">
        <f t="shared" si="48"/>
        <v>92172058655</v>
      </c>
      <c r="F614" s="8" t="s">
        <v>2039</v>
      </c>
      <c r="G614" s="8">
        <v>1</v>
      </c>
      <c r="H614" s="8">
        <v>20250401</v>
      </c>
      <c r="I614" s="8" t="str">
        <f t="shared" si="45"/>
        <v>4/1/2025</v>
      </c>
      <c r="J614" s="8">
        <v>20240501</v>
      </c>
      <c r="K614" s="8" t="str">
        <f t="shared" si="46"/>
        <v>5/1/2024</v>
      </c>
      <c r="L614" s="8" t="s">
        <v>138</v>
      </c>
      <c r="M614" s="8">
        <v>25</v>
      </c>
      <c r="N614" s="8">
        <v>50</v>
      </c>
      <c r="O614" s="6" t="s">
        <v>3946</v>
      </c>
      <c r="P614" s="6" t="s">
        <v>3952</v>
      </c>
    </row>
    <row r="615" spans="1:16" ht="15" customHeight="1" x14ac:dyDescent="0.2">
      <c r="A615" s="7" t="s">
        <v>3902</v>
      </c>
      <c r="B615" s="7">
        <v>8814784</v>
      </c>
      <c r="D615" s="8">
        <v>890545645</v>
      </c>
      <c r="E615" s="8" t="str">
        <f>CONCATENATE(1,D615)</f>
        <v>1890545645</v>
      </c>
      <c r="F615" s="8" t="s">
        <v>1942</v>
      </c>
      <c r="G615" s="8">
        <v>29.08</v>
      </c>
      <c r="H615" s="8">
        <v>20250401</v>
      </c>
      <c r="I615" s="8" t="str">
        <f t="shared" si="45"/>
        <v>4/1/2025</v>
      </c>
      <c r="J615" s="8">
        <v>20250101</v>
      </c>
      <c r="K615" s="8" t="str">
        <f t="shared" si="46"/>
        <v>1/1/2025</v>
      </c>
      <c r="L615" s="8" t="s">
        <v>116</v>
      </c>
      <c r="M615" s="8">
        <v>0.04</v>
      </c>
      <c r="N615" s="8">
        <v>1.1599999999999999</v>
      </c>
      <c r="O615" s="6" t="s">
        <v>3938</v>
      </c>
    </row>
    <row r="616" spans="1:16" ht="15" customHeight="1" x14ac:dyDescent="0.2">
      <c r="A616" s="7" t="s">
        <v>3902</v>
      </c>
      <c r="B616" s="7">
        <v>8814784</v>
      </c>
      <c r="D616" s="8">
        <v>920760884</v>
      </c>
      <c r="E616" s="8" t="str">
        <f>CONCATENATE(1,D616)</f>
        <v>1920760884</v>
      </c>
      <c r="F616" s="8" t="s">
        <v>1950</v>
      </c>
      <c r="G616" s="8">
        <v>35.729999999999997</v>
      </c>
      <c r="H616" s="8">
        <v>20250401</v>
      </c>
      <c r="I616" s="8" t="str">
        <f t="shared" si="45"/>
        <v>4/1/2025</v>
      </c>
      <c r="J616" s="8">
        <v>20250101</v>
      </c>
      <c r="K616" s="8" t="str">
        <f t="shared" si="46"/>
        <v>1/1/2025</v>
      </c>
      <c r="L616" s="8" t="s">
        <v>116</v>
      </c>
      <c r="M616" s="8">
        <v>0.04</v>
      </c>
      <c r="N616" s="8">
        <v>1.43</v>
      </c>
      <c r="O616" s="6" t="s">
        <v>3938</v>
      </c>
    </row>
    <row r="617" spans="1:16" ht="15" customHeight="1" x14ac:dyDescent="0.2">
      <c r="A617" s="7" t="s">
        <v>3902</v>
      </c>
      <c r="B617" s="7">
        <v>8814784</v>
      </c>
      <c r="D617" s="8">
        <v>921243078</v>
      </c>
      <c r="E617" s="8" t="str">
        <f>CONCATENATE(1,D617)</f>
        <v>1921243078</v>
      </c>
      <c r="F617" s="8" t="s">
        <v>1979</v>
      </c>
      <c r="G617" s="8">
        <v>71.94</v>
      </c>
      <c r="H617" s="8">
        <v>20250401</v>
      </c>
      <c r="I617" s="8" t="str">
        <f t="shared" si="45"/>
        <v>4/1/2025</v>
      </c>
      <c r="J617" s="8">
        <v>20250101</v>
      </c>
      <c r="K617" s="8" t="str">
        <f t="shared" si="46"/>
        <v>1/1/2025</v>
      </c>
      <c r="L617" s="8" t="s">
        <v>116</v>
      </c>
      <c r="M617" s="8">
        <v>0.04</v>
      </c>
      <c r="N617" s="8">
        <v>2.88</v>
      </c>
      <c r="O617" s="6" t="s">
        <v>3938</v>
      </c>
    </row>
    <row r="618" spans="1:16" ht="15" customHeight="1" x14ac:dyDescent="0.2">
      <c r="A618" s="7" t="s">
        <v>3902</v>
      </c>
      <c r="B618" s="7">
        <v>8814784</v>
      </c>
      <c r="D618" s="8">
        <v>957198660</v>
      </c>
      <c r="E618" s="8" t="str">
        <f>CONCATENATE(D618,7)</f>
        <v>9571986607</v>
      </c>
      <c r="F618" s="8" t="s">
        <v>2055</v>
      </c>
      <c r="G618" s="8">
        <v>129.53</v>
      </c>
      <c r="H618" s="8">
        <v>20250401</v>
      </c>
      <c r="I618" s="8" t="str">
        <f t="shared" si="45"/>
        <v>4/1/2025</v>
      </c>
      <c r="J618" s="8">
        <v>20250101</v>
      </c>
      <c r="K618" s="8" t="str">
        <f t="shared" si="46"/>
        <v>1/1/2025</v>
      </c>
      <c r="L618" s="8" t="s">
        <v>398</v>
      </c>
      <c r="M618" s="8">
        <v>0.1</v>
      </c>
      <c r="N618" s="8">
        <v>12.95</v>
      </c>
      <c r="O618" s="6" t="s">
        <v>3942</v>
      </c>
    </row>
    <row r="619" spans="1:16" ht="15" customHeight="1" x14ac:dyDescent="0.2">
      <c r="A619" s="7" t="s">
        <v>3897</v>
      </c>
      <c r="B619" s="7">
        <v>9213293</v>
      </c>
      <c r="D619" s="8">
        <v>957202929</v>
      </c>
      <c r="E619" s="8" t="str">
        <f>CONCATENATE(D619,1)</f>
        <v>9572029291</v>
      </c>
      <c r="F619" s="8" t="s">
        <v>973</v>
      </c>
      <c r="G619" s="8">
        <v>136.88999999999999</v>
      </c>
      <c r="H619" s="8">
        <v>20250301</v>
      </c>
      <c r="I619" s="8" t="str">
        <f t="shared" si="45"/>
        <v>3/1/2025</v>
      </c>
      <c r="J619" s="8">
        <v>20250201</v>
      </c>
      <c r="K619" s="8" t="str">
        <f t="shared" si="46"/>
        <v>2/1/2025</v>
      </c>
      <c r="L619" s="8" t="s">
        <v>398</v>
      </c>
      <c r="M619" s="8">
        <v>0.125</v>
      </c>
      <c r="N619" s="8">
        <v>17.11</v>
      </c>
      <c r="O619" s="6" t="s">
        <v>3943</v>
      </c>
    </row>
    <row r="620" spans="1:16" ht="15" customHeight="1" x14ac:dyDescent="0.2">
      <c r="A620" s="7" t="s">
        <v>3897</v>
      </c>
      <c r="B620" s="7">
        <v>9213293</v>
      </c>
      <c r="D620" s="8">
        <v>957202818</v>
      </c>
      <c r="E620" s="8" t="str">
        <f>CONCATENATE(D620,1)</f>
        <v>9572028181</v>
      </c>
      <c r="F620" s="8" t="s">
        <v>968</v>
      </c>
      <c r="G620" s="8">
        <v>181.94</v>
      </c>
      <c r="H620" s="8">
        <v>20250301</v>
      </c>
      <c r="I620" s="8" t="str">
        <f t="shared" si="45"/>
        <v>3/1/2025</v>
      </c>
      <c r="J620" s="8">
        <v>20250201</v>
      </c>
      <c r="K620" s="8" t="str">
        <f t="shared" si="46"/>
        <v>2/1/2025</v>
      </c>
      <c r="L620" s="8" t="s">
        <v>398</v>
      </c>
      <c r="M620" s="8">
        <v>0.125</v>
      </c>
      <c r="N620" s="8">
        <v>22.74</v>
      </c>
      <c r="O620" s="6" t="s">
        <v>3943</v>
      </c>
    </row>
    <row r="621" spans="1:16" ht="15" customHeight="1" x14ac:dyDescent="0.2">
      <c r="A621" s="7" t="s">
        <v>3897</v>
      </c>
      <c r="B621" s="7">
        <v>9213293</v>
      </c>
      <c r="D621" s="8">
        <v>957204785</v>
      </c>
      <c r="E621" s="8" t="str">
        <f>CONCATENATE(D621,1)</f>
        <v>9572047851</v>
      </c>
      <c r="F621" s="8" t="s">
        <v>978</v>
      </c>
      <c r="G621" s="8">
        <v>182.37</v>
      </c>
      <c r="H621" s="8">
        <v>20250301</v>
      </c>
      <c r="I621" s="8" t="str">
        <f t="shared" si="45"/>
        <v>3/1/2025</v>
      </c>
      <c r="J621" s="8">
        <v>20250201</v>
      </c>
      <c r="K621" s="8" t="str">
        <f t="shared" si="46"/>
        <v>2/1/2025</v>
      </c>
      <c r="L621" s="8" t="s">
        <v>980</v>
      </c>
      <c r="M621" s="8">
        <v>0.20499999999999999</v>
      </c>
      <c r="N621" s="8">
        <v>37.39</v>
      </c>
      <c r="O621" s="6" t="s">
        <v>3945</v>
      </c>
    </row>
    <row r="622" spans="1:16" ht="15" customHeight="1" x14ac:dyDescent="0.2">
      <c r="A622" s="7" t="s">
        <v>3897</v>
      </c>
      <c r="B622" s="7">
        <v>9213293</v>
      </c>
      <c r="C622" s="8">
        <v>1</v>
      </c>
      <c r="D622" s="8">
        <v>890206999</v>
      </c>
      <c r="E622" s="8" t="str">
        <f t="shared" ref="E622:E653" si="49">CONCATENATE(D622,22)</f>
        <v>89020699922</v>
      </c>
      <c r="F622" s="8" t="s">
        <v>677</v>
      </c>
      <c r="G622" s="8">
        <v>1</v>
      </c>
      <c r="H622" s="8">
        <v>20250401</v>
      </c>
      <c r="I622" s="8" t="str">
        <f t="shared" si="45"/>
        <v>4/1/2025</v>
      </c>
      <c r="J622" s="8">
        <v>20210101</v>
      </c>
      <c r="K622" s="8" t="str">
        <f t="shared" si="46"/>
        <v>1/1/2021</v>
      </c>
      <c r="L622" s="8" t="s">
        <v>56</v>
      </c>
      <c r="M622" s="8">
        <v>20</v>
      </c>
      <c r="N622" s="8">
        <v>20</v>
      </c>
      <c r="O622" s="6" t="s">
        <v>3947</v>
      </c>
    </row>
    <row r="623" spans="1:16" ht="15" customHeight="1" x14ac:dyDescent="0.2">
      <c r="A623" s="7" t="s">
        <v>3897</v>
      </c>
      <c r="B623" s="7">
        <v>9213293</v>
      </c>
      <c r="C623" s="8">
        <v>1</v>
      </c>
      <c r="D623" s="8">
        <v>890254820</v>
      </c>
      <c r="E623" s="8" t="str">
        <f t="shared" si="49"/>
        <v>89025482022</v>
      </c>
      <c r="F623" s="8" t="s">
        <v>679</v>
      </c>
      <c r="G623" s="8">
        <v>1</v>
      </c>
      <c r="H623" s="8">
        <v>20250401</v>
      </c>
      <c r="I623" s="8" t="str">
        <f t="shared" si="45"/>
        <v>4/1/2025</v>
      </c>
      <c r="J623" s="8">
        <v>20210101</v>
      </c>
      <c r="K623" s="8" t="str">
        <f t="shared" si="46"/>
        <v>1/1/2021</v>
      </c>
      <c r="L623" s="8" t="s">
        <v>56</v>
      </c>
      <c r="M623" s="8">
        <v>20</v>
      </c>
      <c r="N623" s="8">
        <v>20</v>
      </c>
      <c r="O623" s="6" t="s">
        <v>3947</v>
      </c>
    </row>
    <row r="624" spans="1:16" ht="15" customHeight="1" x14ac:dyDescent="0.2">
      <c r="A624" s="7" t="s">
        <v>3897</v>
      </c>
      <c r="B624" s="7">
        <v>9213293</v>
      </c>
      <c r="C624" s="8">
        <v>1</v>
      </c>
      <c r="D624" s="8">
        <v>920842042</v>
      </c>
      <c r="E624" s="8" t="str">
        <f t="shared" si="49"/>
        <v>92084204222</v>
      </c>
      <c r="F624" s="8" t="s">
        <v>691</v>
      </c>
      <c r="G624" s="8">
        <v>1</v>
      </c>
      <c r="H624" s="8">
        <v>20250301</v>
      </c>
      <c r="I624" s="8" t="str">
        <f t="shared" si="45"/>
        <v>3/1/2025</v>
      </c>
      <c r="J624" s="8">
        <v>20240201</v>
      </c>
      <c r="K624" s="8" t="str">
        <f t="shared" si="46"/>
        <v>2/1/2024</v>
      </c>
      <c r="L624" s="8" t="s">
        <v>56</v>
      </c>
      <c r="M624" s="8">
        <v>20</v>
      </c>
      <c r="N624" s="8">
        <v>20</v>
      </c>
      <c r="O624" s="6" t="s">
        <v>3947</v>
      </c>
    </row>
    <row r="625" spans="1:15" ht="15" customHeight="1" x14ac:dyDescent="0.2">
      <c r="A625" s="7" t="s">
        <v>3897</v>
      </c>
      <c r="B625" s="7">
        <v>9213293</v>
      </c>
      <c r="C625" s="8">
        <v>1</v>
      </c>
      <c r="D625" s="8">
        <v>920869620</v>
      </c>
      <c r="E625" s="8" t="str">
        <f t="shared" si="49"/>
        <v>92086962022</v>
      </c>
      <c r="F625" s="8" t="s">
        <v>697</v>
      </c>
      <c r="G625" s="8">
        <v>1</v>
      </c>
      <c r="H625" s="8">
        <v>20250401</v>
      </c>
      <c r="I625" s="8" t="str">
        <f t="shared" si="45"/>
        <v>4/1/2025</v>
      </c>
      <c r="J625" s="8">
        <v>20200101</v>
      </c>
      <c r="K625" s="8" t="str">
        <f t="shared" si="46"/>
        <v>1/1/2020</v>
      </c>
      <c r="L625" s="8" t="s">
        <v>56</v>
      </c>
      <c r="M625" s="8">
        <v>20</v>
      </c>
      <c r="N625" s="8">
        <v>20</v>
      </c>
      <c r="O625" s="6" t="s">
        <v>3947</v>
      </c>
    </row>
    <row r="626" spans="1:15" ht="15" customHeight="1" x14ac:dyDescent="0.2">
      <c r="A626" s="7" t="s">
        <v>3897</v>
      </c>
      <c r="B626" s="7">
        <v>9213293</v>
      </c>
      <c r="C626" s="8">
        <v>1</v>
      </c>
      <c r="D626" s="8">
        <v>921312795</v>
      </c>
      <c r="E626" s="8" t="str">
        <f t="shared" si="49"/>
        <v>92131279522</v>
      </c>
      <c r="F626" s="8" t="s">
        <v>729</v>
      </c>
      <c r="G626" s="8">
        <v>1</v>
      </c>
      <c r="H626" s="8">
        <v>20250401</v>
      </c>
      <c r="I626" s="8" t="str">
        <f t="shared" si="45"/>
        <v>4/1/2025</v>
      </c>
      <c r="J626" s="8">
        <v>20170101</v>
      </c>
      <c r="K626" s="8" t="str">
        <f t="shared" si="46"/>
        <v>1/1/2017</v>
      </c>
      <c r="L626" s="8" t="s">
        <v>56</v>
      </c>
      <c r="M626" s="8">
        <v>20</v>
      </c>
      <c r="N626" s="8">
        <v>20</v>
      </c>
      <c r="O626" s="6" t="s">
        <v>3947</v>
      </c>
    </row>
    <row r="627" spans="1:15" ht="15" customHeight="1" x14ac:dyDescent="0.2">
      <c r="A627" s="7" t="s">
        <v>3897</v>
      </c>
      <c r="B627" s="7">
        <v>9213293</v>
      </c>
      <c r="C627" s="8">
        <v>1</v>
      </c>
      <c r="D627" s="8">
        <v>921339940</v>
      </c>
      <c r="E627" s="8" t="str">
        <f t="shared" si="49"/>
        <v>92133994022</v>
      </c>
      <c r="F627" s="8" t="s">
        <v>739</v>
      </c>
      <c r="G627" s="8">
        <v>1</v>
      </c>
      <c r="H627" s="8">
        <v>20250401</v>
      </c>
      <c r="I627" s="8" t="str">
        <f t="shared" si="45"/>
        <v>4/1/2025</v>
      </c>
      <c r="J627" s="8">
        <v>20210101</v>
      </c>
      <c r="K627" s="8" t="str">
        <f t="shared" si="46"/>
        <v>1/1/2021</v>
      </c>
      <c r="L627" s="8" t="s">
        <v>56</v>
      </c>
      <c r="M627" s="8">
        <v>20</v>
      </c>
      <c r="N627" s="8">
        <v>20</v>
      </c>
      <c r="O627" s="6" t="s">
        <v>3947</v>
      </c>
    </row>
    <row r="628" spans="1:15" ht="15" customHeight="1" x14ac:dyDescent="0.2">
      <c r="A628" s="7" t="s">
        <v>3897</v>
      </c>
      <c r="B628" s="7">
        <v>9213293</v>
      </c>
      <c r="C628" s="8">
        <v>1</v>
      </c>
      <c r="D628" s="8">
        <v>921407195</v>
      </c>
      <c r="E628" s="8" t="str">
        <f t="shared" si="49"/>
        <v>92140719522</v>
      </c>
      <c r="F628" s="8" t="s">
        <v>762</v>
      </c>
      <c r="G628" s="8">
        <v>1</v>
      </c>
      <c r="H628" s="8">
        <v>20250401</v>
      </c>
      <c r="I628" s="8" t="str">
        <f t="shared" si="45"/>
        <v>4/1/2025</v>
      </c>
      <c r="J628" s="8">
        <v>20230201</v>
      </c>
      <c r="K628" s="8" t="str">
        <f t="shared" si="46"/>
        <v>2/1/2023</v>
      </c>
      <c r="L628" s="8" t="s">
        <v>56</v>
      </c>
      <c r="M628" s="8">
        <v>20</v>
      </c>
      <c r="N628" s="8">
        <v>20</v>
      </c>
      <c r="O628" s="6" t="s">
        <v>3947</v>
      </c>
    </row>
    <row r="629" spans="1:15" ht="15" customHeight="1" x14ac:dyDescent="0.2">
      <c r="A629" s="7" t="s">
        <v>3897</v>
      </c>
      <c r="B629" s="7">
        <v>9213293</v>
      </c>
      <c r="C629" s="8">
        <v>1</v>
      </c>
      <c r="D629" s="8">
        <v>921502674</v>
      </c>
      <c r="E629" s="8" t="str">
        <f t="shared" si="49"/>
        <v>92150267422</v>
      </c>
      <c r="F629" s="8" t="s">
        <v>782</v>
      </c>
      <c r="G629" s="8">
        <v>1</v>
      </c>
      <c r="H629" s="8">
        <v>20250401</v>
      </c>
      <c r="I629" s="8" t="str">
        <f t="shared" si="45"/>
        <v>4/1/2025</v>
      </c>
      <c r="J629" s="8">
        <v>20230101</v>
      </c>
      <c r="K629" s="8" t="str">
        <f t="shared" si="46"/>
        <v>1/1/2023</v>
      </c>
      <c r="L629" s="8" t="s">
        <v>56</v>
      </c>
      <c r="M629" s="8">
        <v>20</v>
      </c>
      <c r="N629" s="8">
        <v>20</v>
      </c>
      <c r="O629" s="6" t="s">
        <v>3947</v>
      </c>
    </row>
    <row r="630" spans="1:15" ht="15" customHeight="1" x14ac:dyDescent="0.2">
      <c r="A630" s="7" t="s">
        <v>3897</v>
      </c>
      <c r="B630" s="7">
        <v>9213293</v>
      </c>
      <c r="C630" s="8">
        <v>1</v>
      </c>
      <c r="D630" s="8">
        <v>921510733</v>
      </c>
      <c r="E630" s="8" t="str">
        <f t="shared" si="49"/>
        <v>92151073322</v>
      </c>
      <c r="F630" s="8" t="s">
        <v>784</v>
      </c>
      <c r="G630" s="8">
        <v>1</v>
      </c>
      <c r="H630" s="8">
        <v>20250401</v>
      </c>
      <c r="I630" s="8" t="str">
        <f t="shared" si="45"/>
        <v>4/1/2025</v>
      </c>
      <c r="J630" s="8">
        <v>20200101</v>
      </c>
      <c r="K630" s="8" t="str">
        <f t="shared" si="46"/>
        <v>1/1/2020</v>
      </c>
      <c r="L630" s="8" t="s">
        <v>56</v>
      </c>
      <c r="M630" s="8">
        <v>20</v>
      </c>
      <c r="N630" s="8">
        <v>20</v>
      </c>
      <c r="O630" s="6" t="s">
        <v>3947</v>
      </c>
    </row>
    <row r="631" spans="1:15" ht="15" customHeight="1" x14ac:dyDescent="0.2">
      <c r="A631" s="7" t="s">
        <v>3897</v>
      </c>
      <c r="B631" s="7">
        <v>9213293</v>
      </c>
      <c r="C631" s="8">
        <v>1</v>
      </c>
      <c r="D631" s="8">
        <v>921554788</v>
      </c>
      <c r="E631" s="8" t="str">
        <f t="shared" si="49"/>
        <v>92155478822</v>
      </c>
      <c r="F631" s="8" t="s">
        <v>795</v>
      </c>
      <c r="G631" s="8">
        <v>1</v>
      </c>
      <c r="H631" s="8">
        <v>20250401</v>
      </c>
      <c r="I631" s="8" t="str">
        <f t="shared" si="45"/>
        <v>4/1/2025</v>
      </c>
      <c r="J631" s="8">
        <v>20210701</v>
      </c>
      <c r="K631" s="8" t="str">
        <f t="shared" si="46"/>
        <v>7/1/2021</v>
      </c>
      <c r="L631" s="8" t="s">
        <v>56</v>
      </c>
      <c r="M631" s="8">
        <v>20</v>
      </c>
      <c r="N631" s="8">
        <v>20</v>
      </c>
      <c r="O631" s="6" t="s">
        <v>3947</v>
      </c>
    </row>
    <row r="632" spans="1:15" ht="15" customHeight="1" x14ac:dyDescent="0.2">
      <c r="A632" s="7" t="s">
        <v>3897</v>
      </c>
      <c r="B632" s="7">
        <v>9213293</v>
      </c>
      <c r="C632" s="8">
        <v>1</v>
      </c>
      <c r="D632" s="8">
        <v>921566860</v>
      </c>
      <c r="E632" s="8" t="str">
        <f t="shared" si="49"/>
        <v>92156686022</v>
      </c>
      <c r="F632" s="8" t="s">
        <v>800</v>
      </c>
      <c r="G632" s="8">
        <v>1</v>
      </c>
      <c r="H632" s="8">
        <v>20250401</v>
      </c>
      <c r="I632" s="8" t="str">
        <f t="shared" si="45"/>
        <v>4/1/2025</v>
      </c>
      <c r="J632" s="8">
        <v>20210601</v>
      </c>
      <c r="K632" s="8" t="str">
        <f t="shared" si="46"/>
        <v>6/1/2021</v>
      </c>
      <c r="L632" s="8" t="s">
        <v>56</v>
      </c>
      <c r="M632" s="8">
        <v>20</v>
      </c>
      <c r="N632" s="8">
        <v>20</v>
      </c>
      <c r="O632" s="6" t="s">
        <v>3947</v>
      </c>
    </row>
    <row r="633" spans="1:15" ht="15" customHeight="1" x14ac:dyDescent="0.2">
      <c r="A633" s="7" t="s">
        <v>3897</v>
      </c>
      <c r="B633" s="7">
        <v>9213293</v>
      </c>
      <c r="C633" s="8">
        <v>1</v>
      </c>
      <c r="D633" s="8">
        <v>921596021</v>
      </c>
      <c r="E633" s="8" t="str">
        <f t="shared" si="49"/>
        <v>92159602122</v>
      </c>
      <c r="F633" s="8" t="s">
        <v>816</v>
      </c>
      <c r="G633" s="8">
        <v>1</v>
      </c>
      <c r="H633" s="8">
        <v>20250401</v>
      </c>
      <c r="I633" s="8" t="str">
        <f t="shared" si="45"/>
        <v>4/1/2025</v>
      </c>
      <c r="J633" s="8">
        <v>20220101</v>
      </c>
      <c r="K633" s="8" t="str">
        <f t="shared" si="46"/>
        <v>1/1/2022</v>
      </c>
      <c r="L633" s="8" t="s">
        <v>56</v>
      </c>
      <c r="M633" s="8">
        <v>20</v>
      </c>
      <c r="N633" s="8">
        <v>20</v>
      </c>
      <c r="O633" s="6" t="s">
        <v>3947</v>
      </c>
    </row>
    <row r="634" spans="1:15" ht="15" customHeight="1" x14ac:dyDescent="0.2">
      <c r="A634" s="7" t="s">
        <v>3897</v>
      </c>
      <c r="B634" s="7">
        <v>9213293</v>
      </c>
      <c r="C634" s="8">
        <v>1</v>
      </c>
      <c r="D634" s="8">
        <v>921609449</v>
      </c>
      <c r="E634" s="8" t="str">
        <f t="shared" si="49"/>
        <v>92160944922</v>
      </c>
      <c r="F634" s="8" t="s">
        <v>825</v>
      </c>
      <c r="G634" s="8">
        <v>1</v>
      </c>
      <c r="H634" s="8">
        <v>20250401</v>
      </c>
      <c r="I634" s="8" t="str">
        <f t="shared" si="45"/>
        <v>4/1/2025</v>
      </c>
      <c r="J634" s="8">
        <v>20220401</v>
      </c>
      <c r="K634" s="8" t="str">
        <f t="shared" si="46"/>
        <v>4/1/2022</v>
      </c>
      <c r="L634" s="8" t="s">
        <v>56</v>
      </c>
      <c r="M634" s="8">
        <v>20</v>
      </c>
      <c r="N634" s="8">
        <v>20</v>
      </c>
      <c r="O634" s="6" t="s">
        <v>3947</v>
      </c>
    </row>
    <row r="635" spans="1:15" ht="15" customHeight="1" x14ac:dyDescent="0.2">
      <c r="A635" s="7" t="s">
        <v>3897</v>
      </c>
      <c r="B635" s="7">
        <v>9213293</v>
      </c>
      <c r="C635" s="8">
        <v>1</v>
      </c>
      <c r="D635" s="8">
        <v>921627135</v>
      </c>
      <c r="E635" s="8" t="str">
        <f t="shared" si="49"/>
        <v>92162713522</v>
      </c>
      <c r="F635" s="8" t="s">
        <v>841</v>
      </c>
      <c r="G635" s="8">
        <v>1</v>
      </c>
      <c r="H635" s="8">
        <v>20250401</v>
      </c>
      <c r="I635" s="8" t="str">
        <f t="shared" si="45"/>
        <v>4/1/2025</v>
      </c>
      <c r="J635" s="8">
        <v>20230101</v>
      </c>
      <c r="K635" s="8" t="str">
        <f t="shared" si="46"/>
        <v>1/1/2023</v>
      </c>
      <c r="L635" s="8" t="s">
        <v>56</v>
      </c>
      <c r="M635" s="8">
        <v>20</v>
      </c>
      <c r="N635" s="8">
        <v>20</v>
      </c>
      <c r="O635" s="6" t="s">
        <v>3947</v>
      </c>
    </row>
    <row r="636" spans="1:15" ht="15" customHeight="1" x14ac:dyDescent="0.2">
      <c r="A636" s="7" t="s">
        <v>3897</v>
      </c>
      <c r="B636" s="7">
        <v>9213293</v>
      </c>
      <c r="C636" s="8">
        <v>1</v>
      </c>
      <c r="D636" s="8">
        <v>921663223</v>
      </c>
      <c r="E636" s="8" t="str">
        <f t="shared" si="49"/>
        <v>92166322322</v>
      </c>
      <c r="F636" s="8" t="s">
        <v>856</v>
      </c>
      <c r="G636" s="8">
        <v>1</v>
      </c>
      <c r="H636" s="8">
        <v>20250401</v>
      </c>
      <c r="I636" s="8" t="str">
        <f t="shared" si="45"/>
        <v>4/1/2025</v>
      </c>
      <c r="J636" s="8">
        <v>20230701</v>
      </c>
      <c r="K636" s="8" t="str">
        <f t="shared" si="46"/>
        <v>7/1/2023</v>
      </c>
      <c r="L636" s="8" t="s">
        <v>56</v>
      </c>
      <c r="M636" s="8">
        <v>20</v>
      </c>
      <c r="N636" s="8">
        <v>20</v>
      </c>
      <c r="O636" s="6" t="s">
        <v>3947</v>
      </c>
    </row>
    <row r="637" spans="1:15" ht="15" customHeight="1" x14ac:dyDescent="0.2">
      <c r="A637" s="7" t="s">
        <v>3897</v>
      </c>
      <c r="B637" s="7">
        <v>9213293</v>
      </c>
      <c r="C637" s="8">
        <v>1</v>
      </c>
      <c r="D637" s="8">
        <v>921680588</v>
      </c>
      <c r="E637" s="8" t="str">
        <f t="shared" si="49"/>
        <v>92168058822</v>
      </c>
      <c r="F637" s="8" t="s">
        <v>872</v>
      </c>
      <c r="G637" s="8">
        <v>1</v>
      </c>
      <c r="H637" s="8">
        <v>20250401</v>
      </c>
      <c r="I637" s="8" t="str">
        <f t="shared" si="45"/>
        <v>4/1/2025</v>
      </c>
      <c r="J637" s="8">
        <v>20240101</v>
      </c>
      <c r="K637" s="8" t="str">
        <f t="shared" si="46"/>
        <v>1/1/2024</v>
      </c>
      <c r="L637" s="8" t="s">
        <v>56</v>
      </c>
      <c r="M637" s="8">
        <v>20</v>
      </c>
      <c r="N637" s="8">
        <v>20</v>
      </c>
      <c r="O637" s="6" t="s">
        <v>3947</v>
      </c>
    </row>
    <row r="638" spans="1:15" ht="15" customHeight="1" x14ac:dyDescent="0.2">
      <c r="A638" s="7" t="s">
        <v>3897</v>
      </c>
      <c r="B638" s="7">
        <v>9213293</v>
      </c>
      <c r="C638" s="8">
        <v>1</v>
      </c>
      <c r="D638" s="8">
        <v>921680843</v>
      </c>
      <c r="E638" s="8" t="str">
        <f t="shared" si="49"/>
        <v>92168084322</v>
      </c>
      <c r="F638" s="8" t="s">
        <v>874</v>
      </c>
      <c r="G638" s="8">
        <v>1</v>
      </c>
      <c r="H638" s="8">
        <v>20250401</v>
      </c>
      <c r="I638" s="8" t="str">
        <f t="shared" si="45"/>
        <v>4/1/2025</v>
      </c>
      <c r="J638" s="8">
        <v>20240101</v>
      </c>
      <c r="K638" s="8" t="str">
        <f t="shared" si="46"/>
        <v>1/1/2024</v>
      </c>
      <c r="L638" s="8" t="s">
        <v>56</v>
      </c>
      <c r="M638" s="8">
        <v>20</v>
      </c>
      <c r="N638" s="8">
        <v>20</v>
      </c>
      <c r="O638" s="6" t="s">
        <v>3947</v>
      </c>
    </row>
    <row r="639" spans="1:15" ht="15" customHeight="1" x14ac:dyDescent="0.2">
      <c r="A639" s="7" t="s">
        <v>3897</v>
      </c>
      <c r="B639" s="7">
        <v>9213293</v>
      </c>
      <c r="C639" s="8">
        <v>1</v>
      </c>
      <c r="D639" s="8">
        <v>921701460</v>
      </c>
      <c r="E639" s="8" t="str">
        <f t="shared" si="49"/>
        <v>92170146022</v>
      </c>
      <c r="F639" s="8" t="s">
        <v>878</v>
      </c>
      <c r="G639" s="8">
        <v>1</v>
      </c>
      <c r="H639" s="8">
        <v>20250401</v>
      </c>
      <c r="I639" s="8" t="str">
        <f t="shared" si="45"/>
        <v>4/1/2025</v>
      </c>
      <c r="J639" s="8">
        <v>20240201</v>
      </c>
      <c r="K639" s="8" t="str">
        <f t="shared" si="46"/>
        <v>2/1/2024</v>
      </c>
      <c r="L639" s="8" t="s">
        <v>56</v>
      </c>
      <c r="M639" s="8">
        <v>20</v>
      </c>
      <c r="N639" s="8">
        <v>20</v>
      </c>
      <c r="O639" s="6" t="s">
        <v>3947</v>
      </c>
    </row>
    <row r="640" spans="1:15" ht="15" customHeight="1" x14ac:dyDescent="0.2">
      <c r="A640" s="7" t="s">
        <v>3897</v>
      </c>
      <c r="B640" s="7">
        <v>9213293</v>
      </c>
      <c r="C640" s="8">
        <v>1</v>
      </c>
      <c r="D640" s="8">
        <v>921703386</v>
      </c>
      <c r="E640" s="8" t="str">
        <f t="shared" si="49"/>
        <v>92170338622</v>
      </c>
      <c r="F640" s="8" t="s">
        <v>880</v>
      </c>
      <c r="G640" s="8">
        <v>1</v>
      </c>
      <c r="H640" s="8">
        <v>20250401</v>
      </c>
      <c r="I640" s="8" t="str">
        <f t="shared" si="45"/>
        <v>4/1/2025</v>
      </c>
      <c r="J640" s="8">
        <v>20240201</v>
      </c>
      <c r="K640" s="8" t="str">
        <f t="shared" si="46"/>
        <v>2/1/2024</v>
      </c>
      <c r="L640" s="8" t="s">
        <v>56</v>
      </c>
      <c r="M640" s="8">
        <v>20</v>
      </c>
      <c r="N640" s="8">
        <v>20</v>
      </c>
      <c r="O640" s="6" t="s">
        <v>3947</v>
      </c>
    </row>
    <row r="641" spans="1:16" ht="15" customHeight="1" x14ac:dyDescent="0.2">
      <c r="A641" s="7" t="s">
        <v>3897</v>
      </c>
      <c r="B641" s="7">
        <v>9213293</v>
      </c>
      <c r="C641" s="8">
        <v>1</v>
      </c>
      <c r="D641" s="8">
        <v>921714710</v>
      </c>
      <c r="E641" s="8" t="str">
        <f t="shared" si="49"/>
        <v>92171471022</v>
      </c>
      <c r="F641" s="8" t="s">
        <v>884</v>
      </c>
      <c r="G641" s="8">
        <v>1</v>
      </c>
      <c r="H641" s="8">
        <v>20250401</v>
      </c>
      <c r="I641" s="8" t="str">
        <f t="shared" si="45"/>
        <v>4/1/2025</v>
      </c>
      <c r="J641" s="8">
        <v>20240301</v>
      </c>
      <c r="K641" s="8" t="str">
        <f t="shared" si="46"/>
        <v>3/1/2024</v>
      </c>
      <c r="L641" s="8" t="s">
        <v>56</v>
      </c>
      <c r="M641" s="8">
        <v>20</v>
      </c>
      <c r="N641" s="8">
        <v>20</v>
      </c>
      <c r="O641" s="6" t="s">
        <v>3947</v>
      </c>
    </row>
    <row r="642" spans="1:16" ht="15" customHeight="1" x14ac:dyDescent="0.2">
      <c r="A642" s="7" t="s">
        <v>3897</v>
      </c>
      <c r="B642" s="7">
        <v>9213293</v>
      </c>
      <c r="C642" s="8">
        <v>2</v>
      </c>
      <c r="D642" s="8">
        <v>921014126</v>
      </c>
      <c r="E642" s="8" t="str">
        <f t="shared" si="49"/>
        <v>92101412622</v>
      </c>
      <c r="F642" s="8" t="s">
        <v>705</v>
      </c>
      <c r="G642" s="8">
        <v>1</v>
      </c>
      <c r="H642" s="8">
        <v>20250401</v>
      </c>
      <c r="I642" s="8" t="str">
        <f t="shared" si="45"/>
        <v>4/1/2025</v>
      </c>
      <c r="J642" s="8">
        <v>20210101</v>
      </c>
      <c r="K642" s="8" t="str">
        <f t="shared" si="46"/>
        <v>1/1/2021</v>
      </c>
      <c r="L642" s="8" t="s">
        <v>56</v>
      </c>
      <c r="M642" s="8">
        <v>20</v>
      </c>
      <c r="N642" s="8">
        <v>40</v>
      </c>
      <c r="O642" s="6" t="s">
        <v>3947</v>
      </c>
      <c r="P642" s="6" t="s">
        <v>3952</v>
      </c>
    </row>
    <row r="643" spans="1:16" ht="15" customHeight="1" x14ac:dyDescent="0.2">
      <c r="A643" s="7" t="s">
        <v>3897</v>
      </c>
      <c r="B643" s="7">
        <v>9213293</v>
      </c>
      <c r="C643" s="8">
        <v>2</v>
      </c>
      <c r="D643" s="8">
        <v>921296122</v>
      </c>
      <c r="E643" s="8" t="str">
        <f t="shared" si="49"/>
        <v>92129612222</v>
      </c>
      <c r="F643" s="8" t="s">
        <v>723</v>
      </c>
      <c r="G643" s="8">
        <v>1</v>
      </c>
      <c r="H643" s="8">
        <v>20250401</v>
      </c>
      <c r="I643" s="8" t="str">
        <f t="shared" ref="I643:I706" si="50">TEXT(DATE(LEFT(H643,4), MID(H643,5,2), RIGHT(H643,2)), "M/d/yyyy")</f>
        <v>4/1/2025</v>
      </c>
      <c r="J643" s="8">
        <v>20200101</v>
      </c>
      <c r="K643" s="8" t="str">
        <f t="shared" ref="K643:K706" si="51">TEXT(DATE(LEFT(J643,4), MID(J643,5,2), RIGHT(J643,2)), "M/d/yyyy")</f>
        <v>1/1/2020</v>
      </c>
      <c r="L643" s="8" t="s">
        <v>56</v>
      </c>
      <c r="M643" s="8">
        <v>20</v>
      </c>
      <c r="N643" s="8">
        <v>40</v>
      </c>
      <c r="O643" s="6" t="s">
        <v>3947</v>
      </c>
      <c r="P643" s="6" t="s">
        <v>3952</v>
      </c>
    </row>
    <row r="644" spans="1:16" ht="15" customHeight="1" x14ac:dyDescent="0.2">
      <c r="A644" s="7" t="s">
        <v>3897</v>
      </c>
      <c r="B644" s="7">
        <v>9213293</v>
      </c>
      <c r="C644" s="8">
        <v>2</v>
      </c>
      <c r="D644" s="8">
        <v>921686718</v>
      </c>
      <c r="E644" s="8" t="str">
        <f t="shared" si="49"/>
        <v>92168671822</v>
      </c>
      <c r="F644" s="8" t="s">
        <v>876</v>
      </c>
      <c r="G644" s="8">
        <v>1</v>
      </c>
      <c r="H644" s="8">
        <v>20250301</v>
      </c>
      <c r="I644" s="8" t="str">
        <f t="shared" si="50"/>
        <v>3/1/2025</v>
      </c>
      <c r="J644" s="8">
        <v>20240101</v>
      </c>
      <c r="K644" s="8" t="str">
        <f t="shared" si="51"/>
        <v>1/1/2024</v>
      </c>
      <c r="L644" s="8" t="s">
        <v>56</v>
      </c>
      <c r="M644" s="8">
        <v>20</v>
      </c>
      <c r="N644" s="8">
        <v>40</v>
      </c>
      <c r="O644" s="6" t="s">
        <v>3947</v>
      </c>
      <c r="P644" s="6" t="s">
        <v>3952</v>
      </c>
    </row>
    <row r="645" spans="1:16" ht="15" customHeight="1" x14ac:dyDescent="0.2">
      <c r="A645" s="7" t="s">
        <v>3897</v>
      </c>
      <c r="B645" s="7">
        <v>9213293</v>
      </c>
      <c r="C645" s="8">
        <v>3</v>
      </c>
      <c r="D645" s="8">
        <v>890120981</v>
      </c>
      <c r="E645" s="8" t="str">
        <f t="shared" si="49"/>
        <v>89012098122</v>
      </c>
      <c r="F645" s="8" t="s">
        <v>675</v>
      </c>
      <c r="G645" s="8">
        <v>1</v>
      </c>
      <c r="H645" s="8">
        <v>20250401</v>
      </c>
      <c r="I645" s="8" t="str">
        <f t="shared" si="50"/>
        <v>4/1/2025</v>
      </c>
      <c r="J645" s="8">
        <v>20230101</v>
      </c>
      <c r="K645" s="8" t="str">
        <f t="shared" si="51"/>
        <v>1/1/2023</v>
      </c>
      <c r="L645" s="8" t="s">
        <v>56</v>
      </c>
      <c r="M645" s="8">
        <v>20</v>
      </c>
      <c r="N645" s="8">
        <v>60</v>
      </c>
      <c r="O645" s="6" t="s">
        <v>3947</v>
      </c>
      <c r="P645" s="6" t="s">
        <v>3953</v>
      </c>
    </row>
    <row r="646" spans="1:16" ht="15" customHeight="1" x14ac:dyDescent="0.2">
      <c r="A646" s="7" t="s">
        <v>3897</v>
      </c>
      <c r="B646" s="7">
        <v>9213293</v>
      </c>
      <c r="C646" s="8">
        <v>3</v>
      </c>
      <c r="D646" s="8">
        <v>890657597</v>
      </c>
      <c r="E646" s="8" t="str">
        <f t="shared" si="49"/>
        <v>89065759722</v>
      </c>
      <c r="F646" s="8" t="s">
        <v>683</v>
      </c>
      <c r="G646" s="8">
        <v>1</v>
      </c>
      <c r="H646" s="8">
        <v>20250401</v>
      </c>
      <c r="I646" s="8" t="str">
        <f t="shared" si="50"/>
        <v>4/1/2025</v>
      </c>
      <c r="J646" s="8">
        <v>20180101</v>
      </c>
      <c r="K646" s="8" t="str">
        <f t="shared" si="51"/>
        <v>1/1/2018</v>
      </c>
      <c r="L646" s="8" t="s">
        <v>56</v>
      </c>
      <c r="M646" s="8">
        <v>20</v>
      </c>
      <c r="N646" s="8">
        <v>60</v>
      </c>
      <c r="O646" s="6" t="s">
        <v>3947</v>
      </c>
      <c r="P646" s="6" t="s">
        <v>3953</v>
      </c>
    </row>
    <row r="647" spans="1:16" ht="15" customHeight="1" x14ac:dyDescent="0.2">
      <c r="A647" s="7" t="s">
        <v>3897</v>
      </c>
      <c r="B647" s="7">
        <v>9213293</v>
      </c>
      <c r="C647" s="8">
        <v>3</v>
      </c>
      <c r="D647" s="8">
        <v>920731496</v>
      </c>
      <c r="E647" s="8" t="str">
        <f t="shared" si="49"/>
        <v>92073149622</v>
      </c>
      <c r="F647" s="8" t="s">
        <v>685</v>
      </c>
      <c r="G647" s="8">
        <v>1</v>
      </c>
      <c r="H647" s="8">
        <v>20250401</v>
      </c>
      <c r="I647" s="8" t="str">
        <f t="shared" si="50"/>
        <v>4/1/2025</v>
      </c>
      <c r="J647" s="8">
        <v>20240301</v>
      </c>
      <c r="K647" s="8" t="str">
        <f t="shared" si="51"/>
        <v>3/1/2024</v>
      </c>
      <c r="L647" s="8" t="s">
        <v>56</v>
      </c>
      <c r="M647" s="8">
        <v>20</v>
      </c>
      <c r="N647" s="8">
        <v>60</v>
      </c>
      <c r="O647" s="6" t="s">
        <v>3947</v>
      </c>
      <c r="P647" s="6" t="s">
        <v>3953</v>
      </c>
    </row>
    <row r="648" spans="1:16" ht="15" customHeight="1" x14ac:dyDescent="0.2">
      <c r="A648" s="7" t="s">
        <v>3897</v>
      </c>
      <c r="B648" s="7">
        <v>9213293</v>
      </c>
      <c r="C648" s="8">
        <v>3</v>
      </c>
      <c r="D648" s="8">
        <v>921238046</v>
      </c>
      <c r="E648" s="8" t="str">
        <f t="shared" si="49"/>
        <v>92123804622</v>
      </c>
      <c r="F648" s="8" t="s">
        <v>717</v>
      </c>
      <c r="G648" s="8">
        <v>1</v>
      </c>
      <c r="H648" s="8">
        <v>20250401</v>
      </c>
      <c r="I648" s="8" t="str">
        <f t="shared" si="50"/>
        <v>4/1/2025</v>
      </c>
      <c r="J648" s="8">
        <v>20180101</v>
      </c>
      <c r="K648" s="8" t="str">
        <f t="shared" si="51"/>
        <v>1/1/2018</v>
      </c>
      <c r="L648" s="8" t="s">
        <v>56</v>
      </c>
      <c r="M648" s="8">
        <v>20</v>
      </c>
      <c r="N648" s="8">
        <v>60</v>
      </c>
      <c r="O648" s="6" t="s">
        <v>3947</v>
      </c>
      <c r="P648" s="6" t="s">
        <v>3953</v>
      </c>
    </row>
    <row r="649" spans="1:16" ht="15" customHeight="1" x14ac:dyDescent="0.2">
      <c r="A649" s="7" t="s">
        <v>3897</v>
      </c>
      <c r="B649" s="7">
        <v>9213293</v>
      </c>
      <c r="C649" s="8">
        <v>3</v>
      </c>
      <c r="D649" s="8">
        <v>921496742</v>
      </c>
      <c r="E649" s="8" t="str">
        <f t="shared" si="49"/>
        <v>92149674222</v>
      </c>
      <c r="F649" s="8" t="s">
        <v>780</v>
      </c>
      <c r="G649" s="8">
        <v>1</v>
      </c>
      <c r="H649" s="8">
        <v>20250401</v>
      </c>
      <c r="I649" s="8" t="str">
        <f t="shared" si="50"/>
        <v>4/1/2025</v>
      </c>
      <c r="J649" s="8">
        <v>20200101</v>
      </c>
      <c r="K649" s="8" t="str">
        <f t="shared" si="51"/>
        <v>1/1/2020</v>
      </c>
      <c r="L649" s="8" t="s">
        <v>56</v>
      </c>
      <c r="M649" s="8">
        <v>20</v>
      </c>
      <c r="N649" s="8">
        <v>60</v>
      </c>
      <c r="O649" s="6" t="s">
        <v>3947</v>
      </c>
      <c r="P649" s="6" t="s">
        <v>3953</v>
      </c>
    </row>
    <row r="650" spans="1:16" ht="15" customHeight="1" x14ac:dyDescent="0.2">
      <c r="A650" s="7" t="s">
        <v>3897</v>
      </c>
      <c r="B650" s="7">
        <v>9213293</v>
      </c>
      <c r="C650" s="8">
        <v>3</v>
      </c>
      <c r="D650" s="8">
        <v>921599923</v>
      </c>
      <c r="E650" s="8" t="str">
        <f t="shared" si="49"/>
        <v>92159992322</v>
      </c>
      <c r="F650" s="8" t="s">
        <v>820</v>
      </c>
      <c r="G650" s="8">
        <v>1</v>
      </c>
      <c r="H650" s="8">
        <v>20250401</v>
      </c>
      <c r="I650" s="8" t="str">
        <f t="shared" si="50"/>
        <v>4/1/2025</v>
      </c>
      <c r="J650" s="8">
        <v>20220101</v>
      </c>
      <c r="K650" s="8" t="str">
        <f t="shared" si="51"/>
        <v>1/1/2022</v>
      </c>
      <c r="L650" s="8" t="s">
        <v>56</v>
      </c>
      <c r="M650" s="8">
        <v>20</v>
      </c>
      <c r="N650" s="8">
        <v>60</v>
      </c>
      <c r="O650" s="6" t="s">
        <v>3947</v>
      </c>
      <c r="P650" s="6" t="s">
        <v>3953</v>
      </c>
    </row>
    <row r="651" spans="1:16" ht="15" customHeight="1" x14ac:dyDescent="0.2">
      <c r="A651" s="7" t="s">
        <v>3897</v>
      </c>
      <c r="B651" s="7">
        <v>9213293</v>
      </c>
      <c r="C651" s="8">
        <v>3</v>
      </c>
      <c r="D651" s="8">
        <v>921676193</v>
      </c>
      <c r="E651" s="8" t="str">
        <f t="shared" si="49"/>
        <v>92167619322</v>
      </c>
      <c r="F651" s="8" t="s">
        <v>866</v>
      </c>
      <c r="G651" s="8">
        <v>1</v>
      </c>
      <c r="H651" s="8">
        <v>20250401</v>
      </c>
      <c r="I651" s="8" t="str">
        <f t="shared" si="50"/>
        <v>4/1/2025</v>
      </c>
      <c r="J651" s="8">
        <v>20231004</v>
      </c>
      <c r="K651" s="8" t="str">
        <f t="shared" si="51"/>
        <v>10/4/2023</v>
      </c>
      <c r="L651" s="8" t="s">
        <v>56</v>
      </c>
      <c r="M651" s="8">
        <v>20</v>
      </c>
      <c r="N651" s="8">
        <v>60</v>
      </c>
      <c r="O651" s="6" t="s">
        <v>3947</v>
      </c>
      <c r="P651" s="6" t="s">
        <v>3953</v>
      </c>
    </row>
    <row r="652" spans="1:16" ht="15" customHeight="1" x14ac:dyDescent="0.2">
      <c r="A652" s="7" t="s">
        <v>3897</v>
      </c>
      <c r="B652" s="7">
        <v>9213293</v>
      </c>
      <c r="C652" s="8">
        <v>4</v>
      </c>
      <c r="D652" s="8">
        <v>921343338</v>
      </c>
      <c r="E652" s="8" t="str">
        <f t="shared" si="49"/>
        <v>92134333822</v>
      </c>
      <c r="F652" s="8" t="s">
        <v>741</v>
      </c>
      <c r="G652" s="8">
        <v>1</v>
      </c>
      <c r="H652" s="8">
        <v>20250401</v>
      </c>
      <c r="I652" s="8" t="str">
        <f t="shared" si="50"/>
        <v>4/1/2025</v>
      </c>
      <c r="J652" s="8">
        <v>20170301</v>
      </c>
      <c r="K652" s="8" t="str">
        <f t="shared" si="51"/>
        <v>3/1/2017</v>
      </c>
      <c r="L652" s="8" t="s">
        <v>56</v>
      </c>
      <c r="M652" s="8">
        <v>20</v>
      </c>
      <c r="N652" s="8">
        <v>80</v>
      </c>
      <c r="O652" s="6" t="s">
        <v>3947</v>
      </c>
      <c r="P652" s="6" t="s">
        <v>3954</v>
      </c>
    </row>
    <row r="653" spans="1:16" ht="15" customHeight="1" x14ac:dyDescent="0.2">
      <c r="A653" s="7" t="s">
        <v>3897</v>
      </c>
      <c r="B653" s="7">
        <v>9213293</v>
      </c>
      <c r="C653" s="8">
        <v>1</v>
      </c>
      <c r="D653" s="8">
        <v>920753040</v>
      </c>
      <c r="E653" s="8" t="str">
        <f t="shared" si="49"/>
        <v>92075304022</v>
      </c>
      <c r="F653" s="8" t="s">
        <v>687</v>
      </c>
      <c r="G653" s="8">
        <v>1</v>
      </c>
      <c r="H653" s="8">
        <v>20250401</v>
      </c>
      <c r="I653" s="8" t="str">
        <f t="shared" si="50"/>
        <v>4/1/2025</v>
      </c>
      <c r="J653" s="8">
        <v>20240701</v>
      </c>
      <c r="K653" s="8" t="str">
        <f t="shared" si="51"/>
        <v>7/1/2024</v>
      </c>
      <c r="L653" s="8" t="s">
        <v>56</v>
      </c>
      <c r="M653" s="8">
        <v>25</v>
      </c>
      <c r="N653" s="8">
        <v>25</v>
      </c>
      <c r="O653" s="6" t="s">
        <v>3947</v>
      </c>
    </row>
    <row r="654" spans="1:16" ht="15" customHeight="1" x14ac:dyDescent="0.2">
      <c r="A654" s="7" t="s">
        <v>3897</v>
      </c>
      <c r="B654" s="7">
        <v>9213293</v>
      </c>
      <c r="C654" s="8">
        <v>1</v>
      </c>
      <c r="D654" s="8">
        <v>921372246</v>
      </c>
      <c r="E654" s="8" t="str">
        <f t="shared" ref="E654:E671" si="52">CONCATENATE(D654,22)</f>
        <v>92137224622</v>
      </c>
      <c r="F654" s="8" t="s">
        <v>751</v>
      </c>
      <c r="G654" s="8">
        <v>1</v>
      </c>
      <c r="H654" s="8">
        <v>20250401</v>
      </c>
      <c r="I654" s="8" t="str">
        <f t="shared" si="50"/>
        <v>4/1/2025</v>
      </c>
      <c r="J654" s="8">
        <v>20250101</v>
      </c>
      <c r="K654" s="8" t="str">
        <f t="shared" si="51"/>
        <v>1/1/2025</v>
      </c>
      <c r="L654" s="8" t="s">
        <v>56</v>
      </c>
      <c r="M654" s="8">
        <v>25</v>
      </c>
      <c r="N654" s="8">
        <v>25</v>
      </c>
      <c r="O654" s="6" t="s">
        <v>3947</v>
      </c>
    </row>
    <row r="655" spans="1:16" ht="15" customHeight="1" x14ac:dyDescent="0.2">
      <c r="A655" s="7" t="s">
        <v>3897</v>
      </c>
      <c r="B655" s="7">
        <v>9213293</v>
      </c>
      <c r="C655" s="8">
        <v>1</v>
      </c>
      <c r="D655" s="8">
        <v>921372246</v>
      </c>
      <c r="E655" s="8" t="str">
        <f t="shared" si="52"/>
        <v>92137224622</v>
      </c>
      <c r="F655" s="8" t="s">
        <v>751</v>
      </c>
      <c r="G655" s="8">
        <v>1</v>
      </c>
      <c r="H655" s="8">
        <v>20250301</v>
      </c>
      <c r="I655" s="8" t="str">
        <f t="shared" si="50"/>
        <v>3/1/2025</v>
      </c>
      <c r="J655" s="8">
        <v>20250101</v>
      </c>
      <c r="K655" s="8" t="str">
        <f t="shared" si="51"/>
        <v>1/1/2025</v>
      </c>
      <c r="L655" s="8" t="s">
        <v>56</v>
      </c>
      <c r="M655" s="8">
        <v>25</v>
      </c>
      <c r="N655" s="8">
        <v>25</v>
      </c>
      <c r="O655" s="6" t="s">
        <v>3947</v>
      </c>
    </row>
    <row r="656" spans="1:16" ht="15" customHeight="1" x14ac:dyDescent="0.2">
      <c r="A656" s="7" t="s">
        <v>3897</v>
      </c>
      <c r="B656" s="7">
        <v>9213293</v>
      </c>
      <c r="C656" s="8">
        <v>1</v>
      </c>
      <c r="D656" s="8">
        <v>921476427</v>
      </c>
      <c r="E656" s="8" t="str">
        <f t="shared" si="52"/>
        <v>92147642722</v>
      </c>
      <c r="F656" s="8" t="s">
        <v>768</v>
      </c>
      <c r="G656" s="8">
        <v>1</v>
      </c>
      <c r="H656" s="8">
        <v>20250401</v>
      </c>
      <c r="I656" s="8" t="str">
        <f t="shared" si="50"/>
        <v>4/1/2025</v>
      </c>
      <c r="J656" s="8">
        <v>20240801</v>
      </c>
      <c r="K656" s="8" t="str">
        <f t="shared" si="51"/>
        <v>8/1/2024</v>
      </c>
      <c r="L656" s="8" t="s">
        <v>56</v>
      </c>
      <c r="M656" s="8">
        <v>25</v>
      </c>
      <c r="N656" s="8">
        <v>25</v>
      </c>
      <c r="O656" s="6" t="s">
        <v>3947</v>
      </c>
    </row>
    <row r="657" spans="1:16" ht="15" customHeight="1" x14ac:dyDescent="0.2">
      <c r="A657" s="7" t="s">
        <v>3897</v>
      </c>
      <c r="B657" s="7">
        <v>9213293</v>
      </c>
      <c r="C657" s="8">
        <v>1</v>
      </c>
      <c r="D657" s="8">
        <v>921627521</v>
      </c>
      <c r="E657" s="8" t="str">
        <f t="shared" si="52"/>
        <v>92162752122</v>
      </c>
      <c r="F657" s="8" t="s">
        <v>843</v>
      </c>
      <c r="G657" s="8">
        <v>1</v>
      </c>
      <c r="H657" s="8">
        <v>20250401</v>
      </c>
      <c r="I657" s="8" t="str">
        <f t="shared" si="50"/>
        <v>4/1/2025</v>
      </c>
      <c r="J657" s="8">
        <v>20250101</v>
      </c>
      <c r="K657" s="8" t="str">
        <f t="shared" si="51"/>
        <v>1/1/2025</v>
      </c>
      <c r="L657" s="8" t="s">
        <v>56</v>
      </c>
      <c r="M657" s="8">
        <v>25</v>
      </c>
      <c r="N657" s="8">
        <v>25</v>
      </c>
      <c r="O657" s="6" t="s">
        <v>3947</v>
      </c>
    </row>
    <row r="658" spans="1:16" ht="15" customHeight="1" x14ac:dyDescent="0.2">
      <c r="A658" s="7" t="s">
        <v>3897</v>
      </c>
      <c r="B658" s="7">
        <v>9213293</v>
      </c>
      <c r="C658" s="8">
        <v>1</v>
      </c>
      <c r="D658" s="8">
        <v>921753145</v>
      </c>
      <c r="E658" s="8" t="str">
        <f t="shared" si="52"/>
        <v>92175314522</v>
      </c>
      <c r="F658" s="8" t="s">
        <v>894</v>
      </c>
      <c r="G658" s="8">
        <v>1</v>
      </c>
      <c r="H658" s="8">
        <v>20250401</v>
      </c>
      <c r="I658" s="8" t="str">
        <f t="shared" si="50"/>
        <v>4/1/2025</v>
      </c>
      <c r="J658" s="8">
        <v>20250101</v>
      </c>
      <c r="K658" s="8" t="str">
        <f t="shared" si="51"/>
        <v>1/1/2025</v>
      </c>
      <c r="L658" s="8" t="s">
        <v>56</v>
      </c>
      <c r="M658" s="8">
        <v>25</v>
      </c>
      <c r="N658" s="8">
        <v>25</v>
      </c>
      <c r="O658" s="6" t="s">
        <v>3947</v>
      </c>
    </row>
    <row r="659" spans="1:16" ht="15" customHeight="1" x14ac:dyDescent="0.2">
      <c r="A659" s="7" t="s">
        <v>3897</v>
      </c>
      <c r="B659" s="7">
        <v>9213293</v>
      </c>
      <c r="C659" s="8">
        <v>1</v>
      </c>
      <c r="D659" s="8">
        <v>921753145</v>
      </c>
      <c r="E659" s="8" t="str">
        <f t="shared" si="52"/>
        <v>92175314522</v>
      </c>
      <c r="F659" s="8" t="s">
        <v>894</v>
      </c>
      <c r="G659" s="8">
        <v>1</v>
      </c>
      <c r="H659" s="8">
        <v>20250301</v>
      </c>
      <c r="I659" s="8" t="str">
        <f t="shared" si="50"/>
        <v>3/1/2025</v>
      </c>
      <c r="J659" s="8">
        <v>20250101</v>
      </c>
      <c r="K659" s="8" t="str">
        <f t="shared" si="51"/>
        <v>1/1/2025</v>
      </c>
      <c r="L659" s="8" t="s">
        <v>56</v>
      </c>
      <c r="M659" s="8">
        <v>25</v>
      </c>
      <c r="N659" s="8">
        <v>25</v>
      </c>
      <c r="O659" s="6" t="s">
        <v>3947</v>
      </c>
    </row>
    <row r="660" spans="1:16" ht="15" customHeight="1" x14ac:dyDescent="0.2">
      <c r="A660" s="7" t="s">
        <v>3897</v>
      </c>
      <c r="B660" s="7">
        <v>9213293</v>
      </c>
      <c r="C660" s="8">
        <v>1</v>
      </c>
      <c r="D660" s="8">
        <v>921755413</v>
      </c>
      <c r="E660" s="8" t="str">
        <f t="shared" si="52"/>
        <v>92175541322</v>
      </c>
      <c r="F660" s="8" t="s">
        <v>900</v>
      </c>
      <c r="G660" s="8">
        <v>1</v>
      </c>
      <c r="H660" s="8">
        <v>20250401</v>
      </c>
      <c r="I660" s="8" t="str">
        <f t="shared" si="50"/>
        <v>4/1/2025</v>
      </c>
      <c r="J660" s="8">
        <v>20250101</v>
      </c>
      <c r="K660" s="8" t="str">
        <f t="shared" si="51"/>
        <v>1/1/2025</v>
      </c>
      <c r="L660" s="8" t="s">
        <v>56</v>
      </c>
      <c r="M660" s="8">
        <v>25</v>
      </c>
      <c r="N660" s="8">
        <v>25</v>
      </c>
      <c r="O660" s="6" t="s">
        <v>3947</v>
      </c>
    </row>
    <row r="661" spans="1:16" ht="15" customHeight="1" x14ac:dyDescent="0.2">
      <c r="A661" s="7" t="s">
        <v>3897</v>
      </c>
      <c r="B661" s="7">
        <v>9213293</v>
      </c>
      <c r="C661" s="8">
        <v>1</v>
      </c>
      <c r="D661" s="8">
        <v>921756621</v>
      </c>
      <c r="E661" s="8" t="str">
        <f t="shared" si="52"/>
        <v>92175662122</v>
      </c>
      <c r="F661" s="8" t="s">
        <v>904</v>
      </c>
      <c r="G661" s="8">
        <v>1</v>
      </c>
      <c r="H661" s="8">
        <v>20250401</v>
      </c>
      <c r="I661" s="8" t="str">
        <f t="shared" si="50"/>
        <v>4/1/2025</v>
      </c>
      <c r="J661" s="8">
        <v>20250101</v>
      </c>
      <c r="K661" s="8" t="str">
        <f t="shared" si="51"/>
        <v>1/1/2025</v>
      </c>
      <c r="L661" s="8" t="s">
        <v>56</v>
      </c>
      <c r="M661" s="8">
        <v>25</v>
      </c>
      <c r="N661" s="8">
        <v>25</v>
      </c>
      <c r="O661" s="6" t="s">
        <v>3947</v>
      </c>
    </row>
    <row r="662" spans="1:16" ht="15" customHeight="1" x14ac:dyDescent="0.2">
      <c r="A662" s="7" t="s">
        <v>3897</v>
      </c>
      <c r="B662" s="7">
        <v>9213293</v>
      </c>
      <c r="C662" s="8">
        <v>1</v>
      </c>
      <c r="D662" s="8">
        <v>921757164</v>
      </c>
      <c r="E662" s="8" t="str">
        <f t="shared" si="52"/>
        <v>92175716422</v>
      </c>
      <c r="F662" s="8" t="s">
        <v>906</v>
      </c>
      <c r="G662" s="8">
        <v>1</v>
      </c>
      <c r="H662" s="8">
        <v>20250401</v>
      </c>
      <c r="I662" s="8" t="str">
        <f t="shared" si="50"/>
        <v>4/1/2025</v>
      </c>
      <c r="J662" s="8">
        <v>20250101</v>
      </c>
      <c r="K662" s="8" t="str">
        <f t="shared" si="51"/>
        <v>1/1/2025</v>
      </c>
      <c r="L662" s="8" t="s">
        <v>56</v>
      </c>
      <c r="M662" s="8">
        <v>25</v>
      </c>
      <c r="N662" s="8">
        <v>25</v>
      </c>
      <c r="O662" s="6" t="s">
        <v>3947</v>
      </c>
    </row>
    <row r="663" spans="1:16" ht="15" customHeight="1" x14ac:dyDescent="0.2">
      <c r="A663" s="7" t="s">
        <v>3897</v>
      </c>
      <c r="B663" s="7">
        <v>9213293</v>
      </c>
      <c r="C663" s="8">
        <v>1</v>
      </c>
      <c r="D663" s="8">
        <v>921758847</v>
      </c>
      <c r="E663" s="8" t="str">
        <f t="shared" si="52"/>
        <v>92175884722</v>
      </c>
      <c r="F663" s="8" t="s">
        <v>908</v>
      </c>
      <c r="G663" s="8">
        <v>1</v>
      </c>
      <c r="H663" s="8">
        <v>20250401</v>
      </c>
      <c r="I663" s="8" t="str">
        <f t="shared" si="50"/>
        <v>4/1/2025</v>
      </c>
      <c r="J663" s="8">
        <v>20250101</v>
      </c>
      <c r="K663" s="8" t="str">
        <f t="shared" si="51"/>
        <v>1/1/2025</v>
      </c>
      <c r="L663" s="8" t="s">
        <v>56</v>
      </c>
      <c r="M663" s="8">
        <v>25</v>
      </c>
      <c r="N663" s="8">
        <v>25</v>
      </c>
      <c r="O663" s="6" t="s">
        <v>3947</v>
      </c>
    </row>
    <row r="664" spans="1:16" ht="15" customHeight="1" x14ac:dyDescent="0.2">
      <c r="A664" s="7" t="s">
        <v>3897</v>
      </c>
      <c r="B664" s="7">
        <v>9213293</v>
      </c>
      <c r="C664" s="8">
        <v>1</v>
      </c>
      <c r="D664" s="8">
        <v>921759382</v>
      </c>
      <c r="E664" s="8" t="str">
        <f t="shared" si="52"/>
        <v>92175938222</v>
      </c>
      <c r="F664" s="8" t="s">
        <v>910</v>
      </c>
      <c r="G664" s="8">
        <v>1</v>
      </c>
      <c r="H664" s="8">
        <v>20250401</v>
      </c>
      <c r="I664" s="8" t="str">
        <f t="shared" si="50"/>
        <v>4/1/2025</v>
      </c>
      <c r="J664" s="8">
        <v>20250101</v>
      </c>
      <c r="K664" s="8" t="str">
        <f t="shared" si="51"/>
        <v>1/1/2025</v>
      </c>
      <c r="L664" s="8" t="s">
        <v>56</v>
      </c>
      <c r="M664" s="8">
        <v>25</v>
      </c>
      <c r="N664" s="8">
        <v>25</v>
      </c>
      <c r="O664" s="6" t="s">
        <v>3947</v>
      </c>
    </row>
    <row r="665" spans="1:16" ht="15" customHeight="1" x14ac:dyDescent="0.2">
      <c r="A665" s="7" t="s">
        <v>3897</v>
      </c>
      <c r="B665" s="7">
        <v>9213293</v>
      </c>
      <c r="C665" s="8">
        <v>1</v>
      </c>
      <c r="D665" s="8">
        <v>921773766</v>
      </c>
      <c r="E665" s="8" t="str">
        <f t="shared" si="52"/>
        <v>92177376622</v>
      </c>
      <c r="F665" s="8" t="s">
        <v>916</v>
      </c>
      <c r="G665" s="8">
        <v>1</v>
      </c>
      <c r="H665" s="8">
        <v>20250301</v>
      </c>
      <c r="I665" s="8" t="str">
        <f t="shared" si="50"/>
        <v>3/1/2025</v>
      </c>
      <c r="J665" s="8">
        <v>20250101</v>
      </c>
      <c r="K665" s="8" t="str">
        <f t="shared" si="51"/>
        <v>1/1/2025</v>
      </c>
      <c r="L665" s="8" t="s">
        <v>56</v>
      </c>
      <c r="M665" s="8">
        <v>25</v>
      </c>
      <c r="N665" s="8">
        <v>25</v>
      </c>
      <c r="O665" s="6" t="s">
        <v>3947</v>
      </c>
    </row>
    <row r="666" spans="1:16" ht="15" customHeight="1" x14ac:dyDescent="0.2">
      <c r="A666" s="7" t="s">
        <v>3897</v>
      </c>
      <c r="B666" s="7">
        <v>9213293</v>
      </c>
      <c r="C666" s="8">
        <v>1</v>
      </c>
      <c r="D666" s="8">
        <v>921773766</v>
      </c>
      <c r="E666" s="8" t="str">
        <f t="shared" si="52"/>
        <v>92177376622</v>
      </c>
      <c r="F666" s="8" t="s">
        <v>916</v>
      </c>
      <c r="G666" s="8">
        <v>1</v>
      </c>
      <c r="H666" s="8">
        <v>20250201</v>
      </c>
      <c r="I666" s="8" t="str">
        <f t="shared" si="50"/>
        <v>2/1/2025</v>
      </c>
      <c r="J666" s="8">
        <v>20250101</v>
      </c>
      <c r="K666" s="8" t="str">
        <f t="shared" si="51"/>
        <v>1/1/2025</v>
      </c>
      <c r="L666" s="8" t="s">
        <v>56</v>
      </c>
      <c r="M666" s="8">
        <v>25</v>
      </c>
      <c r="N666" s="8">
        <v>25</v>
      </c>
      <c r="O666" s="6" t="s">
        <v>3947</v>
      </c>
    </row>
    <row r="667" spans="1:16" ht="15" customHeight="1" x14ac:dyDescent="0.2">
      <c r="A667" s="7" t="s">
        <v>3897</v>
      </c>
      <c r="B667" s="7">
        <v>9213293</v>
      </c>
      <c r="C667" s="8">
        <v>2</v>
      </c>
      <c r="D667" s="8">
        <v>921525689</v>
      </c>
      <c r="E667" s="8" t="str">
        <f t="shared" si="52"/>
        <v>92152568922</v>
      </c>
      <c r="F667" s="8" t="s">
        <v>786</v>
      </c>
      <c r="G667" s="8">
        <v>1</v>
      </c>
      <c r="H667" s="8">
        <v>20250401</v>
      </c>
      <c r="I667" s="8" t="str">
        <f t="shared" si="50"/>
        <v>4/1/2025</v>
      </c>
      <c r="J667" s="8">
        <v>20250101</v>
      </c>
      <c r="K667" s="8" t="str">
        <f t="shared" si="51"/>
        <v>1/1/2025</v>
      </c>
      <c r="L667" s="8" t="s">
        <v>56</v>
      </c>
      <c r="M667" s="8">
        <v>25</v>
      </c>
      <c r="N667" s="8">
        <v>50</v>
      </c>
      <c r="O667" s="6" t="s">
        <v>3947</v>
      </c>
      <c r="P667" s="6" t="s">
        <v>3952</v>
      </c>
    </row>
    <row r="668" spans="1:16" ht="15" customHeight="1" x14ac:dyDescent="0.2">
      <c r="A668" s="7" t="s">
        <v>3897</v>
      </c>
      <c r="B668" s="7">
        <v>9213293</v>
      </c>
      <c r="C668" s="8">
        <v>3</v>
      </c>
      <c r="D668" s="8">
        <v>920731496</v>
      </c>
      <c r="E668" s="8" t="str">
        <f t="shared" si="52"/>
        <v>92073149622</v>
      </c>
      <c r="F668" s="8" t="s">
        <v>685</v>
      </c>
      <c r="G668" s="8">
        <v>1</v>
      </c>
      <c r="H668" s="8">
        <v>20250301</v>
      </c>
      <c r="I668" s="8" t="str">
        <f t="shared" si="50"/>
        <v>3/1/2025</v>
      </c>
      <c r="J668" s="8">
        <v>20240301</v>
      </c>
      <c r="K668" s="8" t="str">
        <f t="shared" si="51"/>
        <v>3/1/2024</v>
      </c>
      <c r="L668" s="8" t="s">
        <v>56</v>
      </c>
      <c r="M668" s="8">
        <v>25</v>
      </c>
      <c r="N668" s="8">
        <v>75</v>
      </c>
      <c r="O668" s="6" t="s">
        <v>3947</v>
      </c>
      <c r="P668" s="6" t="s">
        <v>3953</v>
      </c>
    </row>
    <row r="669" spans="1:16" ht="15" customHeight="1" x14ac:dyDescent="0.2">
      <c r="A669" s="7" t="s">
        <v>3897</v>
      </c>
      <c r="B669" s="7">
        <v>9213293</v>
      </c>
      <c r="C669" s="8">
        <v>3</v>
      </c>
      <c r="D669" s="8">
        <v>921618235</v>
      </c>
      <c r="E669" s="8" t="str">
        <f t="shared" si="52"/>
        <v>92161823522</v>
      </c>
      <c r="F669" s="8" t="s">
        <v>833</v>
      </c>
      <c r="G669" s="8">
        <v>1</v>
      </c>
      <c r="H669" s="8">
        <v>20250401</v>
      </c>
      <c r="I669" s="8" t="str">
        <f t="shared" si="50"/>
        <v>4/1/2025</v>
      </c>
      <c r="J669" s="8">
        <v>20250101</v>
      </c>
      <c r="K669" s="8" t="str">
        <f t="shared" si="51"/>
        <v>1/1/2025</v>
      </c>
      <c r="L669" s="8" t="s">
        <v>56</v>
      </c>
      <c r="M669" s="8">
        <v>25</v>
      </c>
      <c r="N669" s="8">
        <v>75</v>
      </c>
      <c r="O669" s="6" t="s">
        <v>3947</v>
      </c>
      <c r="P669" s="6" t="s">
        <v>3953</v>
      </c>
    </row>
    <row r="670" spans="1:16" ht="15" customHeight="1" x14ac:dyDescent="0.2">
      <c r="A670" s="7" t="s">
        <v>3897</v>
      </c>
      <c r="B670" s="7">
        <v>9213293</v>
      </c>
      <c r="C670" s="8">
        <v>3</v>
      </c>
      <c r="D670" s="8">
        <v>921755738</v>
      </c>
      <c r="E670" s="8" t="str">
        <f t="shared" si="52"/>
        <v>92175573822</v>
      </c>
      <c r="F670" s="8" t="s">
        <v>902</v>
      </c>
      <c r="G670" s="8">
        <v>1</v>
      </c>
      <c r="H670" s="8">
        <v>20250401</v>
      </c>
      <c r="I670" s="8" t="str">
        <f t="shared" si="50"/>
        <v>4/1/2025</v>
      </c>
      <c r="J670" s="8">
        <v>20250101</v>
      </c>
      <c r="K670" s="8" t="str">
        <f t="shared" si="51"/>
        <v>1/1/2025</v>
      </c>
      <c r="L670" s="8" t="s">
        <v>56</v>
      </c>
      <c r="M670" s="8">
        <v>25</v>
      </c>
      <c r="N670" s="8">
        <v>75</v>
      </c>
      <c r="O670" s="6" t="s">
        <v>3947</v>
      </c>
      <c r="P670" s="6" t="s">
        <v>3953</v>
      </c>
    </row>
    <row r="671" spans="1:16" ht="15" customHeight="1" x14ac:dyDescent="0.2">
      <c r="A671" s="7" t="s">
        <v>3897</v>
      </c>
      <c r="B671" s="7">
        <v>9213293</v>
      </c>
      <c r="C671" s="6">
        <v>-1</v>
      </c>
      <c r="D671" s="8">
        <v>921372246</v>
      </c>
      <c r="E671" s="8" t="str">
        <f t="shared" si="52"/>
        <v>92137224622</v>
      </c>
      <c r="F671" s="8" t="s">
        <v>751</v>
      </c>
      <c r="G671" s="8">
        <v>-1</v>
      </c>
      <c r="H671" s="8">
        <v>20250301</v>
      </c>
      <c r="I671" s="8" t="str">
        <f t="shared" si="50"/>
        <v>3/1/2025</v>
      </c>
      <c r="J671" s="8">
        <v>20250101</v>
      </c>
      <c r="K671" s="8" t="str">
        <f t="shared" si="51"/>
        <v>1/1/2025</v>
      </c>
      <c r="L671" s="8" t="s">
        <v>56</v>
      </c>
      <c r="M671" s="8">
        <v>25</v>
      </c>
      <c r="N671" s="8">
        <v>-25</v>
      </c>
      <c r="O671" s="6" t="s">
        <v>3947</v>
      </c>
    </row>
    <row r="672" spans="1:16" ht="15" customHeight="1" x14ac:dyDescent="0.2">
      <c r="A672" s="7" t="s">
        <v>3897</v>
      </c>
      <c r="B672" s="7">
        <v>9213293</v>
      </c>
      <c r="C672" s="8">
        <v>1</v>
      </c>
      <c r="D672" s="8">
        <v>920843183</v>
      </c>
      <c r="E672" s="8" t="str">
        <f t="shared" ref="E672:E682" si="53">CONCATENATE(D672,33)</f>
        <v>92084318333</v>
      </c>
      <c r="F672" s="8" t="s">
        <v>693</v>
      </c>
      <c r="G672" s="8">
        <v>1</v>
      </c>
      <c r="H672" s="8">
        <v>20250401</v>
      </c>
      <c r="I672" s="8" t="str">
        <f t="shared" si="50"/>
        <v>4/1/2025</v>
      </c>
      <c r="J672" s="8">
        <v>20210801</v>
      </c>
      <c r="K672" s="8" t="str">
        <f t="shared" si="51"/>
        <v>8/1/2021</v>
      </c>
      <c r="L672" s="8" t="s">
        <v>198</v>
      </c>
      <c r="M672" s="8">
        <v>15</v>
      </c>
      <c r="N672" s="8">
        <v>15</v>
      </c>
      <c r="O672" s="6" t="s">
        <v>3950</v>
      </c>
    </row>
    <row r="673" spans="1:37" ht="15" customHeight="1" x14ac:dyDescent="0.2">
      <c r="A673" s="7" t="s">
        <v>3897</v>
      </c>
      <c r="B673" s="7">
        <v>9213293</v>
      </c>
      <c r="C673" s="8">
        <v>1</v>
      </c>
      <c r="D673" s="8">
        <v>920843183</v>
      </c>
      <c r="E673" s="8" t="str">
        <f t="shared" si="53"/>
        <v>92084318333</v>
      </c>
      <c r="F673" s="8" t="s">
        <v>693</v>
      </c>
      <c r="G673" s="8">
        <v>1</v>
      </c>
      <c r="H673" s="8">
        <v>20250301</v>
      </c>
      <c r="I673" s="8" t="str">
        <f t="shared" si="50"/>
        <v>3/1/2025</v>
      </c>
      <c r="J673" s="8">
        <v>20210801</v>
      </c>
      <c r="K673" s="8" t="str">
        <f t="shared" si="51"/>
        <v>8/1/2021</v>
      </c>
      <c r="L673" s="8" t="s">
        <v>198</v>
      </c>
      <c r="M673" s="8">
        <v>15</v>
      </c>
      <c r="N673" s="8">
        <v>15</v>
      </c>
      <c r="O673" s="6" t="s">
        <v>3950</v>
      </c>
    </row>
    <row r="674" spans="1:37" ht="15" customHeight="1" x14ac:dyDescent="0.2">
      <c r="A674" s="7" t="s">
        <v>3897</v>
      </c>
      <c r="B674" s="7">
        <v>9213293</v>
      </c>
      <c r="C674" s="8">
        <v>1</v>
      </c>
      <c r="D674" s="8">
        <v>921626737</v>
      </c>
      <c r="E674" s="8" t="str">
        <f t="shared" si="53"/>
        <v>92162673733</v>
      </c>
      <c r="F674" s="8" t="s">
        <v>839</v>
      </c>
      <c r="G674" s="8">
        <v>1</v>
      </c>
      <c r="H674" s="8">
        <v>20250401</v>
      </c>
      <c r="I674" s="8" t="str">
        <f t="shared" si="50"/>
        <v>4/1/2025</v>
      </c>
      <c r="J674" s="8">
        <v>20230101</v>
      </c>
      <c r="K674" s="8" t="str">
        <f t="shared" si="51"/>
        <v>1/1/2023</v>
      </c>
      <c r="L674" s="8" t="s">
        <v>198</v>
      </c>
      <c r="M674" s="8">
        <v>15</v>
      </c>
      <c r="N674" s="8">
        <v>15</v>
      </c>
      <c r="O674" s="6" t="s">
        <v>3950</v>
      </c>
    </row>
    <row r="675" spans="1:37" ht="15" customHeight="1" x14ac:dyDescent="0.2">
      <c r="A675" s="7" t="s">
        <v>3897</v>
      </c>
      <c r="B675" s="7">
        <v>9213293</v>
      </c>
      <c r="C675" s="8">
        <v>1</v>
      </c>
      <c r="D675" s="8">
        <v>921659289</v>
      </c>
      <c r="E675" s="8" t="str">
        <f t="shared" si="53"/>
        <v>92165928933</v>
      </c>
      <c r="F675" s="8" t="s">
        <v>853</v>
      </c>
      <c r="G675" s="8">
        <v>1</v>
      </c>
      <c r="H675" s="8">
        <v>20250401</v>
      </c>
      <c r="I675" s="8" t="str">
        <f t="shared" si="50"/>
        <v>4/1/2025</v>
      </c>
      <c r="J675" s="8">
        <v>20230601</v>
      </c>
      <c r="K675" s="8" t="str">
        <f t="shared" si="51"/>
        <v>6/1/2023</v>
      </c>
      <c r="L675" s="8" t="s">
        <v>198</v>
      </c>
      <c r="M675" s="8">
        <v>15</v>
      </c>
      <c r="N675" s="8">
        <v>15</v>
      </c>
      <c r="O675" s="6" t="s">
        <v>3950</v>
      </c>
    </row>
    <row r="676" spans="1:37" ht="15" customHeight="1" x14ac:dyDescent="0.2">
      <c r="A676" s="7" t="s">
        <v>3897</v>
      </c>
      <c r="B676" s="7">
        <v>9213293</v>
      </c>
      <c r="C676" s="8">
        <v>1</v>
      </c>
      <c r="D676" s="8">
        <v>921676615</v>
      </c>
      <c r="E676" s="8" t="str">
        <f t="shared" si="53"/>
        <v>92167661533</v>
      </c>
      <c r="F676" s="8" t="s">
        <v>869</v>
      </c>
      <c r="G676" s="8">
        <v>1</v>
      </c>
      <c r="H676" s="8">
        <v>20250401</v>
      </c>
      <c r="I676" s="8" t="str">
        <f t="shared" si="50"/>
        <v>4/1/2025</v>
      </c>
      <c r="J676" s="8">
        <v>20230930</v>
      </c>
      <c r="K676" s="8" t="str">
        <f t="shared" si="51"/>
        <v>9/30/2023</v>
      </c>
      <c r="L676" s="8" t="s">
        <v>198</v>
      </c>
      <c r="M676" s="8">
        <v>15</v>
      </c>
      <c r="N676" s="8">
        <v>15</v>
      </c>
      <c r="O676" s="6" t="s">
        <v>3950</v>
      </c>
    </row>
    <row r="677" spans="1:37" ht="15" customHeight="1" x14ac:dyDescent="0.2">
      <c r="A677" s="7" t="s">
        <v>3897</v>
      </c>
      <c r="B677" s="7">
        <v>9213293</v>
      </c>
      <c r="C677" s="8">
        <v>2</v>
      </c>
      <c r="D677" s="8">
        <v>921123556</v>
      </c>
      <c r="E677" s="8" t="str">
        <f t="shared" si="53"/>
        <v>92112355633</v>
      </c>
      <c r="F677" s="8" t="s">
        <v>715</v>
      </c>
      <c r="G677" s="8">
        <v>1</v>
      </c>
      <c r="H677" s="8">
        <v>20250401</v>
      </c>
      <c r="I677" s="8" t="str">
        <f t="shared" si="50"/>
        <v>4/1/2025</v>
      </c>
      <c r="J677" s="8">
        <v>20240101</v>
      </c>
      <c r="K677" s="8" t="str">
        <f t="shared" si="51"/>
        <v>1/1/2024</v>
      </c>
      <c r="L677" s="8" t="s">
        <v>198</v>
      </c>
      <c r="M677" s="8">
        <v>15</v>
      </c>
      <c r="N677" s="8">
        <v>30</v>
      </c>
      <c r="O677" s="6" t="s">
        <v>3950</v>
      </c>
      <c r="P677" s="6" t="s">
        <v>3952</v>
      </c>
    </row>
    <row r="678" spans="1:37" ht="15" customHeight="1" x14ac:dyDescent="0.2">
      <c r="A678" s="7" t="s">
        <v>3897</v>
      </c>
      <c r="B678" s="7">
        <v>9213293</v>
      </c>
      <c r="C678" s="8">
        <v>1</v>
      </c>
      <c r="D678" s="8">
        <v>921086560</v>
      </c>
      <c r="E678" s="8" t="str">
        <f t="shared" si="53"/>
        <v>92108656033</v>
      </c>
      <c r="F678" s="8" t="s">
        <v>709</v>
      </c>
      <c r="G678" s="8">
        <v>1</v>
      </c>
      <c r="H678" s="8">
        <v>20250401</v>
      </c>
      <c r="I678" s="8" t="str">
        <f t="shared" si="50"/>
        <v>4/1/2025</v>
      </c>
      <c r="J678" s="8">
        <v>20240601</v>
      </c>
      <c r="K678" s="8" t="str">
        <f t="shared" si="51"/>
        <v>6/1/2024</v>
      </c>
      <c r="L678" s="8" t="s">
        <v>198</v>
      </c>
      <c r="M678" s="8">
        <v>20</v>
      </c>
      <c r="N678" s="8">
        <v>20</v>
      </c>
      <c r="O678" s="6" t="s">
        <v>3950</v>
      </c>
      <c r="AK678" s="12"/>
    </row>
    <row r="679" spans="1:37" ht="15" customHeight="1" x14ac:dyDescent="0.2">
      <c r="A679" s="7" t="s">
        <v>3897</v>
      </c>
      <c r="B679" s="7">
        <v>9213293</v>
      </c>
      <c r="C679" s="8">
        <v>1</v>
      </c>
      <c r="D679" s="8">
        <v>921747583</v>
      </c>
      <c r="E679" s="8" t="str">
        <f t="shared" si="53"/>
        <v>92174758333</v>
      </c>
      <c r="F679" s="8" t="s">
        <v>890</v>
      </c>
      <c r="G679" s="8">
        <v>1</v>
      </c>
      <c r="H679" s="8">
        <v>20250401</v>
      </c>
      <c r="I679" s="8" t="str">
        <f t="shared" si="50"/>
        <v>4/1/2025</v>
      </c>
      <c r="J679" s="8">
        <v>20250101</v>
      </c>
      <c r="K679" s="8" t="str">
        <f t="shared" si="51"/>
        <v>1/1/2025</v>
      </c>
      <c r="L679" s="8" t="s">
        <v>198</v>
      </c>
      <c r="M679" s="8">
        <v>20</v>
      </c>
      <c r="N679" s="8">
        <v>20</v>
      </c>
      <c r="O679" s="6" t="s">
        <v>3950</v>
      </c>
      <c r="AK679" s="12"/>
    </row>
    <row r="680" spans="1:37" ht="15" customHeight="1" x14ac:dyDescent="0.2">
      <c r="A680" s="7" t="s">
        <v>3897</v>
      </c>
      <c r="B680" s="7">
        <v>9213293</v>
      </c>
      <c r="C680" s="8">
        <v>1</v>
      </c>
      <c r="D680" s="8">
        <v>921753401</v>
      </c>
      <c r="E680" s="8" t="str">
        <f t="shared" si="53"/>
        <v>92175340133</v>
      </c>
      <c r="F680" s="8" t="s">
        <v>896</v>
      </c>
      <c r="G680" s="8">
        <v>1</v>
      </c>
      <c r="H680" s="8">
        <v>20250401</v>
      </c>
      <c r="I680" s="8" t="str">
        <f t="shared" si="50"/>
        <v>4/1/2025</v>
      </c>
      <c r="J680" s="8">
        <v>20250101</v>
      </c>
      <c r="K680" s="8" t="str">
        <f t="shared" si="51"/>
        <v>1/1/2025</v>
      </c>
      <c r="L680" s="8" t="s">
        <v>198</v>
      </c>
      <c r="M680" s="8">
        <v>20</v>
      </c>
      <c r="N680" s="8">
        <v>20</v>
      </c>
      <c r="O680" s="6" t="s">
        <v>3950</v>
      </c>
      <c r="AK680" s="12"/>
    </row>
    <row r="681" spans="1:37" ht="15" customHeight="1" x14ac:dyDescent="0.2">
      <c r="A681" s="7" t="s">
        <v>3897</v>
      </c>
      <c r="B681" s="7">
        <v>9213293</v>
      </c>
      <c r="C681" s="8">
        <v>1</v>
      </c>
      <c r="D681" s="8">
        <v>924089354</v>
      </c>
      <c r="E681" s="8" t="str">
        <f t="shared" si="53"/>
        <v>92408935433</v>
      </c>
      <c r="F681" s="8" t="s">
        <v>918</v>
      </c>
      <c r="G681" s="8">
        <v>1</v>
      </c>
      <c r="H681" s="8">
        <v>20250401</v>
      </c>
      <c r="I681" s="8" t="str">
        <f t="shared" si="50"/>
        <v>4/1/2025</v>
      </c>
      <c r="J681" s="8">
        <v>20250201</v>
      </c>
      <c r="K681" s="8" t="str">
        <f t="shared" si="51"/>
        <v>2/1/2025</v>
      </c>
      <c r="L681" s="8" t="s">
        <v>198</v>
      </c>
      <c r="M681" s="8">
        <v>20</v>
      </c>
      <c r="N681" s="8">
        <v>20</v>
      </c>
      <c r="O681" s="6" t="s">
        <v>3950</v>
      </c>
      <c r="AK681" s="12"/>
    </row>
    <row r="682" spans="1:37" ht="15" customHeight="1" x14ac:dyDescent="0.2">
      <c r="A682" s="7" t="s">
        <v>3897</v>
      </c>
      <c r="B682" s="7">
        <v>9213293</v>
      </c>
      <c r="C682" s="8">
        <v>2</v>
      </c>
      <c r="D682" s="8">
        <v>921768367</v>
      </c>
      <c r="E682" s="8" t="str">
        <f t="shared" si="53"/>
        <v>92176836733</v>
      </c>
      <c r="F682" s="8" t="s">
        <v>914</v>
      </c>
      <c r="G682" s="8">
        <v>1</v>
      </c>
      <c r="H682" s="8">
        <v>20250401</v>
      </c>
      <c r="I682" s="8" t="str">
        <f t="shared" si="50"/>
        <v>4/1/2025</v>
      </c>
      <c r="J682" s="8">
        <v>20250201</v>
      </c>
      <c r="K682" s="8" t="str">
        <f t="shared" si="51"/>
        <v>2/1/2025</v>
      </c>
      <c r="L682" s="8" t="s">
        <v>198</v>
      </c>
      <c r="M682" s="8">
        <v>20</v>
      </c>
      <c r="N682" s="8">
        <v>40</v>
      </c>
      <c r="O682" s="6" t="s">
        <v>3950</v>
      </c>
      <c r="P682" s="6" t="s">
        <v>3952</v>
      </c>
    </row>
    <row r="683" spans="1:37" ht="15" customHeight="1" x14ac:dyDescent="0.3">
      <c r="A683" s="7" t="s">
        <v>3897</v>
      </c>
      <c r="B683" s="7">
        <v>9213293</v>
      </c>
      <c r="C683" s="8">
        <v>1</v>
      </c>
      <c r="D683" s="8">
        <v>921106627</v>
      </c>
      <c r="E683" s="8" t="str">
        <f t="shared" ref="E683:E720" si="54">CONCATENATE(D683,44)</f>
        <v>92110662744</v>
      </c>
      <c r="F683" s="8" t="s">
        <v>711</v>
      </c>
      <c r="G683" s="8">
        <v>1</v>
      </c>
      <c r="H683" s="8">
        <v>20250401</v>
      </c>
      <c r="I683" s="8" t="str">
        <f t="shared" si="50"/>
        <v>4/1/2025</v>
      </c>
      <c r="J683" s="8">
        <v>20150701</v>
      </c>
      <c r="K683" s="8" t="str">
        <f t="shared" si="51"/>
        <v>7/1/2015</v>
      </c>
      <c r="L683" s="8" t="s">
        <v>65</v>
      </c>
      <c r="M683" s="8">
        <v>25</v>
      </c>
      <c r="N683" s="8">
        <v>25</v>
      </c>
      <c r="O683" s="14" t="s">
        <v>3948</v>
      </c>
    </row>
    <row r="684" spans="1:37" ht="15" customHeight="1" x14ac:dyDescent="0.3">
      <c r="A684" s="7" t="s">
        <v>3897</v>
      </c>
      <c r="B684" s="7">
        <v>9213293</v>
      </c>
      <c r="C684" s="8">
        <v>1</v>
      </c>
      <c r="D684" s="8">
        <v>921337456</v>
      </c>
      <c r="E684" s="8" t="str">
        <f t="shared" si="54"/>
        <v>92133745644</v>
      </c>
      <c r="F684" s="8" t="s">
        <v>733</v>
      </c>
      <c r="G684" s="8">
        <v>1</v>
      </c>
      <c r="H684" s="8">
        <v>20250401</v>
      </c>
      <c r="I684" s="8" t="str">
        <f t="shared" si="50"/>
        <v>4/1/2025</v>
      </c>
      <c r="J684" s="8">
        <v>20170201</v>
      </c>
      <c r="K684" s="8" t="str">
        <f t="shared" si="51"/>
        <v>2/1/2017</v>
      </c>
      <c r="L684" s="8" t="s">
        <v>65</v>
      </c>
      <c r="M684" s="8">
        <v>25</v>
      </c>
      <c r="N684" s="8">
        <v>25</v>
      </c>
      <c r="O684" s="14" t="s">
        <v>3948</v>
      </c>
    </row>
    <row r="685" spans="1:37" ht="15" customHeight="1" x14ac:dyDescent="0.3">
      <c r="A685" s="7" t="s">
        <v>3897</v>
      </c>
      <c r="B685" s="7">
        <v>9213293</v>
      </c>
      <c r="C685" s="8">
        <v>1</v>
      </c>
      <c r="D685" s="8">
        <v>921344567</v>
      </c>
      <c r="E685" s="8" t="str">
        <f t="shared" si="54"/>
        <v>92134456744</v>
      </c>
      <c r="F685" s="8" t="s">
        <v>745</v>
      </c>
      <c r="G685" s="8">
        <v>1</v>
      </c>
      <c r="H685" s="8">
        <v>20250401</v>
      </c>
      <c r="I685" s="8" t="str">
        <f t="shared" si="50"/>
        <v>4/1/2025</v>
      </c>
      <c r="J685" s="8">
        <v>20210501</v>
      </c>
      <c r="K685" s="8" t="str">
        <f t="shared" si="51"/>
        <v>5/1/2021</v>
      </c>
      <c r="L685" s="8" t="s">
        <v>65</v>
      </c>
      <c r="M685" s="8">
        <v>25</v>
      </c>
      <c r="N685" s="8">
        <v>25</v>
      </c>
      <c r="O685" s="14" t="s">
        <v>3948</v>
      </c>
    </row>
    <row r="686" spans="1:37" ht="15" customHeight="1" x14ac:dyDescent="0.3">
      <c r="A686" s="7" t="s">
        <v>3897</v>
      </c>
      <c r="B686" s="7">
        <v>9213293</v>
      </c>
      <c r="C686" s="8">
        <v>1</v>
      </c>
      <c r="D686" s="8">
        <v>921368213</v>
      </c>
      <c r="E686" s="8" t="str">
        <f t="shared" si="54"/>
        <v>92136821344</v>
      </c>
      <c r="F686" s="8" t="s">
        <v>749</v>
      </c>
      <c r="G686" s="8">
        <v>1</v>
      </c>
      <c r="H686" s="8">
        <v>20250401</v>
      </c>
      <c r="I686" s="8" t="str">
        <f t="shared" si="50"/>
        <v>4/1/2025</v>
      </c>
      <c r="J686" s="8">
        <v>20180101</v>
      </c>
      <c r="K686" s="8" t="str">
        <f t="shared" si="51"/>
        <v>1/1/2018</v>
      </c>
      <c r="L686" s="8" t="s">
        <v>65</v>
      </c>
      <c r="M686" s="8">
        <v>25</v>
      </c>
      <c r="N686" s="8">
        <v>25</v>
      </c>
      <c r="O686" s="14" t="s">
        <v>3948</v>
      </c>
    </row>
    <row r="687" spans="1:37" ht="15" customHeight="1" x14ac:dyDescent="0.3">
      <c r="A687" s="7" t="s">
        <v>3897</v>
      </c>
      <c r="B687" s="7">
        <v>9213293</v>
      </c>
      <c r="C687" s="8">
        <v>1</v>
      </c>
      <c r="D687" s="8">
        <v>921387647</v>
      </c>
      <c r="E687" s="8" t="str">
        <f t="shared" si="54"/>
        <v>92138764744</v>
      </c>
      <c r="F687" s="8" t="s">
        <v>756</v>
      </c>
      <c r="G687" s="8">
        <v>1</v>
      </c>
      <c r="H687" s="8">
        <v>20250301</v>
      </c>
      <c r="I687" s="8" t="str">
        <f t="shared" si="50"/>
        <v>3/1/2025</v>
      </c>
      <c r="J687" s="8">
        <v>20210601</v>
      </c>
      <c r="K687" s="8" t="str">
        <f t="shared" si="51"/>
        <v>6/1/2021</v>
      </c>
      <c r="L687" s="8" t="s">
        <v>65</v>
      </c>
      <c r="M687" s="8">
        <v>25</v>
      </c>
      <c r="N687" s="8">
        <v>25</v>
      </c>
      <c r="O687" s="14" t="s">
        <v>3948</v>
      </c>
    </row>
    <row r="688" spans="1:37" ht="15" customHeight="1" x14ac:dyDescent="0.3">
      <c r="A688" s="7" t="s">
        <v>3897</v>
      </c>
      <c r="B688" s="7">
        <v>9213293</v>
      </c>
      <c r="C688" s="8">
        <v>1</v>
      </c>
      <c r="D688" s="8">
        <v>921387647</v>
      </c>
      <c r="E688" s="8" t="str">
        <f t="shared" si="54"/>
        <v>92138764744</v>
      </c>
      <c r="F688" s="8" t="s">
        <v>756</v>
      </c>
      <c r="G688" s="8">
        <v>1</v>
      </c>
      <c r="H688" s="8">
        <v>20250201</v>
      </c>
      <c r="I688" s="8" t="str">
        <f t="shared" si="50"/>
        <v>2/1/2025</v>
      </c>
      <c r="J688" s="8">
        <v>20210601</v>
      </c>
      <c r="K688" s="8" t="str">
        <f t="shared" si="51"/>
        <v>6/1/2021</v>
      </c>
      <c r="L688" s="8" t="s">
        <v>65</v>
      </c>
      <c r="M688" s="8">
        <v>25</v>
      </c>
      <c r="N688" s="8">
        <v>25</v>
      </c>
      <c r="O688" s="14" t="s">
        <v>3948</v>
      </c>
    </row>
    <row r="689" spans="1:16" ht="15" customHeight="1" x14ac:dyDescent="0.3">
      <c r="A689" s="7" t="s">
        <v>3897</v>
      </c>
      <c r="B689" s="7">
        <v>9213293</v>
      </c>
      <c r="C689" s="8">
        <v>1</v>
      </c>
      <c r="D689" s="8">
        <v>921431227</v>
      </c>
      <c r="E689" s="8" t="str">
        <f t="shared" si="54"/>
        <v>92143122744</v>
      </c>
      <c r="F689" s="8" t="s">
        <v>764</v>
      </c>
      <c r="G689" s="8">
        <v>1</v>
      </c>
      <c r="H689" s="8">
        <v>20250401</v>
      </c>
      <c r="I689" s="8" t="str">
        <f t="shared" si="50"/>
        <v>4/1/2025</v>
      </c>
      <c r="J689" s="8">
        <v>20231201</v>
      </c>
      <c r="K689" s="8" t="str">
        <f t="shared" si="51"/>
        <v>12/1/2023</v>
      </c>
      <c r="L689" s="8" t="s">
        <v>65</v>
      </c>
      <c r="M689" s="8">
        <v>25</v>
      </c>
      <c r="N689" s="8">
        <v>25</v>
      </c>
      <c r="O689" s="14" t="s">
        <v>3948</v>
      </c>
    </row>
    <row r="690" spans="1:16" ht="15" customHeight="1" x14ac:dyDescent="0.3">
      <c r="A690" s="7" t="s">
        <v>3897</v>
      </c>
      <c r="B690" s="7">
        <v>9213293</v>
      </c>
      <c r="C690" s="8">
        <v>1</v>
      </c>
      <c r="D690" s="8">
        <v>921489948</v>
      </c>
      <c r="E690" s="8" t="str">
        <f t="shared" si="54"/>
        <v>92148994844</v>
      </c>
      <c r="F690" s="8" t="s">
        <v>770</v>
      </c>
      <c r="G690" s="8">
        <v>1</v>
      </c>
      <c r="H690" s="8">
        <v>20250401</v>
      </c>
      <c r="I690" s="8" t="str">
        <f t="shared" si="50"/>
        <v>4/1/2025</v>
      </c>
      <c r="J690" s="8">
        <v>20191101</v>
      </c>
      <c r="K690" s="8" t="str">
        <f t="shared" si="51"/>
        <v>11/1/2019</v>
      </c>
      <c r="L690" s="8" t="s">
        <v>65</v>
      </c>
      <c r="M690" s="8">
        <v>25</v>
      </c>
      <c r="N690" s="8">
        <v>25</v>
      </c>
      <c r="O690" s="14" t="s">
        <v>3948</v>
      </c>
    </row>
    <row r="691" spans="1:16" ht="15" customHeight="1" x14ac:dyDescent="0.3">
      <c r="A691" s="7" t="s">
        <v>3897</v>
      </c>
      <c r="B691" s="7">
        <v>9213293</v>
      </c>
      <c r="C691" s="8">
        <v>1</v>
      </c>
      <c r="D691" s="8">
        <v>921491009</v>
      </c>
      <c r="E691" s="8" t="str">
        <f t="shared" si="54"/>
        <v>92149100944</v>
      </c>
      <c r="F691" s="8" t="s">
        <v>772</v>
      </c>
      <c r="G691" s="8">
        <v>1</v>
      </c>
      <c r="H691" s="8">
        <v>20250401</v>
      </c>
      <c r="I691" s="8" t="str">
        <f t="shared" si="50"/>
        <v>4/1/2025</v>
      </c>
      <c r="J691" s="8">
        <v>20191201</v>
      </c>
      <c r="K691" s="8" t="str">
        <f t="shared" si="51"/>
        <v>12/1/2019</v>
      </c>
      <c r="L691" s="8" t="s">
        <v>65</v>
      </c>
      <c r="M691" s="8">
        <v>25</v>
      </c>
      <c r="N691" s="8">
        <v>25</v>
      </c>
      <c r="O691" s="14" t="s">
        <v>3948</v>
      </c>
    </row>
    <row r="692" spans="1:16" ht="15" customHeight="1" x14ac:dyDescent="0.3">
      <c r="A692" s="7" t="s">
        <v>3897</v>
      </c>
      <c r="B692" s="7">
        <v>9213293</v>
      </c>
      <c r="C692" s="8">
        <v>1</v>
      </c>
      <c r="D692" s="8">
        <v>921491139</v>
      </c>
      <c r="E692" s="8" t="str">
        <f t="shared" si="54"/>
        <v>92149113944</v>
      </c>
      <c r="F692" s="8" t="s">
        <v>775</v>
      </c>
      <c r="G692" s="8">
        <v>1</v>
      </c>
      <c r="H692" s="8">
        <v>20250401</v>
      </c>
      <c r="I692" s="8" t="str">
        <f t="shared" si="50"/>
        <v>4/1/2025</v>
      </c>
      <c r="J692" s="8">
        <v>20200201</v>
      </c>
      <c r="K692" s="8" t="str">
        <f t="shared" si="51"/>
        <v>2/1/2020</v>
      </c>
      <c r="L692" s="8" t="s">
        <v>65</v>
      </c>
      <c r="M692" s="8">
        <v>25</v>
      </c>
      <c r="N692" s="8">
        <v>25</v>
      </c>
      <c r="O692" s="14" t="s">
        <v>3948</v>
      </c>
    </row>
    <row r="693" spans="1:16" ht="15" customHeight="1" x14ac:dyDescent="0.3">
      <c r="A693" s="7" t="s">
        <v>3897</v>
      </c>
      <c r="B693" s="7">
        <v>9213293</v>
      </c>
      <c r="C693" s="8">
        <v>1</v>
      </c>
      <c r="D693" s="8">
        <v>921563142</v>
      </c>
      <c r="E693" s="8" t="str">
        <f t="shared" si="54"/>
        <v>92156314244</v>
      </c>
      <c r="F693" s="8" t="s">
        <v>797</v>
      </c>
      <c r="G693" s="8">
        <v>1</v>
      </c>
      <c r="H693" s="8">
        <v>20250301</v>
      </c>
      <c r="I693" s="8" t="str">
        <f t="shared" si="50"/>
        <v>3/1/2025</v>
      </c>
      <c r="J693" s="8">
        <v>20210401</v>
      </c>
      <c r="K693" s="8" t="str">
        <f t="shared" si="51"/>
        <v>4/1/2021</v>
      </c>
      <c r="L693" s="8" t="s">
        <v>65</v>
      </c>
      <c r="M693" s="8">
        <v>25</v>
      </c>
      <c r="N693" s="8">
        <v>25</v>
      </c>
      <c r="O693" s="14" t="s">
        <v>3948</v>
      </c>
    </row>
    <row r="694" spans="1:16" ht="15" customHeight="1" x14ac:dyDescent="0.3">
      <c r="A694" s="7" t="s">
        <v>3897</v>
      </c>
      <c r="B694" s="7">
        <v>9213293</v>
      </c>
      <c r="C694" s="8">
        <v>1</v>
      </c>
      <c r="D694" s="8">
        <v>921571775</v>
      </c>
      <c r="E694" s="8" t="str">
        <f t="shared" si="54"/>
        <v>92157177544</v>
      </c>
      <c r="F694" s="8" t="s">
        <v>804</v>
      </c>
      <c r="G694" s="8">
        <v>1</v>
      </c>
      <c r="H694" s="8">
        <v>20250401</v>
      </c>
      <c r="I694" s="8" t="str">
        <f t="shared" si="50"/>
        <v>4/1/2025</v>
      </c>
      <c r="J694" s="8">
        <v>20240101</v>
      </c>
      <c r="K694" s="8" t="str">
        <f t="shared" si="51"/>
        <v>1/1/2024</v>
      </c>
      <c r="L694" s="8" t="s">
        <v>65</v>
      </c>
      <c r="M694" s="8">
        <v>25</v>
      </c>
      <c r="N694" s="8">
        <v>25</v>
      </c>
      <c r="O694" s="14" t="s">
        <v>3948</v>
      </c>
    </row>
    <row r="695" spans="1:16" ht="15" customHeight="1" x14ac:dyDescent="0.3">
      <c r="A695" s="7" t="s">
        <v>3897</v>
      </c>
      <c r="B695" s="7">
        <v>9213293</v>
      </c>
      <c r="C695" s="8">
        <v>1</v>
      </c>
      <c r="D695" s="8">
        <v>921595294</v>
      </c>
      <c r="E695" s="8" t="str">
        <f t="shared" si="54"/>
        <v>92159529444</v>
      </c>
      <c r="F695" s="8" t="s">
        <v>814</v>
      </c>
      <c r="G695" s="8">
        <v>1</v>
      </c>
      <c r="H695" s="8">
        <v>20250401</v>
      </c>
      <c r="I695" s="8" t="str">
        <f t="shared" si="50"/>
        <v>4/1/2025</v>
      </c>
      <c r="J695" s="8">
        <v>20220101</v>
      </c>
      <c r="K695" s="8" t="str">
        <f t="shared" si="51"/>
        <v>1/1/2022</v>
      </c>
      <c r="L695" s="8" t="s">
        <v>65</v>
      </c>
      <c r="M695" s="8">
        <v>25</v>
      </c>
      <c r="N695" s="8">
        <v>25</v>
      </c>
      <c r="O695" s="14" t="s">
        <v>3948</v>
      </c>
    </row>
    <row r="696" spans="1:16" ht="15" customHeight="1" x14ac:dyDescent="0.3">
      <c r="A696" s="7" t="s">
        <v>3897</v>
      </c>
      <c r="B696" s="7">
        <v>9213293</v>
      </c>
      <c r="C696" s="8">
        <v>1</v>
      </c>
      <c r="D696" s="8">
        <v>921597480</v>
      </c>
      <c r="E696" s="8" t="str">
        <f t="shared" si="54"/>
        <v>92159748044</v>
      </c>
      <c r="F696" s="8" t="s">
        <v>818</v>
      </c>
      <c r="G696" s="8">
        <v>1</v>
      </c>
      <c r="H696" s="8">
        <v>20250401</v>
      </c>
      <c r="I696" s="8" t="str">
        <f t="shared" si="50"/>
        <v>4/1/2025</v>
      </c>
      <c r="J696" s="8">
        <v>20220101</v>
      </c>
      <c r="K696" s="8" t="str">
        <f t="shared" si="51"/>
        <v>1/1/2022</v>
      </c>
      <c r="L696" s="8" t="s">
        <v>65</v>
      </c>
      <c r="M696" s="8">
        <v>25</v>
      </c>
      <c r="N696" s="8">
        <v>25</v>
      </c>
      <c r="O696" s="14" t="s">
        <v>3948</v>
      </c>
    </row>
    <row r="697" spans="1:16" ht="15" customHeight="1" x14ac:dyDescent="0.3">
      <c r="A697" s="7" t="s">
        <v>3897</v>
      </c>
      <c r="B697" s="7">
        <v>9213293</v>
      </c>
      <c r="C697" s="8">
        <v>1</v>
      </c>
      <c r="D697" s="8">
        <v>921622438</v>
      </c>
      <c r="E697" s="8" t="str">
        <f t="shared" si="54"/>
        <v>92162243844</v>
      </c>
      <c r="F697" s="8" t="s">
        <v>837</v>
      </c>
      <c r="G697" s="8">
        <v>1</v>
      </c>
      <c r="H697" s="8">
        <v>20250401</v>
      </c>
      <c r="I697" s="8" t="str">
        <f t="shared" si="50"/>
        <v>4/1/2025</v>
      </c>
      <c r="J697" s="8">
        <v>20221001</v>
      </c>
      <c r="K697" s="8" t="str">
        <f t="shared" si="51"/>
        <v>10/1/2022</v>
      </c>
      <c r="L697" s="8" t="s">
        <v>65</v>
      </c>
      <c r="M697" s="8">
        <v>25</v>
      </c>
      <c r="N697" s="8">
        <v>25</v>
      </c>
      <c r="O697" s="14" t="s">
        <v>3948</v>
      </c>
    </row>
    <row r="698" spans="1:16" ht="15" customHeight="1" x14ac:dyDescent="0.3">
      <c r="A698" s="7" t="s">
        <v>3897</v>
      </c>
      <c r="B698" s="7">
        <v>9213293</v>
      </c>
      <c r="C698" s="8">
        <v>1</v>
      </c>
      <c r="D698" s="8">
        <v>921629608</v>
      </c>
      <c r="E698" s="8" t="str">
        <f t="shared" si="54"/>
        <v>92162960844</v>
      </c>
      <c r="F698" s="8" t="s">
        <v>845</v>
      </c>
      <c r="G698" s="8">
        <v>1</v>
      </c>
      <c r="H698" s="8">
        <v>20250401</v>
      </c>
      <c r="I698" s="8" t="str">
        <f t="shared" si="50"/>
        <v>4/1/2025</v>
      </c>
      <c r="J698" s="8">
        <v>20230101</v>
      </c>
      <c r="K698" s="8" t="str">
        <f t="shared" si="51"/>
        <v>1/1/2023</v>
      </c>
      <c r="L698" s="8" t="s">
        <v>65</v>
      </c>
      <c r="M698" s="8">
        <v>25</v>
      </c>
      <c r="N698" s="8">
        <v>25</v>
      </c>
      <c r="O698" s="14" t="s">
        <v>3948</v>
      </c>
    </row>
    <row r="699" spans="1:16" ht="15" customHeight="1" x14ac:dyDescent="0.3">
      <c r="A699" s="7" t="s">
        <v>3897</v>
      </c>
      <c r="B699" s="7">
        <v>9213293</v>
      </c>
      <c r="C699" s="8">
        <v>1</v>
      </c>
      <c r="D699" s="8">
        <v>921644790</v>
      </c>
      <c r="E699" s="8" t="str">
        <f t="shared" si="54"/>
        <v>92164479044</v>
      </c>
      <c r="F699" s="8" t="s">
        <v>847</v>
      </c>
      <c r="G699" s="8">
        <v>1</v>
      </c>
      <c r="H699" s="8">
        <v>20250401</v>
      </c>
      <c r="I699" s="8" t="str">
        <f t="shared" si="50"/>
        <v>4/1/2025</v>
      </c>
      <c r="J699" s="8">
        <v>20240101</v>
      </c>
      <c r="K699" s="8" t="str">
        <f t="shared" si="51"/>
        <v>1/1/2024</v>
      </c>
      <c r="L699" s="8" t="s">
        <v>65</v>
      </c>
      <c r="M699" s="8">
        <v>25</v>
      </c>
      <c r="N699" s="8">
        <v>25</v>
      </c>
      <c r="O699" s="14" t="s">
        <v>3948</v>
      </c>
    </row>
    <row r="700" spans="1:16" ht="15" customHeight="1" x14ac:dyDescent="0.3">
      <c r="A700" s="7" t="s">
        <v>3897</v>
      </c>
      <c r="B700" s="7">
        <v>9213293</v>
      </c>
      <c r="C700" s="8">
        <v>1</v>
      </c>
      <c r="D700" s="8">
        <v>921646053</v>
      </c>
      <c r="E700" s="8" t="str">
        <f t="shared" si="54"/>
        <v>92164605344</v>
      </c>
      <c r="F700" s="8" t="s">
        <v>849</v>
      </c>
      <c r="G700" s="8">
        <v>1</v>
      </c>
      <c r="H700" s="8">
        <v>20250401</v>
      </c>
      <c r="I700" s="8" t="str">
        <f t="shared" si="50"/>
        <v>4/1/2025</v>
      </c>
      <c r="J700" s="8">
        <v>20230201</v>
      </c>
      <c r="K700" s="8" t="str">
        <f t="shared" si="51"/>
        <v>2/1/2023</v>
      </c>
      <c r="L700" s="8" t="s">
        <v>65</v>
      </c>
      <c r="M700" s="8">
        <v>25</v>
      </c>
      <c r="N700" s="8">
        <v>25</v>
      </c>
      <c r="O700" s="14" t="s">
        <v>3948</v>
      </c>
    </row>
    <row r="701" spans="1:16" ht="15" customHeight="1" x14ac:dyDescent="0.3">
      <c r="A701" s="7" t="s">
        <v>3897</v>
      </c>
      <c r="B701" s="7">
        <v>9213293</v>
      </c>
      <c r="C701" s="8">
        <v>1</v>
      </c>
      <c r="D701" s="8">
        <v>921667480</v>
      </c>
      <c r="E701" s="8" t="str">
        <f t="shared" si="54"/>
        <v>92166748044</v>
      </c>
      <c r="F701" s="8" t="s">
        <v>858</v>
      </c>
      <c r="G701" s="8">
        <v>1</v>
      </c>
      <c r="H701" s="8">
        <v>20250401</v>
      </c>
      <c r="I701" s="8" t="str">
        <f t="shared" si="50"/>
        <v>4/1/2025</v>
      </c>
      <c r="J701" s="8">
        <v>20230901</v>
      </c>
      <c r="K701" s="8" t="str">
        <f t="shared" si="51"/>
        <v>9/1/2023</v>
      </c>
      <c r="L701" s="8" t="s">
        <v>65</v>
      </c>
      <c r="M701" s="8">
        <v>25</v>
      </c>
      <c r="N701" s="8">
        <v>25</v>
      </c>
      <c r="O701" s="14" t="s">
        <v>3948</v>
      </c>
    </row>
    <row r="702" spans="1:16" ht="15" customHeight="1" x14ac:dyDescent="0.3">
      <c r="A702" s="7" t="s">
        <v>3897</v>
      </c>
      <c r="B702" s="7">
        <v>9213293</v>
      </c>
      <c r="C702" s="8">
        <v>1</v>
      </c>
      <c r="D702" s="8">
        <v>921672098</v>
      </c>
      <c r="E702" s="8" t="str">
        <f t="shared" si="54"/>
        <v>92167209844</v>
      </c>
      <c r="F702" s="8" t="s">
        <v>862</v>
      </c>
      <c r="G702" s="8">
        <v>1</v>
      </c>
      <c r="H702" s="8">
        <v>20250401</v>
      </c>
      <c r="I702" s="8" t="str">
        <f t="shared" si="50"/>
        <v>4/1/2025</v>
      </c>
      <c r="J702" s="8">
        <v>20231001</v>
      </c>
      <c r="K702" s="8" t="str">
        <f t="shared" si="51"/>
        <v>10/1/2023</v>
      </c>
      <c r="L702" s="8" t="s">
        <v>65</v>
      </c>
      <c r="M702" s="8">
        <v>25</v>
      </c>
      <c r="N702" s="8">
        <v>25</v>
      </c>
      <c r="O702" s="14" t="s">
        <v>3948</v>
      </c>
    </row>
    <row r="703" spans="1:16" ht="15" customHeight="1" x14ac:dyDescent="0.3">
      <c r="A703" s="7" t="s">
        <v>3897</v>
      </c>
      <c r="B703" s="7">
        <v>9213293</v>
      </c>
      <c r="C703" s="8">
        <v>1</v>
      </c>
      <c r="D703" s="8">
        <v>921712325</v>
      </c>
      <c r="E703" s="8" t="str">
        <f t="shared" si="54"/>
        <v>92171232544</v>
      </c>
      <c r="F703" s="8" t="s">
        <v>882</v>
      </c>
      <c r="G703" s="8">
        <v>1</v>
      </c>
      <c r="H703" s="8">
        <v>20250401</v>
      </c>
      <c r="I703" s="8" t="str">
        <f t="shared" si="50"/>
        <v>4/1/2025</v>
      </c>
      <c r="J703" s="8">
        <v>20240301</v>
      </c>
      <c r="K703" s="8" t="str">
        <f t="shared" si="51"/>
        <v>3/1/2024</v>
      </c>
      <c r="L703" s="8" t="s">
        <v>65</v>
      </c>
      <c r="M703" s="8">
        <v>25</v>
      </c>
      <c r="N703" s="8">
        <v>25</v>
      </c>
      <c r="O703" s="14" t="s">
        <v>3948</v>
      </c>
    </row>
    <row r="704" spans="1:16" ht="15" customHeight="1" x14ac:dyDescent="0.3">
      <c r="A704" s="7" t="s">
        <v>3897</v>
      </c>
      <c r="B704" s="7">
        <v>9213293</v>
      </c>
      <c r="C704" s="8">
        <v>2</v>
      </c>
      <c r="D704" s="8">
        <v>920901616</v>
      </c>
      <c r="E704" s="8" t="str">
        <f t="shared" si="54"/>
        <v>92090161644</v>
      </c>
      <c r="F704" s="8" t="s">
        <v>699</v>
      </c>
      <c r="G704" s="8">
        <v>1</v>
      </c>
      <c r="H704" s="8">
        <v>20250401</v>
      </c>
      <c r="I704" s="8" t="str">
        <f t="shared" si="50"/>
        <v>4/1/2025</v>
      </c>
      <c r="J704" s="8">
        <v>20230101</v>
      </c>
      <c r="K704" s="8" t="str">
        <f t="shared" si="51"/>
        <v>1/1/2023</v>
      </c>
      <c r="L704" s="8" t="s">
        <v>65</v>
      </c>
      <c r="M704" s="8">
        <v>25</v>
      </c>
      <c r="N704" s="8">
        <v>50</v>
      </c>
      <c r="O704" s="14" t="s">
        <v>3948</v>
      </c>
      <c r="P704" s="6" t="s">
        <v>3952</v>
      </c>
    </row>
    <row r="705" spans="1:16" ht="15" customHeight="1" x14ac:dyDescent="0.3">
      <c r="A705" s="7" t="s">
        <v>3897</v>
      </c>
      <c r="B705" s="7">
        <v>9213293</v>
      </c>
      <c r="C705" s="8">
        <v>2</v>
      </c>
      <c r="D705" s="8">
        <v>920983142</v>
      </c>
      <c r="E705" s="8" t="str">
        <f t="shared" si="54"/>
        <v>92098314244</v>
      </c>
      <c r="F705" s="8" t="s">
        <v>703</v>
      </c>
      <c r="G705" s="8">
        <v>1</v>
      </c>
      <c r="H705" s="8">
        <v>20250401</v>
      </c>
      <c r="I705" s="8" t="str">
        <f t="shared" si="50"/>
        <v>4/1/2025</v>
      </c>
      <c r="J705" s="8">
        <v>20141201</v>
      </c>
      <c r="K705" s="8" t="str">
        <f t="shared" si="51"/>
        <v>12/1/2014</v>
      </c>
      <c r="L705" s="8" t="s">
        <v>65</v>
      </c>
      <c r="M705" s="8">
        <v>25</v>
      </c>
      <c r="N705" s="8">
        <v>50</v>
      </c>
      <c r="O705" s="14" t="s">
        <v>3948</v>
      </c>
      <c r="P705" s="6" t="s">
        <v>3952</v>
      </c>
    </row>
    <row r="706" spans="1:16" ht="15" customHeight="1" x14ac:dyDescent="0.3">
      <c r="A706" s="7" t="s">
        <v>3897</v>
      </c>
      <c r="B706" s="7">
        <v>9213293</v>
      </c>
      <c r="C706" s="8">
        <v>2</v>
      </c>
      <c r="D706" s="8">
        <v>921337457</v>
      </c>
      <c r="E706" s="8" t="str">
        <f t="shared" si="54"/>
        <v>92133745744</v>
      </c>
      <c r="F706" s="8" t="s">
        <v>737</v>
      </c>
      <c r="G706" s="8">
        <v>1</v>
      </c>
      <c r="H706" s="8">
        <v>20250401</v>
      </c>
      <c r="I706" s="8" t="str">
        <f t="shared" si="50"/>
        <v>4/1/2025</v>
      </c>
      <c r="J706" s="8">
        <v>20170201</v>
      </c>
      <c r="K706" s="8" t="str">
        <f t="shared" si="51"/>
        <v>2/1/2017</v>
      </c>
      <c r="L706" s="8" t="s">
        <v>65</v>
      </c>
      <c r="M706" s="8">
        <v>25</v>
      </c>
      <c r="N706" s="8">
        <v>50</v>
      </c>
      <c r="O706" s="14" t="s">
        <v>3948</v>
      </c>
      <c r="P706" s="6" t="s">
        <v>3952</v>
      </c>
    </row>
    <row r="707" spans="1:16" ht="15" customHeight="1" x14ac:dyDescent="0.3">
      <c r="A707" s="7" t="s">
        <v>3897</v>
      </c>
      <c r="B707" s="7">
        <v>9213293</v>
      </c>
      <c r="C707" s="8">
        <v>2</v>
      </c>
      <c r="D707" s="8">
        <v>921496727</v>
      </c>
      <c r="E707" s="8" t="str">
        <f t="shared" si="54"/>
        <v>92149672744</v>
      </c>
      <c r="F707" s="8" t="s">
        <v>778</v>
      </c>
      <c r="G707" s="8">
        <v>1</v>
      </c>
      <c r="H707" s="8">
        <v>20250401</v>
      </c>
      <c r="I707" s="8" t="str">
        <f t="shared" ref="I707:I770" si="55">TEXT(DATE(LEFT(H707,4), MID(H707,5,2), RIGHT(H707,2)), "M/d/yyyy")</f>
        <v>4/1/2025</v>
      </c>
      <c r="J707" s="8">
        <v>20200101</v>
      </c>
      <c r="K707" s="8" t="str">
        <f t="shared" ref="K707:K770" si="56">TEXT(DATE(LEFT(J707,4), MID(J707,5,2), RIGHT(J707,2)), "M/d/yyyy")</f>
        <v>1/1/2020</v>
      </c>
      <c r="L707" s="8" t="s">
        <v>65</v>
      </c>
      <c r="M707" s="8">
        <v>25</v>
      </c>
      <c r="N707" s="8">
        <v>50</v>
      </c>
      <c r="O707" s="14" t="s">
        <v>3948</v>
      </c>
      <c r="P707" s="6" t="s">
        <v>3952</v>
      </c>
    </row>
    <row r="708" spans="1:16" ht="15" customHeight="1" x14ac:dyDescent="0.3">
      <c r="A708" s="7" t="s">
        <v>3897</v>
      </c>
      <c r="B708" s="7">
        <v>9213293</v>
      </c>
      <c r="C708" s="8">
        <v>2</v>
      </c>
      <c r="D708" s="8">
        <v>921576971</v>
      </c>
      <c r="E708" s="8" t="str">
        <f t="shared" si="54"/>
        <v>92157697144</v>
      </c>
      <c r="F708" s="8" t="s">
        <v>808</v>
      </c>
      <c r="G708" s="8">
        <v>1</v>
      </c>
      <c r="H708" s="8">
        <v>20250401</v>
      </c>
      <c r="I708" s="8" t="str">
        <f t="shared" si="55"/>
        <v>4/1/2025</v>
      </c>
      <c r="J708" s="8">
        <v>20210801</v>
      </c>
      <c r="K708" s="8" t="str">
        <f t="shared" si="56"/>
        <v>8/1/2021</v>
      </c>
      <c r="L708" s="8" t="s">
        <v>65</v>
      </c>
      <c r="M708" s="8">
        <v>25</v>
      </c>
      <c r="N708" s="8">
        <v>50</v>
      </c>
      <c r="O708" s="14" t="s">
        <v>3948</v>
      </c>
      <c r="P708" s="6" t="s">
        <v>3952</v>
      </c>
    </row>
    <row r="709" spans="1:16" ht="15" customHeight="1" x14ac:dyDescent="0.3">
      <c r="A709" s="7" t="s">
        <v>3897</v>
      </c>
      <c r="B709" s="7">
        <v>9213293</v>
      </c>
      <c r="C709" s="8">
        <v>2</v>
      </c>
      <c r="D709" s="8">
        <v>921647863</v>
      </c>
      <c r="E709" s="8" t="str">
        <f t="shared" si="54"/>
        <v>92164786344</v>
      </c>
      <c r="F709" s="8" t="s">
        <v>851</v>
      </c>
      <c r="G709" s="8">
        <v>1</v>
      </c>
      <c r="H709" s="8">
        <v>20250401</v>
      </c>
      <c r="I709" s="8" t="str">
        <f t="shared" si="55"/>
        <v>4/1/2025</v>
      </c>
      <c r="J709" s="8">
        <v>20230201</v>
      </c>
      <c r="K709" s="8" t="str">
        <f t="shared" si="56"/>
        <v>2/1/2023</v>
      </c>
      <c r="L709" s="8" t="s">
        <v>65</v>
      </c>
      <c r="M709" s="8">
        <v>25</v>
      </c>
      <c r="N709" s="8">
        <v>50</v>
      </c>
      <c r="O709" s="14" t="s">
        <v>3948</v>
      </c>
      <c r="P709" s="6" t="s">
        <v>3952</v>
      </c>
    </row>
    <row r="710" spans="1:16" ht="15" customHeight="1" x14ac:dyDescent="0.3">
      <c r="A710" s="7" t="s">
        <v>3897</v>
      </c>
      <c r="B710" s="7">
        <v>9213293</v>
      </c>
      <c r="C710" s="8">
        <v>4</v>
      </c>
      <c r="D710" s="8">
        <v>921347604</v>
      </c>
      <c r="E710" s="8" t="str">
        <f t="shared" si="54"/>
        <v>92134760444</v>
      </c>
      <c r="F710" s="8" t="s">
        <v>747</v>
      </c>
      <c r="G710" s="8">
        <v>1</v>
      </c>
      <c r="H710" s="8">
        <v>20250401</v>
      </c>
      <c r="I710" s="8" t="str">
        <f t="shared" si="55"/>
        <v>4/1/2025</v>
      </c>
      <c r="J710" s="8">
        <v>20170301</v>
      </c>
      <c r="K710" s="8" t="str">
        <f t="shared" si="56"/>
        <v>3/1/2017</v>
      </c>
      <c r="L710" s="8" t="s">
        <v>65</v>
      </c>
      <c r="M710" s="8">
        <v>25</v>
      </c>
      <c r="N710" s="8">
        <v>100</v>
      </c>
      <c r="O710" s="14" t="s">
        <v>3948</v>
      </c>
      <c r="P710" s="6" t="s">
        <v>3954</v>
      </c>
    </row>
    <row r="711" spans="1:16" ht="15" customHeight="1" x14ac:dyDescent="0.3">
      <c r="A711" s="7" t="s">
        <v>3897</v>
      </c>
      <c r="B711" s="7">
        <v>9213293</v>
      </c>
      <c r="C711" s="8">
        <v>4</v>
      </c>
      <c r="D711" s="8">
        <v>921377954</v>
      </c>
      <c r="E711" s="8" t="str">
        <f t="shared" si="54"/>
        <v>92137795444</v>
      </c>
      <c r="F711" s="8" t="s">
        <v>754</v>
      </c>
      <c r="G711" s="8">
        <v>1</v>
      </c>
      <c r="H711" s="8">
        <v>20250401</v>
      </c>
      <c r="I711" s="8" t="str">
        <f t="shared" si="55"/>
        <v>4/1/2025</v>
      </c>
      <c r="J711" s="8">
        <v>20180101</v>
      </c>
      <c r="K711" s="8" t="str">
        <f t="shared" si="56"/>
        <v>1/1/2018</v>
      </c>
      <c r="L711" s="8" t="s">
        <v>65</v>
      </c>
      <c r="M711" s="8">
        <v>25</v>
      </c>
      <c r="N711" s="8">
        <v>100</v>
      </c>
      <c r="O711" s="14" t="s">
        <v>3948</v>
      </c>
      <c r="P711" s="6" t="s">
        <v>3954</v>
      </c>
    </row>
    <row r="712" spans="1:16" ht="15" customHeight="1" x14ac:dyDescent="0.3">
      <c r="A712" s="7" t="s">
        <v>3897</v>
      </c>
      <c r="B712" s="7">
        <v>9213293</v>
      </c>
      <c r="C712" s="8">
        <v>1</v>
      </c>
      <c r="D712" s="8">
        <v>920933743</v>
      </c>
      <c r="E712" s="8" t="str">
        <f t="shared" si="54"/>
        <v>92093374344</v>
      </c>
      <c r="F712" s="8" t="s">
        <v>701</v>
      </c>
      <c r="G712" s="8">
        <v>1</v>
      </c>
      <c r="H712" s="8">
        <v>20250401</v>
      </c>
      <c r="I712" s="8" t="str">
        <f t="shared" si="55"/>
        <v>4/1/2025</v>
      </c>
      <c r="J712" s="8">
        <v>20250101</v>
      </c>
      <c r="K712" s="8" t="str">
        <f t="shared" si="56"/>
        <v>1/1/2025</v>
      </c>
      <c r="L712" s="8" t="s">
        <v>65</v>
      </c>
      <c r="M712" s="8">
        <v>30</v>
      </c>
      <c r="N712" s="8">
        <v>30</v>
      </c>
      <c r="O712" s="14" t="s">
        <v>3948</v>
      </c>
    </row>
    <row r="713" spans="1:16" ht="15" customHeight="1" x14ac:dyDescent="0.3">
      <c r="A713" s="7" t="s">
        <v>3897</v>
      </c>
      <c r="B713" s="7">
        <v>9213293</v>
      </c>
      <c r="C713" s="8">
        <v>1</v>
      </c>
      <c r="D713" s="8">
        <v>921034787</v>
      </c>
      <c r="E713" s="8" t="str">
        <f t="shared" si="54"/>
        <v>92103478744</v>
      </c>
      <c r="F713" s="8" t="s">
        <v>707</v>
      </c>
      <c r="G713" s="8">
        <v>1</v>
      </c>
      <c r="H713" s="8">
        <v>20250401</v>
      </c>
      <c r="I713" s="8" t="str">
        <f t="shared" si="55"/>
        <v>4/1/2025</v>
      </c>
      <c r="J713" s="8">
        <v>20240501</v>
      </c>
      <c r="K713" s="8" t="str">
        <f t="shared" si="56"/>
        <v>5/1/2024</v>
      </c>
      <c r="L713" s="8" t="s">
        <v>65</v>
      </c>
      <c r="M713" s="8">
        <v>30</v>
      </c>
      <c r="N713" s="8">
        <v>30</v>
      </c>
      <c r="O713" s="14" t="s">
        <v>3948</v>
      </c>
    </row>
    <row r="714" spans="1:16" ht="15" customHeight="1" x14ac:dyDescent="0.3">
      <c r="A714" s="7" t="s">
        <v>3897</v>
      </c>
      <c r="B714" s="7">
        <v>9213293</v>
      </c>
      <c r="C714" s="8">
        <v>1</v>
      </c>
      <c r="D714" s="8">
        <v>921568641</v>
      </c>
      <c r="E714" s="8" t="str">
        <f t="shared" si="54"/>
        <v>92156864144</v>
      </c>
      <c r="F714" s="8" t="s">
        <v>802</v>
      </c>
      <c r="G714" s="8">
        <v>1</v>
      </c>
      <c r="H714" s="8">
        <v>20250401</v>
      </c>
      <c r="I714" s="8" t="str">
        <f t="shared" si="55"/>
        <v>4/1/2025</v>
      </c>
      <c r="J714" s="8">
        <v>20250101</v>
      </c>
      <c r="K714" s="8" t="str">
        <f t="shared" si="56"/>
        <v>1/1/2025</v>
      </c>
      <c r="L714" s="8" t="s">
        <v>65</v>
      </c>
      <c r="M714" s="8">
        <v>30</v>
      </c>
      <c r="N714" s="8">
        <v>30</v>
      </c>
      <c r="O714" s="14" t="s">
        <v>3948</v>
      </c>
    </row>
    <row r="715" spans="1:16" ht="15" customHeight="1" x14ac:dyDescent="0.3">
      <c r="A715" s="7" t="s">
        <v>3897</v>
      </c>
      <c r="B715" s="7">
        <v>9213293</v>
      </c>
      <c r="C715" s="8">
        <v>1</v>
      </c>
      <c r="D715" s="8">
        <v>921581876</v>
      </c>
      <c r="E715" s="8" t="str">
        <f t="shared" si="54"/>
        <v>92158187644</v>
      </c>
      <c r="F715" s="8" t="s">
        <v>810</v>
      </c>
      <c r="G715" s="8">
        <v>1</v>
      </c>
      <c r="H715" s="8">
        <v>20250401</v>
      </c>
      <c r="I715" s="8" t="str">
        <f t="shared" si="55"/>
        <v>4/1/2025</v>
      </c>
      <c r="J715" s="8">
        <v>20240601</v>
      </c>
      <c r="K715" s="8" t="str">
        <f t="shared" si="56"/>
        <v>6/1/2024</v>
      </c>
      <c r="L715" s="8" t="s">
        <v>65</v>
      </c>
      <c r="M715" s="8">
        <v>30</v>
      </c>
      <c r="N715" s="8">
        <v>30</v>
      </c>
      <c r="O715" s="14" t="s">
        <v>3948</v>
      </c>
    </row>
    <row r="716" spans="1:16" ht="15" customHeight="1" x14ac:dyDescent="0.3">
      <c r="A716" s="7" t="s">
        <v>3897</v>
      </c>
      <c r="B716" s="7">
        <v>9213293</v>
      </c>
      <c r="C716" s="8">
        <v>1</v>
      </c>
      <c r="D716" s="8">
        <v>921752169</v>
      </c>
      <c r="E716" s="8" t="str">
        <f t="shared" si="54"/>
        <v>92175216944</v>
      </c>
      <c r="F716" s="8" t="s">
        <v>892</v>
      </c>
      <c r="G716" s="8">
        <v>1</v>
      </c>
      <c r="H716" s="8">
        <v>20250401</v>
      </c>
      <c r="I716" s="8" t="str">
        <f t="shared" si="55"/>
        <v>4/1/2025</v>
      </c>
      <c r="J716" s="8">
        <v>20250101</v>
      </c>
      <c r="K716" s="8" t="str">
        <f t="shared" si="56"/>
        <v>1/1/2025</v>
      </c>
      <c r="L716" s="8" t="s">
        <v>65</v>
      </c>
      <c r="M716" s="8">
        <v>30</v>
      </c>
      <c r="N716" s="8">
        <v>30</v>
      </c>
      <c r="O716" s="14" t="s">
        <v>3948</v>
      </c>
    </row>
    <row r="717" spans="1:16" ht="15" customHeight="1" x14ac:dyDescent="0.3">
      <c r="A717" s="7" t="s">
        <v>3897</v>
      </c>
      <c r="B717" s="7">
        <v>9213293</v>
      </c>
      <c r="C717" s="8">
        <v>1</v>
      </c>
      <c r="D717" s="8">
        <v>921763994</v>
      </c>
      <c r="E717" s="8" t="str">
        <f t="shared" si="54"/>
        <v>92176399444</v>
      </c>
      <c r="F717" s="8" t="s">
        <v>912</v>
      </c>
      <c r="G717" s="8">
        <v>1</v>
      </c>
      <c r="H717" s="8">
        <v>20250401</v>
      </c>
      <c r="I717" s="8" t="str">
        <f t="shared" si="55"/>
        <v>4/1/2025</v>
      </c>
      <c r="J717" s="8">
        <v>20250201</v>
      </c>
      <c r="K717" s="8" t="str">
        <f t="shared" si="56"/>
        <v>2/1/2025</v>
      </c>
      <c r="L717" s="8" t="s">
        <v>65</v>
      </c>
      <c r="M717" s="8">
        <v>30</v>
      </c>
      <c r="N717" s="8">
        <v>30</v>
      </c>
      <c r="O717" s="14" t="s">
        <v>3948</v>
      </c>
    </row>
    <row r="718" spans="1:16" ht="15" customHeight="1" x14ac:dyDescent="0.3">
      <c r="A718" s="7" t="s">
        <v>3897</v>
      </c>
      <c r="B718" s="7">
        <v>9213293</v>
      </c>
      <c r="C718" s="8">
        <v>1</v>
      </c>
      <c r="D718" s="8">
        <v>921773766</v>
      </c>
      <c r="E718" s="8" t="str">
        <f t="shared" si="54"/>
        <v>92177376644</v>
      </c>
      <c r="F718" s="8" t="s">
        <v>916</v>
      </c>
      <c r="G718" s="8">
        <v>1</v>
      </c>
      <c r="H718" s="8">
        <v>20250301</v>
      </c>
      <c r="I718" s="8" t="str">
        <f t="shared" si="55"/>
        <v>3/1/2025</v>
      </c>
      <c r="J718" s="8">
        <v>20250201</v>
      </c>
      <c r="K718" s="8" t="str">
        <f t="shared" si="56"/>
        <v>2/1/2025</v>
      </c>
      <c r="L718" s="8" t="s">
        <v>65</v>
      </c>
      <c r="M718" s="8">
        <v>30</v>
      </c>
      <c r="N718" s="8">
        <v>30</v>
      </c>
      <c r="O718" s="14" t="s">
        <v>3948</v>
      </c>
    </row>
    <row r="719" spans="1:16" ht="15" customHeight="1" x14ac:dyDescent="0.3">
      <c r="A719" s="7" t="s">
        <v>3897</v>
      </c>
      <c r="B719" s="7">
        <v>9213293</v>
      </c>
      <c r="C719" s="8">
        <v>2</v>
      </c>
      <c r="D719" s="8">
        <v>921321833</v>
      </c>
      <c r="E719" s="8" t="str">
        <f t="shared" si="54"/>
        <v>92132183344</v>
      </c>
      <c r="F719" s="8" t="s">
        <v>731</v>
      </c>
      <c r="G719" s="8">
        <v>1</v>
      </c>
      <c r="H719" s="8">
        <v>20250401</v>
      </c>
      <c r="I719" s="8" t="str">
        <f t="shared" si="55"/>
        <v>4/1/2025</v>
      </c>
      <c r="J719" s="8">
        <v>20250301</v>
      </c>
      <c r="K719" s="8" t="str">
        <f t="shared" si="56"/>
        <v>3/1/2025</v>
      </c>
      <c r="L719" s="8" t="s">
        <v>65</v>
      </c>
      <c r="M719" s="8">
        <v>30</v>
      </c>
      <c r="N719" s="8">
        <v>60</v>
      </c>
      <c r="O719" s="14" t="s">
        <v>3948</v>
      </c>
      <c r="P719" s="6" t="s">
        <v>3952</v>
      </c>
    </row>
    <row r="720" spans="1:16" ht="15" customHeight="1" x14ac:dyDescent="0.3">
      <c r="A720" s="7" t="s">
        <v>3897</v>
      </c>
      <c r="B720" s="7">
        <v>9213293</v>
      </c>
      <c r="C720" s="6">
        <v>-1</v>
      </c>
      <c r="D720" s="8">
        <v>921773766</v>
      </c>
      <c r="E720" s="8" t="str">
        <f t="shared" si="54"/>
        <v>92177376644</v>
      </c>
      <c r="F720" s="8" t="s">
        <v>916</v>
      </c>
      <c r="G720" s="8">
        <v>-1</v>
      </c>
      <c r="H720" s="8">
        <v>20250301</v>
      </c>
      <c r="I720" s="8" t="str">
        <f t="shared" si="55"/>
        <v>3/1/2025</v>
      </c>
      <c r="J720" s="8">
        <v>20250201</v>
      </c>
      <c r="K720" s="8" t="str">
        <f t="shared" si="56"/>
        <v>2/1/2025</v>
      </c>
      <c r="L720" s="8" t="s">
        <v>65</v>
      </c>
      <c r="M720" s="8">
        <v>30</v>
      </c>
      <c r="N720" s="8">
        <v>-30</v>
      </c>
      <c r="O720" s="14" t="s">
        <v>3948</v>
      </c>
    </row>
    <row r="721" spans="1:16" ht="15" customHeight="1" x14ac:dyDescent="0.2">
      <c r="A721" s="7" t="s">
        <v>3897</v>
      </c>
      <c r="B721" s="7">
        <v>9213293</v>
      </c>
      <c r="C721" s="8">
        <v>1</v>
      </c>
      <c r="D721" s="8">
        <v>890371264</v>
      </c>
      <c r="E721" s="8" t="str">
        <f t="shared" ref="E721:E736" si="57">CONCATENATE(D721,55)</f>
        <v>89037126455</v>
      </c>
      <c r="F721" s="8" t="s">
        <v>681</v>
      </c>
      <c r="G721" s="8">
        <v>1</v>
      </c>
      <c r="H721" s="8">
        <v>20250401</v>
      </c>
      <c r="I721" s="8" t="str">
        <f t="shared" si="55"/>
        <v>4/1/2025</v>
      </c>
      <c r="J721" s="8">
        <v>20170101</v>
      </c>
      <c r="K721" s="8" t="str">
        <f t="shared" si="56"/>
        <v>1/1/2017</v>
      </c>
      <c r="L721" s="8" t="s">
        <v>138</v>
      </c>
      <c r="M721" s="8">
        <v>20</v>
      </c>
      <c r="N721" s="8">
        <v>20</v>
      </c>
      <c r="O721" s="6" t="s">
        <v>3946</v>
      </c>
    </row>
    <row r="722" spans="1:16" ht="15" customHeight="1" x14ac:dyDescent="0.2">
      <c r="A722" s="7" t="s">
        <v>3897</v>
      </c>
      <c r="B722" s="7">
        <v>9213293</v>
      </c>
      <c r="C722" s="8">
        <v>1</v>
      </c>
      <c r="D722" s="8">
        <v>921244967</v>
      </c>
      <c r="E722" s="8" t="str">
        <f t="shared" si="57"/>
        <v>92124496755</v>
      </c>
      <c r="F722" s="8" t="s">
        <v>719</v>
      </c>
      <c r="G722" s="8">
        <v>1</v>
      </c>
      <c r="H722" s="8">
        <v>20250401</v>
      </c>
      <c r="I722" s="8" t="str">
        <f t="shared" si="55"/>
        <v>4/1/2025</v>
      </c>
      <c r="J722" s="8">
        <v>20180101</v>
      </c>
      <c r="K722" s="8" t="str">
        <f t="shared" si="56"/>
        <v>1/1/2018</v>
      </c>
      <c r="L722" s="8" t="s">
        <v>138</v>
      </c>
      <c r="M722" s="8">
        <v>20</v>
      </c>
      <c r="N722" s="8">
        <v>20</v>
      </c>
      <c r="O722" s="6" t="s">
        <v>3946</v>
      </c>
    </row>
    <row r="723" spans="1:16" ht="15" customHeight="1" x14ac:dyDescent="0.2">
      <c r="A723" s="7" t="s">
        <v>3897</v>
      </c>
      <c r="B723" s="7">
        <v>9213293</v>
      </c>
      <c r="C723" s="8">
        <v>1</v>
      </c>
      <c r="D723" s="8">
        <v>921537511</v>
      </c>
      <c r="E723" s="8" t="str">
        <f t="shared" si="57"/>
        <v>92153751155</v>
      </c>
      <c r="F723" s="8" t="s">
        <v>788</v>
      </c>
      <c r="G723" s="8">
        <v>1</v>
      </c>
      <c r="H723" s="8">
        <v>20250401</v>
      </c>
      <c r="I723" s="8" t="str">
        <f t="shared" si="55"/>
        <v>4/1/2025</v>
      </c>
      <c r="J723" s="8">
        <v>20210101</v>
      </c>
      <c r="K723" s="8" t="str">
        <f t="shared" si="56"/>
        <v>1/1/2021</v>
      </c>
      <c r="L723" s="8" t="s">
        <v>138</v>
      </c>
      <c r="M723" s="8">
        <v>20</v>
      </c>
      <c r="N723" s="8">
        <v>20</v>
      </c>
      <c r="O723" s="6" t="s">
        <v>3946</v>
      </c>
    </row>
    <row r="724" spans="1:16" ht="15" customHeight="1" x14ac:dyDescent="0.2">
      <c r="A724" s="7" t="s">
        <v>3897</v>
      </c>
      <c r="B724" s="7">
        <v>9213293</v>
      </c>
      <c r="C724" s="8">
        <v>1</v>
      </c>
      <c r="D724" s="8">
        <v>921563142</v>
      </c>
      <c r="E724" s="8" t="str">
        <f t="shared" si="57"/>
        <v>92156314255</v>
      </c>
      <c r="F724" s="8" t="s">
        <v>797</v>
      </c>
      <c r="G724" s="8">
        <v>1</v>
      </c>
      <c r="H724" s="8">
        <v>20250201</v>
      </c>
      <c r="I724" s="8" t="str">
        <f t="shared" si="55"/>
        <v>2/1/2025</v>
      </c>
      <c r="J724" s="8">
        <v>20210401</v>
      </c>
      <c r="K724" s="8" t="str">
        <f t="shared" si="56"/>
        <v>4/1/2021</v>
      </c>
      <c r="L724" s="8" t="s">
        <v>138</v>
      </c>
      <c r="M724" s="8">
        <v>20</v>
      </c>
      <c r="N724" s="8">
        <v>20</v>
      </c>
      <c r="O724" s="6" t="s">
        <v>3946</v>
      </c>
    </row>
    <row r="725" spans="1:16" ht="15" customHeight="1" x14ac:dyDescent="0.2">
      <c r="A725" s="7" t="s">
        <v>3897</v>
      </c>
      <c r="B725" s="7">
        <v>9213293</v>
      </c>
      <c r="C725" s="8">
        <v>1</v>
      </c>
      <c r="D725" s="8">
        <v>921587989</v>
      </c>
      <c r="E725" s="8" t="str">
        <f t="shared" si="57"/>
        <v>92158798955</v>
      </c>
      <c r="F725" s="8" t="s">
        <v>812</v>
      </c>
      <c r="G725" s="8">
        <v>1</v>
      </c>
      <c r="H725" s="8">
        <v>20250401</v>
      </c>
      <c r="I725" s="8" t="str">
        <f t="shared" si="55"/>
        <v>4/1/2025</v>
      </c>
      <c r="J725" s="8">
        <v>20220101</v>
      </c>
      <c r="K725" s="8" t="str">
        <f t="shared" si="56"/>
        <v>1/1/2022</v>
      </c>
      <c r="L725" s="8" t="s">
        <v>138</v>
      </c>
      <c r="M725" s="8">
        <v>20</v>
      </c>
      <c r="N725" s="8">
        <v>20</v>
      </c>
      <c r="O725" s="6" t="s">
        <v>3946</v>
      </c>
    </row>
    <row r="726" spans="1:16" ht="15" customHeight="1" x14ac:dyDescent="0.2">
      <c r="A726" s="7" t="s">
        <v>3897</v>
      </c>
      <c r="B726" s="7">
        <v>9213293</v>
      </c>
      <c r="C726" s="8">
        <v>1</v>
      </c>
      <c r="D726" s="8">
        <v>921602893</v>
      </c>
      <c r="E726" s="8" t="str">
        <f t="shared" si="57"/>
        <v>92160289355</v>
      </c>
      <c r="F726" s="8" t="s">
        <v>822</v>
      </c>
      <c r="G726" s="8">
        <v>1</v>
      </c>
      <c r="H726" s="8">
        <v>20250401</v>
      </c>
      <c r="I726" s="8" t="str">
        <f t="shared" si="55"/>
        <v>4/1/2025</v>
      </c>
      <c r="J726" s="8">
        <v>20220201</v>
      </c>
      <c r="K726" s="8" t="str">
        <f t="shared" si="56"/>
        <v>2/1/2022</v>
      </c>
      <c r="L726" s="8" t="s">
        <v>138</v>
      </c>
      <c r="M726" s="8">
        <v>20</v>
      </c>
      <c r="N726" s="8">
        <v>20</v>
      </c>
      <c r="O726" s="6" t="s">
        <v>3946</v>
      </c>
    </row>
    <row r="727" spans="1:16" ht="15" customHeight="1" x14ac:dyDescent="0.2">
      <c r="A727" s="7" t="s">
        <v>3897</v>
      </c>
      <c r="B727" s="7">
        <v>9213293</v>
      </c>
      <c r="C727" s="8">
        <v>1</v>
      </c>
      <c r="D727" s="8">
        <v>921612575</v>
      </c>
      <c r="E727" s="8" t="str">
        <f t="shared" si="57"/>
        <v>92161257555</v>
      </c>
      <c r="F727" s="8" t="s">
        <v>827</v>
      </c>
      <c r="G727" s="8">
        <v>1</v>
      </c>
      <c r="H727" s="8">
        <v>20250401</v>
      </c>
      <c r="I727" s="8" t="str">
        <f t="shared" si="55"/>
        <v>4/1/2025</v>
      </c>
      <c r="J727" s="8">
        <v>20220501</v>
      </c>
      <c r="K727" s="8" t="str">
        <f t="shared" si="56"/>
        <v>5/1/2022</v>
      </c>
      <c r="L727" s="8" t="s">
        <v>138</v>
      </c>
      <c r="M727" s="8">
        <v>20</v>
      </c>
      <c r="N727" s="8">
        <v>20</v>
      </c>
      <c r="O727" s="6" t="s">
        <v>3946</v>
      </c>
    </row>
    <row r="728" spans="1:16" ht="15" customHeight="1" x14ac:dyDescent="0.2">
      <c r="A728" s="7" t="s">
        <v>3897</v>
      </c>
      <c r="B728" s="7">
        <v>9213293</v>
      </c>
      <c r="C728" s="8">
        <v>1</v>
      </c>
      <c r="D728" s="8">
        <v>921613480</v>
      </c>
      <c r="E728" s="8" t="str">
        <f t="shared" si="57"/>
        <v>92161348055</v>
      </c>
      <c r="F728" s="8" t="s">
        <v>831</v>
      </c>
      <c r="G728" s="8">
        <v>1</v>
      </c>
      <c r="H728" s="8">
        <v>20250401</v>
      </c>
      <c r="I728" s="8" t="str">
        <f t="shared" si="55"/>
        <v>4/1/2025</v>
      </c>
      <c r="J728" s="8">
        <v>20220601</v>
      </c>
      <c r="K728" s="8" t="str">
        <f t="shared" si="56"/>
        <v>6/1/2022</v>
      </c>
      <c r="L728" s="8" t="s">
        <v>138</v>
      </c>
      <c r="M728" s="8">
        <v>20</v>
      </c>
      <c r="N728" s="8">
        <v>20</v>
      </c>
      <c r="O728" s="6" t="s">
        <v>3946</v>
      </c>
    </row>
    <row r="729" spans="1:16" ht="15" customHeight="1" x14ac:dyDescent="0.2">
      <c r="A729" s="7" t="s">
        <v>3897</v>
      </c>
      <c r="B729" s="7">
        <v>9213293</v>
      </c>
      <c r="C729" s="8">
        <v>1</v>
      </c>
      <c r="D729" s="8">
        <v>921668515</v>
      </c>
      <c r="E729" s="8" t="str">
        <f t="shared" si="57"/>
        <v>92166851555</v>
      </c>
      <c r="F729" s="8" t="s">
        <v>860</v>
      </c>
      <c r="G729" s="8">
        <v>1</v>
      </c>
      <c r="H729" s="8">
        <v>20250401</v>
      </c>
      <c r="I729" s="8" t="str">
        <f t="shared" si="55"/>
        <v>4/1/2025</v>
      </c>
      <c r="J729" s="8">
        <v>20230901</v>
      </c>
      <c r="K729" s="8" t="str">
        <f t="shared" si="56"/>
        <v>9/1/2023</v>
      </c>
      <c r="L729" s="8" t="s">
        <v>138</v>
      </c>
      <c r="M729" s="8">
        <v>20</v>
      </c>
      <c r="N729" s="8">
        <v>20</v>
      </c>
      <c r="O729" s="6" t="s">
        <v>3946</v>
      </c>
    </row>
    <row r="730" spans="1:16" ht="15" customHeight="1" x14ac:dyDescent="0.2">
      <c r="A730" s="7" t="s">
        <v>3897</v>
      </c>
      <c r="B730" s="7">
        <v>9213293</v>
      </c>
      <c r="C730" s="8">
        <v>2</v>
      </c>
      <c r="D730" s="8">
        <v>921576876</v>
      </c>
      <c r="E730" s="8" t="str">
        <f t="shared" si="57"/>
        <v>92157687655</v>
      </c>
      <c r="F730" s="8" t="s">
        <v>806</v>
      </c>
      <c r="G730" s="8">
        <v>1</v>
      </c>
      <c r="H730" s="8">
        <v>20250401</v>
      </c>
      <c r="I730" s="8" t="str">
        <f t="shared" si="55"/>
        <v>4/1/2025</v>
      </c>
      <c r="J730" s="8">
        <v>20210801</v>
      </c>
      <c r="K730" s="8" t="str">
        <f t="shared" si="56"/>
        <v>8/1/2021</v>
      </c>
      <c r="L730" s="8" t="s">
        <v>138</v>
      </c>
      <c r="M730" s="8">
        <v>20</v>
      </c>
      <c r="N730" s="8">
        <v>40</v>
      </c>
      <c r="O730" s="6" t="s">
        <v>3946</v>
      </c>
      <c r="P730" s="6" t="s">
        <v>3952</v>
      </c>
    </row>
    <row r="731" spans="1:16" ht="15" customHeight="1" x14ac:dyDescent="0.2">
      <c r="A731" s="7" t="s">
        <v>3897</v>
      </c>
      <c r="B731" s="7">
        <v>9213293</v>
      </c>
      <c r="C731" s="8">
        <v>2</v>
      </c>
      <c r="D731" s="8">
        <v>921621668</v>
      </c>
      <c r="E731" s="8" t="str">
        <f t="shared" si="57"/>
        <v>92162166855</v>
      </c>
      <c r="F731" s="8" t="s">
        <v>835</v>
      </c>
      <c r="G731" s="8">
        <v>1</v>
      </c>
      <c r="H731" s="8">
        <v>20250401</v>
      </c>
      <c r="I731" s="8" t="str">
        <f t="shared" si="55"/>
        <v>4/1/2025</v>
      </c>
      <c r="J731" s="8">
        <v>20221001</v>
      </c>
      <c r="K731" s="8" t="str">
        <f t="shared" si="56"/>
        <v>10/1/2022</v>
      </c>
      <c r="L731" s="8" t="s">
        <v>138</v>
      </c>
      <c r="M731" s="8">
        <v>20</v>
      </c>
      <c r="N731" s="8">
        <v>40</v>
      </c>
      <c r="O731" s="6" t="s">
        <v>3946</v>
      </c>
      <c r="P731" s="6" t="s">
        <v>3952</v>
      </c>
    </row>
    <row r="732" spans="1:16" ht="15" customHeight="1" x14ac:dyDescent="0.2">
      <c r="A732" s="7" t="s">
        <v>3897</v>
      </c>
      <c r="B732" s="7">
        <v>9213293</v>
      </c>
      <c r="C732" s="8">
        <v>5</v>
      </c>
      <c r="D732" s="8">
        <v>921309084</v>
      </c>
      <c r="E732" s="8" t="str">
        <f t="shared" si="57"/>
        <v>92130908455</v>
      </c>
      <c r="F732" s="8" t="s">
        <v>727</v>
      </c>
      <c r="G732" s="8">
        <v>1</v>
      </c>
      <c r="H732" s="8">
        <v>20250401</v>
      </c>
      <c r="I732" s="8" t="str">
        <f t="shared" si="55"/>
        <v>4/1/2025</v>
      </c>
      <c r="J732" s="8">
        <v>20170101</v>
      </c>
      <c r="K732" s="8" t="str">
        <f t="shared" si="56"/>
        <v>1/1/2017</v>
      </c>
      <c r="L732" s="8" t="s">
        <v>138</v>
      </c>
      <c r="M732" s="8">
        <v>20</v>
      </c>
      <c r="N732" s="8">
        <v>100</v>
      </c>
      <c r="O732" s="6" t="s">
        <v>3946</v>
      </c>
      <c r="P732" s="6" t="s">
        <v>3955</v>
      </c>
    </row>
    <row r="733" spans="1:16" ht="15" customHeight="1" x14ac:dyDescent="0.2">
      <c r="A733" s="7" t="s">
        <v>3897</v>
      </c>
      <c r="B733" s="7">
        <v>9213293</v>
      </c>
      <c r="C733" s="8">
        <v>1</v>
      </c>
      <c r="D733" s="8">
        <v>920856141</v>
      </c>
      <c r="E733" s="8" t="str">
        <f t="shared" si="57"/>
        <v>92085614155</v>
      </c>
      <c r="F733" s="8" t="s">
        <v>695</v>
      </c>
      <c r="G733" s="8">
        <v>1</v>
      </c>
      <c r="H733" s="8">
        <v>20250401</v>
      </c>
      <c r="I733" s="8" t="str">
        <f t="shared" si="55"/>
        <v>4/1/2025</v>
      </c>
      <c r="J733" s="8">
        <v>20250101</v>
      </c>
      <c r="K733" s="8" t="str">
        <f t="shared" si="56"/>
        <v>1/1/2025</v>
      </c>
      <c r="L733" s="8" t="s">
        <v>138</v>
      </c>
      <c r="M733" s="8">
        <v>25</v>
      </c>
      <c r="N733" s="8">
        <v>25</v>
      </c>
      <c r="O733" s="6" t="s">
        <v>3946</v>
      </c>
    </row>
    <row r="734" spans="1:16" ht="15" customHeight="1" x14ac:dyDescent="0.2">
      <c r="A734" s="7" t="s">
        <v>3897</v>
      </c>
      <c r="B734" s="7">
        <v>9213293</v>
      </c>
      <c r="C734" s="8">
        <v>1</v>
      </c>
      <c r="D734" s="8">
        <v>921715402</v>
      </c>
      <c r="E734" s="8" t="str">
        <f t="shared" si="57"/>
        <v>92171540255</v>
      </c>
      <c r="F734" s="8" t="s">
        <v>886</v>
      </c>
      <c r="G734" s="8">
        <v>1</v>
      </c>
      <c r="H734" s="8">
        <v>20250401</v>
      </c>
      <c r="I734" s="8" t="str">
        <f t="shared" si="55"/>
        <v>4/1/2025</v>
      </c>
      <c r="J734" s="8">
        <v>20240401</v>
      </c>
      <c r="K734" s="8" t="str">
        <f t="shared" si="56"/>
        <v>4/1/2024</v>
      </c>
      <c r="L734" s="8" t="s">
        <v>138</v>
      </c>
      <c r="M734" s="8">
        <v>25</v>
      </c>
      <c r="N734" s="8">
        <v>25</v>
      </c>
      <c r="O734" s="6" t="s">
        <v>3946</v>
      </c>
    </row>
    <row r="735" spans="1:16" ht="15" customHeight="1" x14ac:dyDescent="0.2">
      <c r="A735" s="7" t="s">
        <v>3897</v>
      </c>
      <c r="B735" s="7">
        <v>9213293</v>
      </c>
      <c r="C735" s="8">
        <v>1</v>
      </c>
      <c r="D735" s="8">
        <v>921733363</v>
      </c>
      <c r="E735" s="8" t="str">
        <f t="shared" si="57"/>
        <v>92173336355</v>
      </c>
      <c r="F735" s="8" t="s">
        <v>888</v>
      </c>
      <c r="G735" s="8">
        <v>1</v>
      </c>
      <c r="H735" s="8">
        <v>20250401</v>
      </c>
      <c r="I735" s="8" t="str">
        <f t="shared" si="55"/>
        <v>4/1/2025</v>
      </c>
      <c r="J735" s="8">
        <v>20240901</v>
      </c>
      <c r="K735" s="8" t="str">
        <f t="shared" si="56"/>
        <v>9/1/2024</v>
      </c>
      <c r="L735" s="8" t="s">
        <v>138</v>
      </c>
      <c r="M735" s="8">
        <v>25</v>
      </c>
      <c r="N735" s="8">
        <v>25</v>
      </c>
      <c r="O735" s="6" t="s">
        <v>3946</v>
      </c>
    </row>
    <row r="736" spans="1:16" ht="15" customHeight="1" x14ac:dyDescent="0.2">
      <c r="A736" s="7" t="s">
        <v>3897</v>
      </c>
      <c r="B736" s="7">
        <v>9213293</v>
      </c>
      <c r="C736" s="8">
        <v>1</v>
      </c>
      <c r="D736" s="8">
        <v>921755338</v>
      </c>
      <c r="E736" s="8" t="str">
        <f t="shared" si="57"/>
        <v>92175533855</v>
      </c>
      <c r="F736" s="8" t="s">
        <v>898</v>
      </c>
      <c r="G736" s="8">
        <v>1</v>
      </c>
      <c r="H736" s="8">
        <v>20250401</v>
      </c>
      <c r="I736" s="8" t="str">
        <f t="shared" si="55"/>
        <v>4/1/2025</v>
      </c>
      <c r="J736" s="8">
        <v>20250101</v>
      </c>
      <c r="K736" s="8" t="str">
        <f t="shared" si="56"/>
        <v>1/1/2025</v>
      </c>
      <c r="L736" s="8" t="s">
        <v>138</v>
      </c>
      <c r="M736" s="8">
        <v>25</v>
      </c>
      <c r="N736" s="8">
        <v>25</v>
      </c>
      <c r="O736" s="6" t="s">
        <v>3946</v>
      </c>
    </row>
    <row r="737" spans="1:16" ht="15" customHeight="1" x14ac:dyDescent="0.2">
      <c r="A737" s="7" t="s">
        <v>3897</v>
      </c>
      <c r="B737" s="7">
        <v>9213293</v>
      </c>
      <c r="D737" s="8">
        <v>921387647</v>
      </c>
      <c r="E737" s="8" t="str">
        <f>CONCATENATE(1,D737)</f>
        <v>1921387647</v>
      </c>
      <c r="F737" s="8" t="s">
        <v>756</v>
      </c>
      <c r="G737" s="8">
        <v>29.75</v>
      </c>
      <c r="H737" s="8">
        <v>20250401</v>
      </c>
      <c r="I737" s="8" t="str">
        <f t="shared" si="55"/>
        <v>4/1/2025</v>
      </c>
      <c r="J737" s="8">
        <v>20250101</v>
      </c>
      <c r="K737" s="8" t="str">
        <f t="shared" si="56"/>
        <v>1/1/2025</v>
      </c>
      <c r="L737" s="8" t="s">
        <v>116</v>
      </c>
      <c r="M737" s="8">
        <v>0.04</v>
      </c>
      <c r="N737" s="8">
        <v>1.19</v>
      </c>
      <c r="O737" s="6" t="s">
        <v>3938</v>
      </c>
    </row>
    <row r="738" spans="1:16" ht="15" customHeight="1" x14ac:dyDescent="0.2">
      <c r="A738" s="7" t="s">
        <v>3897</v>
      </c>
      <c r="B738" s="7">
        <v>9213293</v>
      </c>
      <c r="D738" s="8">
        <v>921542136</v>
      </c>
      <c r="E738" s="8" t="str">
        <f>CONCATENATE(1,D738)</f>
        <v>1921542136</v>
      </c>
      <c r="F738" s="8" t="s">
        <v>793</v>
      </c>
      <c r="G738" s="8">
        <v>35.729999999999997</v>
      </c>
      <c r="H738" s="8">
        <v>20250401</v>
      </c>
      <c r="I738" s="8" t="str">
        <f t="shared" si="55"/>
        <v>4/1/2025</v>
      </c>
      <c r="J738" s="8">
        <v>20250101</v>
      </c>
      <c r="K738" s="8" t="str">
        <f t="shared" si="56"/>
        <v>1/1/2025</v>
      </c>
      <c r="L738" s="8" t="s">
        <v>116</v>
      </c>
      <c r="M738" s="8">
        <v>0.04</v>
      </c>
      <c r="N738" s="8">
        <v>1.43</v>
      </c>
      <c r="O738" s="6" t="s">
        <v>3938</v>
      </c>
    </row>
    <row r="739" spans="1:16" ht="15" customHeight="1" x14ac:dyDescent="0.2">
      <c r="A739" s="7" t="s">
        <v>3897</v>
      </c>
      <c r="B739" s="7">
        <v>9213293</v>
      </c>
      <c r="D739" s="8">
        <v>957201189</v>
      </c>
      <c r="E739" s="8" t="str">
        <f t="shared" ref="E739:E745" si="58">CONCATENATE(D739,7)</f>
        <v>9572011897</v>
      </c>
      <c r="F739" s="8" t="s">
        <v>672</v>
      </c>
      <c r="G739" s="8">
        <v>132.47</v>
      </c>
      <c r="H739" s="8">
        <v>20250301</v>
      </c>
      <c r="I739" s="8" t="str">
        <f t="shared" si="55"/>
        <v>3/1/2025</v>
      </c>
      <c r="J739" s="8">
        <v>20250101</v>
      </c>
      <c r="K739" s="8" t="str">
        <f t="shared" si="56"/>
        <v>1/1/2025</v>
      </c>
      <c r="L739" s="8" t="s">
        <v>398</v>
      </c>
      <c r="M739" s="8">
        <v>0.1</v>
      </c>
      <c r="N739" s="8">
        <v>13.25</v>
      </c>
      <c r="O739" s="6" t="s">
        <v>3942</v>
      </c>
    </row>
    <row r="740" spans="1:16" ht="15" customHeight="1" x14ac:dyDescent="0.2">
      <c r="A740" s="7" t="s">
        <v>3897</v>
      </c>
      <c r="B740" s="7">
        <v>9213293</v>
      </c>
      <c r="D740" s="8">
        <v>957192789</v>
      </c>
      <c r="E740" s="8" t="str">
        <f t="shared" si="58"/>
        <v>9571927897</v>
      </c>
      <c r="F740" s="8" t="s">
        <v>667</v>
      </c>
      <c r="G740" s="8">
        <v>153.24</v>
      </c>
      <c r="H740" s="8">
        <v>20250301</v>
      </c>
      <c r="I740" s="8" t="str">
        <f t="shared" si="55"/>
        <v>3/1/2025</v>
      </c>
      <c r="J740" s="8">
        <v>20241201</v>
      </c>
      <c r="K740" s="8" t="str">
        <f t="shared" si="56"/>
        <v>12/1/2024</v>
      </c>
      <c r="L740" s="8" t="s">
        <v>398</v>
      </c>
      <c r="M740" s="8">
        <v>0.1</v>
      </c>
      <c r="N740" s="8">
        <v>15.32</v>
      </c>
      <c r="O740" s="6" t="s">
        <v>3942</v>
      </c>
    </row>
    <row r="741" spans="1:16" ht="15" customHeight="1" x14ac:dyDescent="0.2">
      <c r="A741" s="7" t="s">
        <v>3897</v>
      </c>
      <c r="B741" s="7">
        <v>9213293</v>
      </c>
      <c r="D741" s="8">
        <v>957183406</v>
      </c>
      <c r="E741" s="8" t="str">
        <f t="shared" si="58"/>
        <v>9571834067</v>
      </c>
      <c r="F741" s="8" t="s">
        <v>939</v>
      </c>
      <c r="G741" s="8">
        <v>153.68</v>
      </c>
      <c r="H741" s="8">
        <v>20250301</v>
      </c>
      <c r="I741" s="8" t="str">
        <f t="shared" si="55"/>
        <v>3/1/2025</v>
      </c>
      <c r="J741" s="8">
        <v>20240901</v>
      </c>
      <c r="K741" s="8" t="str">
        <f t="shared" si="56"/>
        <v>9/1/2024</v>
      </c>
      <c r="L741" s="8" t="s">
        <v>398</v>
      </c>
      <c r="M741" s="8">
        <v>0.1</v>
      </c>
      <c r="N741" s="8">
        <v>15.37</v>
      </c>
      <c r="O741" s="6" t="s">
        <v>3942</v>
      </c>
    </row>
    <row r="742" spans="1:16" ht="15" customHeight="1" x14ac:dyDescent="0.2">
      <c r="A742" s="7" t="s">
        <v>3897</v>
      </c>
      <c r="B742" s="7">
        <v>9213293</v>
      </c>
      <c r="D742" s="8">
        <v>957180862</v>
      </c>
      <c r="E742" s="8" t="str">
        <f t="shared" si="58"/>
        <v>9571808627</v>
      </c>
      <c r="F742" s="8" t="s">
        <v>932</v>
      </c>
      <c r="G742" s="8">
        <v>203.74</v>
      </c>
      <c r="H742" s="8">
        <v>20250327</v>
      </c>
      <c r="I742" s="8" t="str">
        <f t="shared" si="55"/>
        <v>3/27/2025</v>
      </c>
      <c r="J742" s="8">
        <v>20240727</v>
      </c>
      <c r="K742" s="8" t="str">
        <f t="shared" si="56"/>
        <v>7/27/2024</v>
      </c>
      <c r="L742" s="8" t="s">
        <v>398</v>
      </c>
      <c r="M742" s="8">
        <v>0.1</v>
      </c>
      <c r="N742" s="8">
        <v>20.37</v>
      </c>
      <c r="O742" s="6" t="s">
        <v>3942</v>
      </c>
    </row>
    <row r="743" spans="1:16" ht="15" customHeight="1" x14ac:dyDescent="0.2">
      <c r="A743" s="7" t="s">
        <v>3897</v>
      </c>
      <c r="B743" s="7">
        <v>9213293</v>
      </c>
      <c r="D743" s="8">
        <v>957189455</v>
      </c>
      <c r="E743" s="8" t="str">
        <f t="shared" si="58"/>
        <v>9571894557</v>
      </c>
      <c r="F743" s="8" t="s">
        <v>943</v>
      </c>
      <c r="G743" s="8">
        <v>220.05</v>
      </c>
      <c r="H743" s="8">
        <v>20250301</v>
      </c>
      <c r="I743" s="8" t="str">
        <f t="shared" si="55"/>
        <v>3/1/2025</v>
      </c>
      <c r="J743" s="8">
        <v>20250101</v>
      </c>
      <c r="K743" s="8" t="str">
        <f t="shared" si="56"/>
        <v>1/1/2025</v>
      </c>
      <c r="L743" s="8" t="s">
        <v>398</v>
      </c>
      <c r="M743" s="8">
        <v>0.1</v>
      </c>
      <c r="N743" s="8">
        <v>22.01</v>
      </c>
      <c r="O743" s="6" t="s">
        <v>3942</v>
      </c>
    </row>
    <row r="744" spans="1:16" ht="15" customHeight="1" x14ac:dyDescent="0.2">
      <c r="A744" s="7" t="s">
        <v>3897</v>
      </c>
      <c r="B744" s="7">
        <v>9213293</v>
      </c>
      <c r="D744" s="8">
        <v>957201165</v>
      </c>
      <c r="E744" s="8" t="str">
        <f t="shared" si="58"/>
        <v>9572011657</v>
      </c>
      <c r="F744" s="8" t="s">
        <v>963</v>
      </c>
      <c r="G744" s="8">
        <v>226.47</v>
      </c>
      <c r="H744" s="8">
        <v>20250301</v>
      </c>
      <c r="I744" s="8" t="str">
        <f t="shared" si="55"/>
        <v>3/1/2025</v>
      </c>
      <c r="J744" s="8">
        <v>20250101</v>
      </c>
      <c r="K744" s="8" t="str">
        <f t="shared" si="56"/>
        <v>1/1/2025</v>
      </c>
      <c r="L744" s="8" t="s">
        <v>398</v>
      </c>
      <c r="M744" s="8">
        <v>0.1</v>
      </c>
      <c r="N744" s="8">
        <v>22.65</v>
      </c>
      <c r="O744" s="6" t="s">
        <v>3942</v>
      </c>
    </row>
    <row r="745" spans="1:16" ht="15" customHeight="1" x14ac:dyDescent="0.2">
      <c r="A745" s="7" t="s">
        <v>3897</v>
      </c>
      <c r="B745" s="7">
        <v>9213293</v>
      </c>
      <c r="D745" s="8">
        <v>957132161</v>
      </c>
      <c r="E745" s="8" t="str">
        <f t="shared" si="58"/>
        <v>9571321617</v>
      </c>
      <c r="F745" s="8" t="s">
        <v>928</v>
      </c>
      <c r="G745" s="8">
        <v>255.25</v>
      </c>
      <c r="H745" s="8">
        <v>20250315</v>
      </c>
      <c r="I745" s="8" t="str">
        <f t="shared" si="55"/>
        <v>3/15/2025</v>
      </c>
      <c r="J745" s="8">
        <v>20241015</v>
      </c>
      <c r="K745" s="8" t="str">
        <f t="shared" si="56"/>
        <v>10/15/2024</v>
      </c>
      <c r="L745" s="8" t="s">
        <v>398</v>
      </c>
      <c r="M745" s="8">
        <v>0.1</v>
      </c>
      <c r="N745" s="8">
        <v>25.53</v>
      </c>
      <c r="O745" s="6" t="s">
        <v>3942</v>
      </c>
    </row>
    <row r="746" spans="1:16" ht="15" customHeight="1" x14ac:dyDescent="0.2">
      <c r="A746" s="7" t="s">
        <v>3897</v>
      </c>
      <c r="B746" s="7">
        <v>9213293</v>
      </c>
      <c r="D746" s="8">
        <v>957196513</v>
      </c>
      <c r="E746" s="8" t="str">
        <f>CONCATENATE(D746,8)</f>
        <v>9571965138</v>
      </c>
      <c r="F746" s="8" t="s">
        <v>950</v>
      </c>
      <c r="G746" s="8">
        <v>329.94</v>
      </c>
      <c r="H746" s="8">
        <v>20250322</v>
      </c>
      <c r="I746" s="8" t="str">
        <f t="shared" si="55"/>
        <v>3/22/2025</v>
      </c>
      <c r="J746" s="8">
        <v>20241122</v>
      </c>
      <c r="K746" s="8" t="str">
        <f t="shared" si="56"/>
        <v>11/22/2024</v>
      </c>
      <c r="L746" s="8" t="s">
        <v>924</v>
      </c>
      <c r="M746" s="8">
        <v>0.05</v>
      </c>
      <c r="N746" s="8">
        <v>16.5</v>
      </c>
      <c r="O746" s="6" t="s">
        <v>3939</v>
      </c>
    </row>
    <row r="747" spans="1:16" ht="15" customHeight="1" x14ac:dyDescent="0.2">
      <c r="A747" s="7" t="s">
        <v>3897</v>
      </c>
      <c r="B747" s="7">
        <v>9213293</v>
      </c>
      <c r="D747" s="8">
        <v>957132147</v>
      </c>
      <c r="E747" s="8" t="str">
        <f>CONCATENATE(D747,8)</f>
        <v>9571321478</v>
      </c>
      <c r="F747" s="8" t="s">
        <v>920</v>
      </c>
      <c r="G747" s="8">
        <v>352.54</v>
      </c>
      <c r="H747" s="8">
        <v>20250315</v>
      </c>
      <c r="I747" s="8" t="str">
        <f t="shared" si="55"/>
        <v>3/15/2025</v>
      </c>
      <c r="J747" s="8">
        <v>20241015</v>
      </c>
      <c r="K747" s="8" t="str">
        <f t="shared" si="56"/>
        <v>10/15/2024</v>
      </c>
      <c r="L747" s="8" t="s">
        <v>924</v>
      </c>
      <c r="M747" s="8">
        <v>0.05</v>
      </c>
      <c r="N747" s="8">
        <v>17.63</v>
      </c>
      <c r="O747" s="6" t="s">
        <v>3939</v>
      </c>
    </row>
    <row r="748" spans="1:16" ht="15" customHeight="1" x14ac:dyDescent="0.2">
      <c r="A748" s="7" t="s">
        <v>3897</v>
      </c>
      <c r="B748" s="7">
        <v>9213293</v>
      </c>
      <c r="D748" s="8">
        <v>957198166</v>
      </c>
      <c r="E748" s="8" t="str">
        <f>CONCATENATE(D748,0)</f>
        <v>9571981660</v>
      </c>
      <c r="F748" s="8" t="s">
        <v>957</v>
      </c>
      <c r="G748" s="8">
        <v>296.52</v>
      </c>
      <c r="H748" s="8">
        <v>20250301</v>
      </c>
      <c r="I748" s="8" t="str">
        <f t="shared" si="55"/>
        <v>3/1/2025</v>
      </c>
      <c r="J748" s="8">
        <v>20250101</v>
      </c>
      <c r="K748" s="8" t="str">
        <f t="shared" si="56"/>
        <v>1/1/2025</v>
      </c>
      <c r="L748" s="8" t="s">
        <v>959</v>
      </c>
      <c r="M748" s="8">
        <v>0.09</v>
      </c>
      <c r="N748" s="8">
        <v>26.69</v>
      </c>
      <c r="O748" s="12" t="s">
        <v>3941</v>
      </c>
    </row>
    <row r="749" spans="1:16" ht="15" customHeight="1" x14ac:dyDescent="0.2">
      <c r="A749" s="7" t="s">
        <v>3922</v>
      </c>
      <c r="B749" s="7">
        <v>17094718</v>
      </c>
      <c r="C749" s="8">
        <v>1</v>
      </c>
      <c r="D749" s="8">
        <v>921679009</v>
      </c>
      <c r="E749" s="8" t="str">
        <f>CONCATENATE(D749,22)</f>
        <v>92167900922</v>
      </c>
      <c r="F749" s="8" t="s">
        <v>3401</v>
      </c>
      <c r="G749" s="8">
        <v>1</v>
      </c>
      <c r="H749" s="8">
        <v>20250401</v>
      </c>
      <c r="I749" s="8" t="str">
        <f t="shared" si="55"/>
        <v>4/1/2025</v>
      </c>
      <c r="J749" s="8">
        <v>20231201</v>
      </c>
      <c r="K749" s="8" t="str">
        <f t="shared" si="56"/>
        <v>12/1/2023</v>
      </c>
      <c r="L749" s="8" t="s">
        <v>56</v>
      </c>
      <c r="M749" s="8">
        <v>20</v>
      </c>
      <c r="N749" s="8">
        <v>20</v>
      </c>
      <c r="O749" s="6" t="s">
        <v>3947</v>
      </c>
    </row>
    <row r="750" spans="1:16" ht="15" customHeight="1" x14ac:dyDescent="0.2">
      <c r="A750" s="7" t="s">
        <v>3922</v>
      </c>
      <c r="B750" s="7">
        <v>17094718</v>
      </c>
      <c r="C750" s="8">
        <v>1</v>
      </c>
      <c r="D750" s="8">
        <v>921767270</v>
      </c>
      <c r="E750" s="8" t="str">
        <f>CONCATENATE(D750,33)</f>
        <v>92176727033</v>
      </c>
      <c r="F750" s="8" t="s">
        <v>3403</v>
      </c>
      <c r="G750" s="8">
        <v>1</v>
      </c>
      <c r="H750" s="8">
        <v>20250401</v>
      </c>
      <c r="I750" s="8" t="str">
        <f t="shared" si="55"/>
        <v>4/1/2025</v>
      </c>
      <c r="J750" s="8">
        <v>20250101</v>
      </c>
      <c r="K750" s="8" t="str">
        <f t="shared" si="56"/>
        <v>1/1/2025</v>
      </c>
      <c r="L750" s="8" t="s">
        <v>198</v>
      </c>
      <c r="M750" s="8">
        <v>20</v>
      </c>
      <c r="N750" s="8">
        <v>20</v>
      </c>
      <c r="O750" s="6" t="s">
        <v>3950</v>
      </c>
    </row>
    <row r="751" spans="1:16" ht="15" customHeight="1" x14ac:dyDescent="0.2">
      <c r="A751" s="7" t="s">
        <v>3922</v>
      </c>
      <c r="B751" s="7">
        <v>17094718</v>
      </c>
      <c r="C751" s="8">
        <v>1</v>
      </c>
      <c r="D751" s="8">
        <v>921767270</v>
      </c>
      <c r="E751" s="8" t="str">
        <f>CONCATENATE(D751,33)</f>
        <v>92176727033</v>
      </c>
      <c r="F751" s="8" t="s">
        <v>3403</v>
      </c>
      <c r="G751" s="8">
        <v>1</v>
      </c>
      <c r="H751" s="8">
        <v>20250301</v>
      </c>
      <c r="I751" s="8" t="str">
        <f t="shared" si="55"/>
        <v>3/1/2025</v>
      </c>
      <c r="J751" s="8">
        <v>20250101</v>
      </c>
      <c r="K751" s="8" t="str">
        <f t="shared" si="56"/>
        <v>1/1/2025</v>
      </c>
      <c r="L751" s="8" t="s">
        <v>198</v>
      </c>
      <c r="M751" s="8">
        <v>20</v>
      </c>
      <c r="N751" s="8">
        <v>20</v>
      </c>
      <c r="O751" s="6" t="s">
        <v>3950</v>
      </c>
    </row>
    <row r="752" spans="1:16" ht="15" customHeight="1" x14ac:dyDescent="0.2">
      <c r="A752" s="7" t="s">
        <v>3922</v>
      </c>
      <c r="B752" s="7">
        <v>17094718</v>
      </c>
      <c r="C752" s="15">
        <v>1</v>
      </c>
      <c r="D752" s="15">
        <v>804503567</v>
      </c>
      <c r="E752" s="8" t="str">
        <f>CONCATENATE(D752,99)</f>
        <v>80450356799</v>
      </c>
      <c r="F752" s="15" t="s">
        <v>3397</v>
      </c>
      <c r="G752" s="15">
        <v>1</v>
      </c>
      <c r="H752" s="15">
        <v>20250401</v>
      </c>
      <c r="I752" s="8" t="str">
        <f t="shared" si="55"/>
        <v>4/1/2025</v>
      </c>
      <c r="J752" s="15">
        <v>20250301</v>
      </c>
      <c r="K752" s="8" t="str">
        <f t="shared" si="56"/>
        <v>3/1/2025</v>
      </c>
      <c r="L752" s="15" t="s">
        <v>45</v>
      </c>
      <c r="N752" s="15">
        <v>260.83</v>
      </c>
      <c r="O752" s="6" t="s">
        <v>3949</v>
      </c>
      <c r="P752" s="6" t="s">
        <v>3957</v>
      </c>
    </row>
    <row r="753" spans="1:15" ht="15" customHeight="1" x14ac:dyDescent="0.2">
      <c r="A753" s="7" t="s">
        <v>3922</v>
      </c>
      <c r="B753" s="7">
        <v>17094718</v>
      </c>
      <c r="D753" s="8">
        <v>957187508</v>
      </c>
      <c r="E753" s="8" t="str">
        <f>CONCATENATE(D753,7)</f>
        <v>9571875087</v>
      </c>
      <c r="F753" s="8" t="s">
        <v>3405</v>
      </c>
      <c r="G753" s="8">
        <v>246.25</v>
      </c>
      <c r="H753" s="8">
        <v>20250301</v>
      </c>
      <c r="I753" s="8" t="str">
        <f t="shared" si="55"/>
        <v>3/1/2025</v>
      </c>
      <c r="J753" s="8">
        <v>20250101</v>
      </c>
      <c r="K753" s="8" t="str">
        <f t="shared" si="56"/>
        <v>1/1/2025</v>
      </c>
      <c r="L753" s="8" t="s">
        <v>398</v>
      </c>
      <c r="M753" s="8">
        <v>0.1</v>
      </c>
      <c r="N753" s="8">
        <v>24.63</v>
      </c>
      <c r="O753" s="6" t="s">
        <v>3942</v>
      </c>
    </row>
    <row r="754" spans="1:15" ht="15" customHeight="1" x14ac:dyDescent="0.2">
      <c r="A754" s="7" t="s">
        <v>3890</v>
      </c>
      <c r="B754" s="7">
        <v>8307933</v>
      </c>
      <c r="C754" s="8">
        <v>1</v>
      </c>
      <c r="D754" s="8">
        <v>890675110</v>
      </c>
      <c r="E754" s="8" t="str">
        <f t="shared" ref="E754:E792" si="59">CONCATENATE(D754,22)</f>
        <v>89067511022</v>
      </c>
      <c r="F754" s="8" t="s">
        <v>143</v>
      </c>
      <c r="G754" s="8">
        <v>1</v>
      </c>
      <c r="H754" s="8">
        <v>20250401</v>
      </c>
      <c r="I754" s="8" t="str">
        <f t="shared" si="55"/>
        <v>4/1/2025</v>
      </c>
      <c r="J754" s="8">
        <v>20200601</v>
      </c>
      <c r="K754" s="8" t="str">
        <f t="shared" si="56"/>
        <v>6/1/2020</v>
      </c>
      <c r="L754" s="8" t="s">
        <v>56</v>
      </c>
      <c r="M754" s="8">
        <v>20</v>
      </c>
      <c r="N754" s="8">
        <v>20</v>
      </c>
      <c r="O754" s="6" t="s">
        <v>3947</v>
      </c>
    </row>
    <row r="755" spans="1:15" ht="15" customHeight="1" x14ac:dyDescent="0.2">
      <c r="A755" s="7" t="s">
        <v>3890</v>
      </c>
      <c r="B755" s="7">
        <v>8307933</v>
      </c>
      <c r="C755" s="8">
        <v>1</v>
      </c>
      <c r="D755" s="8">
        <v>920802434</v>
      </c>
      <c r="E755" s="8" t="str">
        <f t="shared" si="59"/>
        <v>92080243422</v>
      </c>
      <c r="F755" s="8" t="s">
        <v>154</v>
      </c>
      <c r="G755" s="8">
        <v>1</v>
      </c>
      <c r="H755" s="8">
        <v>20250401</v>
      </c>
      <c r="I755" s="8" t="str">
        <f t="shared" si="55"/>
        <v>4/1/2025</v>
      </c>
      <c r="J755" s="8">
        <v>20230101</v>
      </c>
      <c r="K755" s="8" t="str">
        <f t="shared" si="56"/>
        <v>1/1/2023</v>
      </c>
      <c r="L755" s="8" t="s">
        <v>56</v>
      </c>
      <c r="M755" s="8">
        <v>20</v>
      </c>
      <c r="N755" s="8">
        <v>20</v>
      </c>
      <c r="O755" s="6" t="s">
        <v>3947</v>
      </c>
    </row>
    <row r="756" spans="1:15" ht="15" customHeight="1" x14ac:dyDescent="0.2">
      <c r="A756" s="7" t="s">
        <v>3890</v>
      </c>
      <c r="B756" s="7">
        <v>8307933</v>
      </c>
      <c r="C756" s="8">
        <v>1</v>
      </c>
      <c r="D756" s="8">
        <v>920816684</v>
      </c>
      <c r="E756" s="8" t="str">
        <f t="shared" si="59"/>
        <v>92081668422</v>
      </c>
      <c r="F756" s="8" t="s">
        <v>156</v>
      </c>
      <c r="G756" s="8">
        <v>1</v>
      </c>
      <c r="H756" s="8">
        <v>20250401</v>
      </c>
      <c r="I756" s="8" t="str">
        <f t="shared" si="55"/>
        <v>4/1/2025</v>
      </c>
      <c r="J756" s="8">
        <v>20210101</v>
      </c>
      <c r="K756" s="8" t="str">
        <f t="shared" si="56"/>
        <v>1/1/2021</v>
      </c>
      <c r="L756" s="8" t="s">
        <v>56</v>
      </c>
      <c r="M756" s="8">
        <v>20</v>
      </c>
      <c r="N756" s="8">
        <v>20</v>
      </c>
      <c r="O756" s="6" t="s">
        <v>3947</v>
      </c>
    </row>
    <row r="757" spans="1:15" ht="15" customHeight="1" x14ac:dyDescent="0.2">
      <c r="A757" s="7" t="s">
        <v>3890</v>
      </c>
      <c r="B757" s="7">
        <v>8307933</v>
      </c>
      <c r="C757" s="8">
        <v>1</v>
      </c>
      <c r="D757" s="8">
        <v>921054949</v>
      </c>
      <c r="E757" s="8" t="str">
        <f t="shared" si="59"/>
        <v>92105494922</v>
      </c>
      <c r="F757" s="8" t="s">
        <v>171</v>
      </c>
      <c r="G757" s="8">
        <v>1</v>
      </c>
      <c r="H757" s="8">
        <v>20250301</v>
      </c>
      <c r="I757" s="8" t="str">
        <f t="shared" si="55"/>
        <v>3/1/2025</v>
      </c>
      <c r="J757" s="8">
        <v>20210101</v>
      </c>
      <c r="K757" s="8" t="str">
        <f t="shared" si="56"/>
        <v>1/1/2021</v>
      </c>
      <c r="L757" s="8" t="s">
        <v>56</v>
      </c>
      <c r="M757" s="8">
        <v>20</v>
      </c>
      <c r="N757" s="8">
        <v>20</v>
      </c>
      <c r="O757" s="6" t="s">
        <v>3947</v>
      </c>
    </row>
    <row r="758" spans="1:15" ht="15" customHeight="1" x14ac:dyDescent="0.2">
      <c r="A758" s="7" t="s">
        <v>3890</v>
      </c>
      <c r="B758" s="7">
        <v>8307933</v>
      </c>
      <c r="C758" s="8">
        <v>1</v>
      </c>
      <c r="D758" s="8">
        <v>921108007</v>
      </c>
      <c r="E758" s="8" t="str">
        <f t="shared" si="59"/>
        <v>92110800722</v>
      </c>
      <c r="F758" s="8" t="s">
        <v>176</v>
      </c>
      <c r="G758" s="8">
        <v>1</v>
      </c>
      <c r="H758" s="8">
        <v>20250401</v>
      </c>
      <c r="I758" s="8" t="str">
        <f t="shared" si="55"/>
        <v>4/1/2025</v>
      </c>
      <c r="J758" s="8">
        <v>20150301</v>
      </c>
      <c r="K758" s="8" t="str">
        <f t="shared" si="56"/>
        <v>3/1/2015</v>
      </c>
      <c r="L758" s="8" t="s">
        <v>56</v>
      </c>
      <c r="M758" s="8">
        <v>20</v>
      </c>
      <c r="N758" s="8">
        <v>20</v>
      </c>
      <c r="O758" s="6" t="s">
        <v>3947</v>
      </c>
    </row>
    <row r="759" spans="1:15" ht="15" customHeight="1" x14ac:dyDescent="0.2">
      <c r="A759" s="7" t="s">
        <v>3890</v>
      </c>
      <c r="B759" s="7">
        <v>8307933</v>
      </c>
      <c r="C759" s="8">
        <v>1</v>
      </c>
      <c r="D759" s="8">
        <v>921341816</v>
      </c>
      <c r="E759" s="8" t="str">
        <f t="shared" si="59"/>
        <v>92134181622</v>
      </c>
      <c r="F759" s="8" t="s">
        <v>208</v>
      </c>
      <c r="G759" s="8">
        <v>1</v>
      </c>
      <c r="H759" s="8">
        <v>20250401</v>
      </c>
      <c r="I759" s="8" t="str">
        <f t="shared" si="55"/>
        <v>4/1/2025</v>
      </c>
      <c r="J759" s="8">
        <v>20210601</v>
      </c>
      <c r="K759" s="8" t="str">
        <f t="shared" si="56"/>
        <v>6/1/2021</v>
      </c>
      <c r="L759" s="8" t="s">
        <v>56</v>
      </c>
      <c r="M759" s="8">
        <v>20</v>
      </c>
      <c r="N759" s="8">
        <v>20</v>
      </c>
      <c r="O759" s="6" t="s">
        <v>3947</v>
      </c>
    </row>
    <row r="760" spans="1:15" ht="15" customHeight="1" x14ac:dyDescent="0.2">
      <c r="A760" s="7" t="s">
        <v>3890</v>
      </c>
      <c r="B760" s="7">
        <v>8307933</v>
      </c>
      <c r="C760" s="8">
        <v>1</v>
      </c>
      <c r="D760" s="8">
        <v>921372570</v>
      </c>
      <c r="E760" s="8" t="str">
        <f t="shared" si="59"/>
        <v>92137257022</v>
      </c>
      <c r="F760" s="8" t="s">
        <v>212</v>
      </c>
      <c r="G760" s="8">
        <v>1</v>
      </c>
      <c r="H760" s="8">
        <v>20250301</v>
      </c>
      <c r="I760" s="8" t="str">
        <f t="shared" si="55"/>
        <v>3/1/2025</v>
      </c>
      <c r="J760" s="8">
        <v>20180101</v>
      </c>
      <c r="K760" s="8" t="str">
        <f t="shared" si="56"/>
        <v>1/1/2018</v>
      </c>
      <c r="L760" s="8" t="s">
        <v>56</v>
      </c>
      <c r="M760" s="8">
        <v>20</v>
      </c>
      <c r="N760" s="8">
        <v>20</v>
      </c>
      <c r="O760" s="6" t="s">
        <v>3947</v>
      </c>
    </row>
    <row r="761" spans="1:15" ht="15" customHeight="1" x14ac:dyDescent="0.2">
      <c r="A761" s="7" t="s">
        <v>3890</v>
      </c>
      <c r="B761" s="7">
        <v>8307933</v>
      </c>
      <c r="C761" s="8">
        <v>1</v>
      </c>
      <c r="D761" s="8">
        <v>921471284</v>
      </c>
      <c r="E761" s="8" t="str">
        <f t="shared" si="59"/>
        <v>92147128422</v>
      </c>
      <c r="F761" s="8" t="s">
        <v>220</v>
      </c>
      <c r="G761" s="8">
        <v>1</v>
      </c>
      <c r="H761" s="8">
        <v>20250401</v>
      </c>
      <c r="I761" s="8" t="str">
        <f t="shared" si="55"/>
        <v>4/1/2025</v>
      </c>
      <c r="J761" s="8">
        <v>20190501</v>
      </c>
      <c r="K761" s="8" t="str">
        <f t="shared" si="56"/>
        <v>5/1/2019</v>
      </c>
      <c r="L761" s="8" t="s">
        <v>56</v>
      </c>
      <c r="M761" s="8">
        <v>20</v>
      </c>
      <c r="N761" s="8">
        <v>20</v>
      </c>
      <c r="O761" s="6" t="s">
        <v>3947</v>
      </c>
    </row>
    <row r="762" spans="1:15" ht="15" customHeight="1" x14ac:dyDescent="0.2">
      <c r="A762" s="7" t="s">
        <v>3890</v>
      </c>
      <c r="B762" s="7">
        <v>8307933</v>
      </c>
      <c r="C762" s="8">
        <v>1</v>
      </c>
      <c r="D762" s="8">
        <v>921531868</v>
      </c>
      <c r="E762" s="8" t="str">
        <f t="shared" si="59"/>
        <v>92153186822</v>
      </c>
      <c r="F762" s="8" t="s">
        <v>238</v>
      </c>
      <c r="G762" s="8">
        <v>1</v>
      </c>
      <c r="H762" s="8">
        <v>20250401</v>
      </c>
      <c r="I762" s="8" t="str">
        <f t="shared" si="55"/>
        <v>4/1/2025</v>
      </c>
      <c r="J762" s="8">
        <v>20201101</v>
      </c>
      <c r="K762" s="8" t="str">
        <f t="shared" si="56"/>
        <v>11/1/2020</v>
      </c>
      <c r="L762" s="8" t="s">
        <v>56</v>
      </c>
      <c r="M762" s="8">
        <v>20</v>
      </c>
      <c r="N762" s="8">
        <v>20</v>
      </c>
      <c r="O762" s="6" t="s">
        <v>3947</v>
      </c>
    </row>
    <row r="763" spans="1:15" ht="15" customHeight="1" x14ac:dyDescent="0.2">
      <c r="A763" s="7" t="s">
        <v>3890</v>
      </c>
      <c r="B763" s="7">
        <v>8307933</v>
      </c>
      <c r="C763" s="8">
        <v>1</v>
      </c>
      <c r="D763" s="8">
        <v>921573554</v>
      </c>
      <c r="E763" s="8" t="str">
        <f t="shared" si="59"/>
        <v>92157355422</v>
      </c>
      <c r="F763" s="8" t="s">
        <v>267</v>
      </c>
      <c r="G763" s="8">
        <v>1</v>
      </c>
      <c r="H763" s="8">
        <v>20250401</v>
      </c>
      <c r="I763" s="8" t="str">
        <f t="shared" si="55"/>
        <v>4/1/2025</v>
      </c>
      <c r="J763" s="8">
        <v>20230501</v>
      </c>
      <c r="K763" s="8" t="str">
        <f t="shared" si="56"/>
        <v>5/1/2023</v>
      </c>
      <c r="L763" s="8" t="s">
        <v>56</v>
      </c>
      <c r="M763" s="8">
        <v>20</v>
      </c>
      <c r="N763" s="8">
        <v>20</v>
      </c>
      <c r="O763" s="6" t="s">
        <v>3947</v>
      </c>
    </row>
    <row r="764" spans="1:15" ht="15" customHeight="1" x14ac:dyDescent="0.2">
      <c r="A764" s="7" t="s">
        <v>3890</v>
      </c>
      <c r="B764" s="7">
        <v>8307933</v>
      </c>
      <c r="C764" s="8">
        <v>1</v>
      </c>
      <c r="D764" s="8">
        <v>921574908</v>
      </c>
      <c r="E764" s="8" t="str">
        <f t="shared" si="59"/>
        <v>92157490822</v>
      </c>
      <c r="F764" s="8" t="s">
        <v>271</v>
      </c>
      <c r="G764" s="8">
        <v>1</v>
      </c>
      <c r="H764" s="8">
        <v>20250401</v>
      </c>
      <c r="I764" s="8" t="str">
        <f t="shared" si="55"/>
        <v>4/1/2025</v>
      </c>
      <c r="J764" s="8">
        <v>20210701</v>
      </c>
      <c r="K764" s="8" t="str">
        <f t="shared" si="56"/>
        <v>7/1/2021</v>
      </c>
      <c r="L764" s="8" t="s">
        <v>56</v>
      </c>
      <c r="M764" s="8">
        <v>20</v>
      </c>
      <c r="N764" s="8">
        <v>20</v>
      </c>
      <c r="O764" s="6" t="s">
        <v>3947</v>
      </c>
    </row>
    <row r="765" spans="1:15" ht="15" customHeight="1" x14ac:dyDescent="0.2">
      <c r="A765" s="7" t="s">
        <v>3890</v>
      </c>
      <c r="B765" s="7">
        <v>8307933</v>
      </c>
      <c r="C765" s="8">
        <v>1</v>
      </c>
      <c r="D765" s="8">
        <v>921638777</v>
      </c>
      <c r="E765" s="8" t="str">
        <f t="shared" si="59"/>
        <v>92163877722</v>
      </c>
      <c r="F765" s="8" t="s">
        <v>313</v>
      </c>
      <c r="G765" s="8">
        <v>1</v>
      </c>
      <c r="H765" s="8">
        <v>20250401</v>
      </c>
      <c r="I765" s="8" t="str">
        <f t="shared" si="55"/>
        <v>4/1/2025</v>
      </c>
      <c r="J765" s="8">
        <v>20230101</v>
      </c>
      <c r="K765" s="8" t="str">
        <f t="shared" si="56"/>
        <v>1/1/2023</v>
      </c>
      <c r="L765" s="8" t="s">
        <v>56</v>
      </c>
      <c r="M765" s="8">
        <v>20</v>
      </c>
      <c r="N765" s="8">
        <v>20</v>
      </c>
      <c r="O765" s="6" t="s">
        <v>3947</v>
      </c>
    </row>
    <row r="766" spans="1:15" ht="15" customHeight="1" x14ac:dyDescent="0.2">
      <c r="A766" s="7" t="s">
        <v>3890</v>
      </c>
      <c r="B766" s="7">
        <v>8307933</v>
      </c>
      <c r="C766" s="8">
        <v>1</v>
      </c>
      <c r="D766" s="8">
        <v>921641311</v>
      </c>
      <c r="E766" s="8" t="str">
        <f t="shared" si="59"/>
        <v>92164131122</v>
      </c>
      <c r="F766" s="8" t="s">
        <v>318</v>
      </c>
      <c r="G766" s="8">
        <v>1</v>
      </c>
      <c r="H766" s="8">
        <v>20250301</v>
      </c>
      <c r="I766" s="8" t="str">
        <f t="shared" si="55"/>
        <v>3/1/2025</v>
      </c>
      <c r="J766" s="8">
        <v>20230101</v>
      </c>
      <c r="K766" s="8" t="str">
        <f t="shared" si="56"/>
        <v>1/1/2023</v>
      </c>
      <c r="L766" s="8" t="s">
        <v>56</v>
      </c>
      <c r="M766" s="8">
        <v>20</v>
      </c>
      <c r="N766" s="8">
        <v>20</v>
      </c>
      <c r="O766" s="6" t="s">
        <v>3947</v>
      </c>
    </row>
    <row r="767" spans="1:15" ht="15" customHeight="1" x14ac:dyDescent="0.2">
      <c r="A767" s="7" t="s">
        <v>3890</v>
      </c>
      <c r="B767" s="7">
        <v>8307933</v>
      </c>
      <c r="C767" s="8">
        <v>1</v>
      </c>
      <c r="D767" s="8">
        <v>921641311</v>
      </c>
      <c r="E767" s="8" t="str">
        <f t="shared" si="59"/>
        <v>92164131122</v>
      </c>
      <c r="F767" s="8" t="s">
        <v>318</v>
      </c>
      <c r="G767" s="8">
        <v>1</v>
      </c>
      <c r="H767" s="8">
        <v>20250201</v>
      </c>
      <c r="I767" s="8" t="str">
        <f t="shared" si="55"/>
        <v>2/1/2025</v>
      </c>
      <c r="J767" s="8">
        <v>20230101</v>
      </c>
      <c r="K767" s="8" t="str">
        <f t="shared" si="56"/>
        <v>1/1/2023</v>
      </c>
      <c r="L767" s="8" t="s">
        <v>56</v>
      </c>
      <c r="M767" s="8">
        <v>20</v>
      </c>
      <c r="N767" s="8">
        <v>20</v>
      </c>
      <c r="O767" s="6" t="s">
        <v>3947</v>
      </c>
    </row>
    <row r="768" spans="1:15" ht="15" customHeight="1" x14ac:dyDescent="0.2">
      <c r="A768" s="7" t="s">
        <v>3890</v>
      </c>
      <c r="B768" s="7">
        <v>8307933</v>
      </c>
      <c r="C768" s="8">
        <v>1</v>
      </c>
      <c r="D768" s="8">
        <v>921651612</v>
      </c>
      <c r="E768" s="8" t="str">
        <f t="shared" si="59"/>
        <v>92165161222</v>
      </c>
      <c r="F768" s="8" t="s">
        <v>329</v>
      </c>
      <c r="G768" s="8">
        <v>1</v>
      </c>
      <c r="H768" s="8">
        <v>20250401</v>
      </c>
      <c r="I768" s="8" t="str">
        <f t="shared" si="55"/>
        <v>4/1/2025</v>
      </c>
      <c r="J768" s="8">
        <v>20230301</v>
      </c>
      <c r="K768" s="8" t="str">
        <f t="shared" si="56"/>
        <v>3/1/2023</v>
      </c>
      <c r="L768" s="8" t="s">
        <v>56</v>
      </c>
      <c r="M768" s="8">
        <v>20</v>
      </c>
      <c r="N768" s="8">
        <v>20</v>
      </c>
      <c r="O768" s="6" t="s">
        <v>3947</v>
      </c>
    </row>
    <row r="769" spans="1:16" ht="15" customHeight="1" x14ac:dyDescent="0.2">
      <c r="A769" s="7" t="s">
        <v>3890</v>
      </c>
      <c r="B769" s="7">
        <v>8307933</v>
      </c>
      <c r="C769" s="8">
        <v>1</v>
      </c>
      <c r="D769" s="8">
        <v>921666328</v>
      </c>
      <c r="E769" s="8" t="str">
        <f t="shared" si="59"/>
        <v>92166632822</v>
      </c>
      <c r="F769" s="8" t="s">
        <v>332</v>
      </c>
      <c r="G769" s="8">
        <v>1</v>
      </c>
      <c r="H769" s="8">
        <v>20250401</v>
      </c>
      <c r="I769" s="8" t="str">
        <f t="shared" si="55"/>
        <v>4/1/2025</v>
      </c>
      <c r="J769" s="8">
        <v>20230801</v>
      </c>
      <c r="K769" s="8" t="str">
        <f t="shared" si="56"/>
        <v>8/1/2023</v>
      </c>
      <c r="L769" s="8" t="s">
        <v>56</v>
      </c>
      <c r="M769" s="8">
        <v>20</v>
      </c>
      <c r="N769" s="8">
        <v>20</v>
      </c>
      <c r="O769" s="6" t="s">
        <v>3947</v>
      </c>
    </row>
    <row r="770" spans="1:16" ht="15" customHeight="1" x14ac:dyDescent="0.2">
      <c r="A770" s="7" t="s">
        <v>3890</v>
      </c>
      <c r="B770" s="7">
        <v>8307933</v>
      </c>
      <c r="C770" s="8">
        <v>1</v>
      </c>
      <c r="D770" s="8">
        <v>921670337</v>
      </c>
      <c r="E770" s="8" t="str">
        <f t="shared" si="59"/>
        <v>92167033722</v>
      </c>
      <c r="F770" s="8" t="s">
        <v>336</v>
      </c>
      <c r="G770" s="8">
        <v>1</v>
      </c>
      <c r="H770" s="8">
        <v>20250401</v>
      </c>
      <c r="I770" s="8" t="str">
        <f t="shared" si="55"/>
        <v>4/1/2025</v>
      </c>
      <c r="J770" s="8">
        <v>20230901</v>
      </c>
      <c r="K770" s="8" t="str">
        <f t="shared" si="56"/>
        <v>9/1/2023</v>
      </c>
      <c r="L770" s="8" t="s">
        <v>56</v>
      </c>
      <c r="M770" s="8">
        <v>20</v>
      </c>
      <c r="N770" s="8">
        <v>20</v>
      </c>
      <c r="O770" s="6" t="s">
        <v>3947</v>
      </c>
    </row>
    <row r="771" spans="1:16" ht="15" customHeight="1" x14ac:dyDescent="0.2">
      <c r="A771" s="7" t="s">
        <v>3890</v>
      </c>
      <c r="B771" s="7">
        <v>8307933</v>
      </c>
      <c r="C771" s="8">
        <v>1</v>
      </c>
      <c r="D771" s="8">
        <v>921677342</v>
      </c>
      <c r="E771" s="8" t="str">
        <f t="shared" si="59"/>
        <v>92167734222</v>
      </c>
      <c r="F771" s="8" t="s">
        <v>338</v>
      </c>
      <c r="G771" s="8">
        <v>1</v>
      </c>
      <c r="H771" s="8">
        <v>20250401</v>
      </c>
      <c r="I771" s="8" t="str">
        <f t="shared" ref="I771:I834" si="60">TEXT(DATE(LEFT(H771,4), MID(H771,5,2), RIGHT(H771,2)), "M/d/yyyy")</f>
        <v>4/1/2025</v>
      </c>
      <c r="J771" s="8">
        <v>20240101</v>
      </c>
      <c r="K771" s="8" t="str">
        <f t="shared" ref="K771:K834" si="61">TEXT(DATE(LEFT(J771,4), MID(J771,5,2), RIGHT(J771,2)), "M/d/yyyy")</f>
        <v>1/1/2024</v>
      </c>
      <c r="L771" s="8" t="s">
        <v>56</v>
      </c>
      <c r="M771" s="8">
        <v>20</v>
      </c>
      <c r="N771" s="8">
        <v>20</v>
      </c>
      <c r="O771" s="6" t="s">
        <v>3947</v>
      </c>
    </row>
    <row r="772" spans="1:16" ht="15" customHeight="1" x14ac:dyDescent="0.2">
      <c r="A772" s="7" t="s">
        <v>3890</v>
      </c>
      <c r="B772" s="7">
        <v>8307933</v>
      </c>
      <c r="C772" s="8">
        <v>1</v>
      </c>
      <c r="D772" s="8">
        <v>921677342</v>
      </c>
      <c r="E772" s="8" t="str">
        <f t="shared" si="59"/>
        <v>92167734222</v>
      </c>
      <c r="F772" s="8" t="s">
        <v>338</v>
      </c>
      <c r="G772" s="8">
        <v>1</v>
      </c>
      <c r="H772" s="8">
        <v>20250301</v>
      </c>
      <c r="I772" s="8" t="str">
        <f t="shared" si="60"/>
        <v>3/1/2025</v>
      </c>
      <c r="J772" s="8">
        <v>20240101</v>
      </c>
      <c r="K772" s="8" t="str">
        <f t="shared" si="61"/>
        <v>1/1/2024</v>
      </c>
      <c r="L772" s="8" t="s">
        <v>56</v>
      </c>
      <c r="M772" s="8">
        <v>20</v>
      </c>
      <c r="N772" s="8">
        <v>20</v>
      </c>
      <c r="O772" s="6" t="s">
        <v>3947</v>
      </c>
    </row>
    <row r="773" spans="1:16" ht="15" customHeight="1" x14ac:dyDescent="0.2">
      <c r="A773" s="7" t="s">
        <v>3890</v>
      </c>
      <c r="B773" s="7">
        <v>8307933</v>
      </c>
      <c r="C773" s="8">
        <v>1</v>
      </c>
      <c r="D773" s="8">
        <v>921684156</v>
      </c>
      <c r="E773" s="8" t="str">
        <f t="shared" si="59"/>
        <v>92168415622</v>
      </c>
      <c r="F773" s="8" t="s">
        <v>345</v>
      </c>
      <c r="G773" s="8">
        <v>1</v>
      </c>
      <c r="H773" s="8">
        <v>20250401</v>
      </c>
      <c r="I773" s="8" t="str">
        <f t="shared" si="60"/>
        <v>4/1/2025</v>
      </c>
      <c r="J773" s="8">
        <v>20240101</v>
      </c>
      <c r="K773" s="8" t="str">
        <f t="shared" si="61"/>
        <v>1/1/2024</v>
      </c>
      <c r="L773" s="8" t="s">
        <v>56</v>
      </c>
      <c r="M773" s="8">
        <v>20</v>
      </c>
      <c r="N773" s="8">
        <v>20</v>
      </c>
      <c r="O773" s="6" t="s">
        <v>3947</v>
      </c>
    </row>
    <row r="774" spans="1:16" ht="15" customHeight="1" x14ac:dyDescent="0.2">
      <c r="A774" s="7" t="s">
        <v>3890</v>
      </c>
      <c r="B774" s="7">
        <v>8307933</v>
      </c>
      <c r="C774" s="8">
        <v>1</v>
      </c>
      <c r="D774" s="8">
        <v>921684722</v>
      </c>
      <c r="E774" s="8" t="str">
        <f t="shared" si="59"/>
        <v>92168472222</v>
      </c>
      <c r="F774" s="8" t="s">
        <v>347</v>
      </c>
      <c r="G774" s="8">
        <v>1</v>
      </c>
      <c r="H774" s="8">
        <v>20250401</v>
      </c>
      <c r="I774" s="8" t="str">
        <f t="shared" si="60"/>
        <v>4/1/2025</v>
      </c>
      <c r="J774" s="8">
        <v>20240101</v>
      </c>
      <c r="K774" s="8" t="str">
        <f t="shared" si="61"/>
        <v>1/1/2024</v>
      </c>
      <c r="L774" s="8" t="s">
        <v>56</v>
      </c>
      <c r="M774" s="8">
        <v>20</v>
      </c>
      <c r="N774" s="8">
        <v>20</v>
      </c>
      <c r="O774" s="6" t="s">
        <v>3947</v>
      </c>
    </row>
    <row r="775" spans="1:16" ht="15" customHeight="1" x14ac:dyDescent="0.2">
      <c r="A775" s="7" t="s">
        <v>3890</v>
      </c>
      <c r="B775" s="7">
        <v>8307933</v>
      </c>
      <c r="C775" s="8">
        <v>2</v>
      </c>
      <c r="D775" s="8">
        <v>921095896</v>
      </c>
      <c r="E775" s="8" t="str">
        <f t="shared" si="59"/>
        <v>92109589622</v>
      </c>
      <c r="F775" s="8" t="s">
        <v>174</v>
      </c>
      <c r="G775" s="8">
        <v>1</v>
      </c>
      <c r="H775" s="8">
        <v>20250401</v>
      </c>
      <c r="I775" s="8" t="str">
        <f t="shared" si="60"/>
        <v>4/1/2025</v>
      </c>
      <c r="J775" s="8">
        <v>20170101</v>
      </c>
      <c r="K775" s="8" t="str">
        <f t="shared" si="61"/>
        <v>1/1/2017</v>
      </c>
      <c r="L775" s="8" t="s">
        <v>56</v>
      </c>
      <c r="M775" s="8">
        <v>20</v>
      </c>
      <c r="N775" s="8">
        <v>40</v>
      </c>
      <c r="O775" s="6" t="s">
        <v>3947</v>
      </c>
      <c r="P775" s="6" t="s">
        <v>3952</v>
      </c>
    </row>
    <row r="776" spans="1:16" ht="15" customHeight="1" x14ac:dyDescent="0.2">
      <c r="A776" s="7" t="s">
        <v>3890</v>
      </c>
      <c r="B776" s="7">
        <v>8307933</v>
      </c>
      <c r="C776" s="8">
        <v>2</v>
      </c>
      <c r="D776" s="8">
        <v>921496012</v>
      </c>
      <c r="E776" s="8" t="str">
        <f t="shared" si="59"/>
        <v>92149601222</v>
      </c>
      <c r="F776" s="8" t="s">
        <v>228</v>
      </c>
      <c r="G776" s="8">
        <v>1</v>
      </c>
      <c r="H776" s="8">
        <v>20250301</v>
      </c>
      <c r="I776" s="8" t="str">
        <f t="shared" si="60"/>
        <v>3/1/2025</v>
      </c>
      <c r="J776" s="8">
        <v>20200101</v>
      </c>
      <c r="K776" s="8" t="str">
        <f t="shared" si="61"/>
        <v>1/1/2020</v>
      </c>
      <c r="L776" s="8" t="s">
        <v>56</v>
      </c>
      <c r="M776" s="8">
        <v>20</v>
      </c>
      <c r="N776" s="8">
        <v>40</v>
      </c>
      <c r="O776" s="6" t="s">
        <v>3947</v>
      </c>
      <c r="P776" s="6" t="s">
        <v>3952</v>
      </c>
    </row>
    <row r="777" spans="1:16" ht="15" customHeight="1" x14ac:dyDescent="0.2">
      <c r="A777" s="7" t="s">
        <v>3890</v>
      </c>
      <c r="B777" s="7">
        <v>8307933</v>
      </c>
      <c r="C777" s="8">
        <v>2</v>
      </c>
      <c r="D777" s="8">
        <v>921535183</v>
      </c>
      <c r="E777" s="8" t="str">
        <f t="shared" si="59"/>
        <v>92153518322</v>
      </c>
      <c r="F777" s="8" t="s">
        <v>246</v>
      </c>
      <c r="G777" s="8">
        <v>1</v>
      </c>
      <c r="H777" s="8">
        <v>20250401</v>
      </c>
      <c r="I777" s="8" t="str">
        <f t="shared" si="60"/>
        <v>4/1/2025</v>
      </c>
      <c r="J777" s="8">
        <v>20230101</v>
      </c>
      <c r="K777" s="8" t="str">
        <f t="shared" si="61"/>
        <v>1/1/2023</v>
      </c>
      <c r="L777" s="8" t="s">
        <v>56</v>
      </c>
      <c r="M777" s="8">
        <v>20</v>
      </c>
      <c r="N777" s="8">
        <v>40</v>
      </c>
      <c r="O777" s="6" t="s">
        <v>3947</v>
      </c>
      <c r="P777" s="6" t="s">
        <v>3952</v>
      </c>
    </row>
    <row r="778" spans="1:16" ht="15" customHeight="1" x14ac:dyDescent="0.2">
      <c r="A778" s="7" t="s">
        <v>3890</v>
      </c>
      <c r="B778" s="7">
        <v>8307933</v>
      </c>
      <c r="C778" s="8">
        <v>2</v>
      </c>
      <c r="D778" s="8">
        <v>921551673</v>
      </c>
      <c r="E778" s="8" t="str">
        <f t="shared" si="59"/>
        <v>92155167322</v>
      </c>
      <c r="F778" s="8" t="s">
        <v>253</v>
      </c>
      <c r="G778" s="8">
        <v>1</v>
      </c>
      <c r="H778" s="8">
        <v>20250401</v>
      </c>
      <c r="I778" s="8" t="str">
        <f t="shared" si="60"/>
        <v>4/1/2025</v>
      </c>
      <c r="J778" s="8">
        <v>20210101</v>
      </c>
      <c r="K778" s="8" t="str">
        <f t="shared" si="61"/>
        <v>1/1/2021</v>
      </c>
      <c r="L778" s="8" t="s">
        <v>56</v>
      </c>
      <c r="M778" s="8">
        <v>20</v>
      </c>
      <c r="N778" s="8">
        <v>40</v>
      </c>
      <c r="O778" s="6" t="s">
        <v>3947</v>
      </c>
      <c r="P778" s="6" t="s">
        <v>3952</v>
      </c>
    </row>
    <row r="779" spans="1:16" ht="15" customHeight="1" x14ac:dyDescent="0.2">
      <c r="A779" s="7" t="s">
        <v>3890</v>
      </c>
      <c r="B779" s="7">
        <v>8307933</v>
      </c>
      <c r="C779" s="8">
        <v>2</v>
      </c>
      <c r="D779" s="8">
        <v>921586005</v>
      </c>
      <c r="E779" s="8" t="str">
        <f t="shared" si="59"/>
        <v>92158600522</v>
      </c>
      <c r="F779" s="8" t="s">
        <v>285</v>
      </c>
      <c r="G779" s="8">
        <v>1</v>
      </c>
      <c r="H779" s="8">
        <v>20250401</v>
      </c>
      <c r="I779" s="8" t="str">
        <f t="shared" si="60"/>
        <v>4/1/2025</v>
      </c>
      <c r="J779" s="8">
        <v>20211101</v>
      </c>
      <c r="K779" s="8" t="str">
        <f t="shared" si="61"/>
        <v>11/1/2021</v>
      </c>
      <c r="L779" s="8" t="s">
        <v>56</v>
      </c>
      <c r="M779" s="8">
        <v>20</v>
      </c>
      <c r="N779" s="8">
        <v>40</v>
      </c>
      <c r="O779" s="6" t="s">
        <v>3947</v>
      </c>
      <c r="P779" s="6" t="s">
        <v>3952</v>
      </c>
    </row>
    <row r="780" spans="1:16" ht="15" customHeight="1" x14ac:dyDescent="0.2">
      <c r="A780" s="7" t="s">
        <v>3890</v>
      </c>
      <c r="B780" s="7">
        <v>8307933</v>
      </c>
      <c r="C780" s="8">
        <v>2</v>
      </c>
      <c r="D780" s="8">
        <v>921587908</v>
      </c>
      <c r="E780" s="8" t="str">
        <f t="shared" si="59"/>
        <v>92158790822</v>
      </c>
      <c r="F780" s="8" t="s">
        <v>289</v>
      </c>
      <c r="G780" s="8">
        <v>1</v>
      </c>
      <c r="H780" s="8">
        <v>20250401</v>
      </c>
      <c r="I780" s="8" t="str">
        <f t="shared" si="60"/>
        <v>4/1/2025</v>
      </c>
      <c r="J780" s="8">
        <v>20211201</v>
      </c>
      <c r="K780" s="8" t="str">
        <f t="shared" si="61"/>
        <v>12/1/2021</v>
      </c>
      <c r="L780" s="8" t="s">
        <v>56</v>
      </c>
      <c r="M780" s="8">
        <v>20</v>
      </c>
      <c r="N780" s="8">
        <v>40</v>
      </c>
      <c r="O780" s="6" t="s">
        <v>3947</v>
      </c>
      <c r="P780" s="6" t="s">
        <v>3952</v>
      </c>
    </row>
    <row r="781" spans="1:16" ht="15" customHeight="1" x14ac:dyDescent="0.2">
      <c r="A781" s="7" t="s">
        <v>3890</v>
      </c>
      <c r="B781" s="7">
        <v>8307933</v>
      </c>
      <c r="C781" s="8">
        <v>2</v>
      </c>
      <c r="D781" s="8">
        <v>921619860</v>
      </c>
      <c r="E781" s="8" t="str">
        <f t="shared" si="59"/>
        <v>92161986022</v>
      </c>
      <c r="F781" s="8" t="s">
        <v>302</v>
      </c>
      <c r="G781" s="8">
        <v>1</v>
      </c>
      <c r="H781" s="8">
        <v>20250301</v>
      </c>
      <c r="I781" s="8" t="str">
        <f t="shared" si="60"/>
        <v>3/1/2025</v>
      </c>
      <c r="J781" s="8">
        <v>20220901</v>
      </c>
      <c r="K781" s="8" t="str">
        <f t="shared" si="61"/>
        <v>9/1/2022</v>
      </c>
      <c r="L781" s="8" t="s">
        <v>56</v>
      </c>
      <c r="M781" s="8">
        <v>20</v>
      </c>
      <c r="N781" s="8">
        <v>40</v>
      </c>
      <c r="O781" s="6" t="s">
        <v>3947</v>
      </c>
      <c r="P781" s="6" t="s">
        <v>3952</v>
      </c>
    </row>
    <row r="782" spans="1:16" ht="15" customHeight="1" x14ac:dyDescent="0.2">
      <c r="A782" s="7" t="s">
        <v>3890</v>
      </c>
      <c r="B782" s="7">
        <v>8307933</v>
      </c>
      <c r="C782" s="8">
        <v>2</v>
      </c>
      <c r="D782" s="8">
        <v>921648611</v>
      </c>
      <c r="E782" s="8" t="str">
        <f t="shared" si="59"/>
        <v>92164861122</v>
      </c>
      <c r="F782" s="8" t="s">
        <v>327</v>
      </c>
      <c r="G782" s="8">
        <v>1</v>
      </c>
      <c r="H782" s="8">
        <v>20250401</v>
      </c>
      <c r="I782" s="8" t="str">
        <f t="shared" si="60"/>
        <v>4/1/2025</v>
      </c>
      <c r="J782" s="8">
        <v>20230201</v>
      </c>
      <c r="K782" s="8" t="str">
        <f t="shared" si="61"/>
        <v>2/1/2023</v>
      </c>
      <c r="L782" s="8" t="s">
        <v>56</v>
      </c>
      <c r="M782" s="8">
        <v>20</v>
      </c>
      <c r="N782" s="8">
        <v>40</v>
      </c>
      <c r="O782" s="6" t="s">
        <v>3947</v>
      </c>
      <c r="P782" s="6" t="s">
        <v>3952</v>
      </c>
    </row>
    <row r="783" spans="1:16" ht="15" customHeight="1" x14ac:dyDescent="0.2">
      <c r="A783" s="7" t="s">
        <v>3890</v>
      </c>
      <c r="B783" s="7">
        <v>8307933</v>
      </c>
      <c r="C783" s="8">
        <v>2</v>
      </c>
      <c r="D783" s="8">
        <v>921679447</v>
      </c>
      <c r="E783" s="8" t="str">
        <f t="shared" si="59"/>
        <v>92167944722</v>
      </c>
      <c r="F783" s="8" t="s">
        <v>341</v>
      </c>
      <c r="G783" s="8">
        <v>1</v>
      </c>
      <c r="H783" s="8">
        <v>20250401</v>
      </c>
      <c r="I783" s="8" t="str">
        <f t="shared" si="60"/>
        <v>4/1/2025</v>
      </c>
      <c r="J783" s="8">
        <v>20240101</v>
      </c>
      <c r="K783" s="8" t="str">
        <f t="shared" si="61"/>
        <v>1/1/2024</v>
      </c>
      <c r="L783" s="8" t="s">
        <v>56</v>
      </c>
      <c r="M783" s="8">
        <v>20</v>
      </c>
      <c r="N783" s="8">
        <v>40</v>
      </c>
      <c r="O783" s="6" t="s">
        <v>3947</v>
      </c>
      <c r="P783" s="6" t="s">
        <v>3952</v>
      </c>
    </row>
    <row r="784" spans="1:16" ht="15" customHeight="1" x14ac:dyDescent="0.2">
      <c r="A784" s="7" t="s">
        <v>3890</v>
      </c>
      <c r="B784" s="7">
        <v>8307933</v>
      </c>
      <c r="C784" s="8">
        <v>3</v>
      </c>
      <c r="D784" s="8">
        <v>921644115</v>
      </c>
      <c r="E784" s="8" t="str">
        <f t="shared" si="59"/>
        <v>92164411522</v>
      </c>
      <c r="F784" s="8" t="s">
        <v>324</v>
      </c>
      <c r="G784" s="8">
        <v>1</v>
      </c>
      <c r="H784" s="8">
        <v>20250401</v>
      </c>
      <c r="I784" s="8" t="str">
        <f t="shared" si="60"/>
        <v>4/1/2025</v>
      </c>
      <c r="J784" s="8">
        <v>20230201</v>
      </c>
      <c r="K784" s="8" t="str">
        <f t="shared" si="61"/>
        <v>2/1/2023</v>
      </c>
      <c r="L784" s="8" t="s">
        <v>56</v>
      </c>
      <c r="M784" s="8">
        <v>20</v>
      </c>
      <c r="N784" s="8">
        <v>60</v>
      </c>
      <c r="O784" s="6" t="s">
        <v>3947</v>
      </c>
      <c r="P784" s="6" t="s">
        <v>3953</v>
      </c>
    </row>
    <row r="785" spans="1:37" ht="15" customHeight="1" x14ac:dyDescent="0.2">
      <c r="A785" s="7" t="s">
        <v>3890</v>
      </c>
      <c r="B785" s="7">
        <v>8307933</v>
      </c>
      <c r="C785" s="8">
        <v>1</v>
      </c>
      <c r="D785" s="8">
        <v>921737821</v>
      </c>
      <c r="E785" s="8" t="str">
        <f t="shared" si="59"/>
        <v>92173782122</v>
      </c>
      <c r="F785" s="8" t="s">
        <v>370</v>
      </c>
      <c r="G785" s="8">
        <v>1</v>
      </c>
      <c r="H785" s="8">
        <v>20250401</v>
      </c>
      <c r="I785" s="8" t="str">
        <f t="shared" si="60"/>
        <v>4/1/2025</v>
      </c>
      <c r="J785" s="8">
        <v>20240901</v>
      </c>
      <c r="K785" s="8" t="str">
        <f t="shared" si="61"/>
        <v>9/1/2024</v>
      </c>
      <c r="L785" s="8" t="s">
        <v>56</v>
      </c>
      <c r="M785" s="8">
        <v>25</v>
      </c>
      <c r="N785" s="8">
        <v>25</v>
      </c>
      <c r="O785" s="6" t="s">
        <v>3947</v>
      </c>
    </row>
    <row r="786" spans="1:37" ht="15" customHeight="1" x14ac:dyDescent="0.2">
      <c r="A786" s="7" t="s">
        <v>3890</v>
      </c>
      <c r="B786" s="7">
        <v>8307933</v>
      </c>
      <c r="C786" s="8">
        <v>1</v>
      </c>
      <c r="D786" s="8">
        <v>921742076</v>
      </c>
      <c r="E786" s="8" t="str">
        <f t="shared" si="59"/>
        <v>92174207622</v>
      </c>
      <c r="F786" s="8" t="s">
        <v>372</v>
      </c>
      <c r="G786" s="8">
        <v>1</v>
      </c>
      <c r="H786" s="8">
        <v>20250401</v>
      </c>
      <c r="I786" s="8" t="str">
        <f t="shared" si="60"/>
        <v>4/1/2025</v>
      </c>
      <c r="J786" s="8">
        <v>20241101</v>
      </c>
      <c r="K786" s="8" t="str">
        <f t="shared" si="61"/>
        <v>11/1/2024</v>
      </c>
      <c r="L786" s="8" t="s">
        <v>56</v>
      </c>
      <c r="M786" s="8">
        <v>25</v>
      </c>
      <c r="N786" s="8">
        <v>25</v>
      </c>
      <c r="O786" s="6" t="s">
        <v>3947</v>
      </c>
    </row>
    <row r="787" spans="1:37" ht="15" customHeight="1" x14ac:dyDescent="0.2">
      <c r="A787" s="7" t="s">
        <v>3890</v>
      </c>
      <c r="B787" s="7">
        <v>8307933</v>
      </c>
      <c r="C787" s="8">
        <v>1</v>
      </c>
      <c r="D787" s="8">
        <v>921743381</v>
      </c>
      <c r="E787" s="8" t="str">
        <f t="shared" si="59"/>
        <v>92174338122</v>
      </c>
      <c r="F787" s="8" t="s">
        <v>374</v>
      </c>
      <c r="G787" s="8">
        <v>1</v>
      </c>
      <c r="H787" s="8">
        <v>20250401</v>
      </c>
      <c r="I787" s="8" t="str">
        <f t="shared" si="60"/>
        <v>4/1/2025</v>
      </c>
      <c r="J787" s="8">
        <v>20241101</v>
      </c>
      <c r="K787" s="8" t="str">
        <f t="shared" si="61"/>
        <v>11/1/2024</v>
      </c>
      <c r="L787" s="8" t="s">
        <v>56</v>
      </c>
      <c r="M787" s="8">
        <v>25</v>
      </c>
      <c r="N787" s="8">
        <v>25</v>
      </c>
      <c r="O787" s="6" t="s">
        <v>3947</v>
      </c>
    </row>
    <row r="788" spans="1:37" ht="15" customHeight="1" x14ac:dyDescent="0.2">
      <c r="A788" s="7" t="s">
        <v>3890</v>
      </c>
      <c r="B788" s="7">
        <v>8307933</v>
      </c>
      <c r="C788" s="8">
        <v>1</v>
      </c>
      <c r="D788" s="8">
        <v>921750205</v>
      </c>
      <c r="E788" s="8" t="str">
        <f t="shared" si="59"/>
        <v>92175020522</v>
      </c>
      <c r="F788" s="8" t="s">
        <v>380</v>
      </c>
      <c r="G788" s="8">
        <v>1</v>
      </c>
      <c r="H788" s="8">
        <v>20250401</v>
      </c>
      <c r="I788" s="8" t="str">
        <f t="shared" si="60"/>
        <v>4/1/2025</v>
      </c>
      <c r="J788" s="8">
        <v>20241201</v>
      </c>
      <c r="K788" s="8" t="str">
        <f t="shared" si="61"/>
        <v>12/1/2024</v>
      </c>
      <c r="L788" s="8" t="s">
        <v>56</v>
      </c>
      <c r="M788" s="8">
        <v>25</v>
      </c>
      <c r="N788" s="8">
        <v>25</v>
      </c>
      <c r="O788" s="6" t="s">
        <v>3947</v>
      </c>
    </row>
    <row r="789" spans="1:37" ht="15" customHeight="1" x14ac:dyDescent="0.2">
      <c r="A789" s="7" t="s">
        <v>3890</v>
      </c>
      <c r="B789" s="7">
        <v>8307933</v>
      </c>
      <c r="C789" s="8">
        <v>1</v>
      </c>
      <c r="D789" s="8">
        <v>921766263</v>
      </c>
      <c r="E789" s="8" t="str">
        <f t="shared" si="59"/>
        <v>92176626322</v>
      </c>
      <c r="F789" s="8" t="s">
        <v>391</v>
      </c>
      <c r="G789" s="8">
        <v>1</v>
      </c>
      <c r="H789" s="8">
        <v>20250401</v>
      </c>
      <c r="I789" s="8" t="str">
        <f t="shared" si="60"/>
        <v>4/1/2025</v>
      </c>
      <c r="J789" s="8">
        <v>20250101</v>
      </c>
      <c r="K789" s="8" t="str">
        <f t="shared" si="61"/>
        <v>1/1/2025</v>
      </c>
      <c r="L789" s="8" t="s">
        <v>56</v>
      </c>
      <c r="M789" s="8">
        <v>25</v>
      </c>
      <c r="N789" s="8">
        <v>25</v>
      </c>
      <c r="O789" s="6" t="s">
        <v>3947</v>
      </c>
    </row>
    <row r="790" spans="1:37" ht="15" customHeight="1" x14ac:dyDescent="0.2">
      <c r="A790" s="7" t="s">
        <v>3890</v>
      </c>
      <c r="B790" s="7">
        <v>8307933</v>
      </c>
      <c r="C790" s="8">
        <v>2</v>
      </c>
      <c r="D790" s="8">
        <v>921031639</v>
      </c>
      <c r="E790" s="8" t="str">
        <f t="shared" si="59"/>
        <v>92103163922</v>
      </c>
      <c r="F790" s="8" t="s">
        <v>168</v>
      </c>
      <c r="G790" s="8">
        <v>1</v>
      </c>
      <c r="H790" s="8">
        <v>20250401</v>
      </c>
      <c r="I790" s="8" t="str">
        <f t="shared" si="60"/>
        <v>4/1/2025</v>
      </c>
      <c r="J790" s="8">
        <v>20250101</v>
      </c>
      <c r="K790" s="8" t="str">
        <f t="shared" si="61"/>
        <v>1/1/2025</v>
      </c>
      <c r="L790" s="8" t="s">
        <v>56</v>
      </c>
      <c r="M790" s="8">
        <v>25</v>
      </c>
      <c r="N790" s="8">
        <v>50</v>
      </c>
      <c r="O790" s="6" t="s">
        <v>3947</v>
      </c>
      <c r="P790" s="6" t="s">
        <v>3952</v>
      </c>
    </row>
    <row r="791" spans="1:37" ht="15" customHeight="1" x14ac:dyDescent="0.2">
      <c r="A791" s="7" t="s">
        <v>3890</v>
      </c>
      <c r="B791" s="7">
        <v>8307933</v>
      </c>
      <c r="C791" s="8">
        <v>2</v>
      </c>
      <c r="D791" s="8">
        <v>921720928</v>
      </c>
      <c r="E791" s="8" t="str">
        <f t="shared" si="59"/>
        <v>92172092822</v>
      </c>
      <c r="F791" s="8" t="s">
        <v>364</v>
      </c>
      <c r="G791" s="8">
        <v>1</v>
      </c>
      <c r="H791" s="8">
        <v>20250401</v>
      </c>
      <c r="I791" s="8" t="str">
        <f t="shared" si="60"/>
        <v>4/1/2025</v>
      </c>
      <c r="J791" s="8">
        <v>20240501</v>
      </c>
      <c r="K791" s="8" t="str">
        <f t="shared" si="61"/>
        <v>5/1/2024</v>
      </c>
      <c r="L791" s="8" t="s">
        <v>56</v>
      </c>
      <c r="M791" s="8">
        <v>25</v>
      </c>
      <c r="N791" s="8">
        <v>50</v>
      </c>
      <c r="O791" s="6" t="s">
        <v>3947</v>
      </c>
      <c r="P791" s="6" t="s">
        <v>3952</v>
      </c>
    </row>
    <row r="792" spans="1:37" ht="15" customHeight="1" x14ac:dyDescent="0.2">
      <c r="A792" s="7" t="s">
        <v>3890</v>
      </c>
      <c r="B792" s="7">
        <v>8307933</v>
      </c>
      <c r="C792" s="8">
        <v>3</v>
      </c>
      <c r="D792" s="8">
        <v>921746727</v>
      </c>
      <c r="E792" s="8" t="str">
        <f t="shared" si="59"/>
        <v>92174672722</v>
      </c>
      <c r="F792" s="8" t="s">
        <v>378</v>
      </c>
      <c r="G792" s="8">
        <v>1</v>
      </c>
      <c r="H792" s="8">
        <v>20250401</v>
      </c>
      <c r="I792" s="8" t="str">
        <f t="shared" si="60"/>
        <v>4/1/2025</v>
      </c>
      <c r="J792" s="8">
        <v>20250101</v>
      </c>
      <c r="K792" s="8" t="str">
        <f t="shared" si="61"/>
        <v>1/1/2025</v>
      </c>
      <c r="L792" s="8" t="s">
        <v>56</v>
      </c>
      <c r="M792" s="8">
        <v>25</v>
      </c>
      <c r="N792" s="8">
        <v>75</v>
      </c>
      <c r="O792" s="6" t="s">
        <v>3947</v>
      </c>
      <c r="P792" s="6" t="s">
        <v>3953</v>
      </c>
    </row>
    <row r="793" spans="1:37" ht="15" customHeight="1" x14ac:dyDescent="0.2">
      <c r="A793" s="7" t="s">
        <v>3890</v>
      </c>
      <c r="B793" s="7">
        <v>8307933</v>
      </c>
      <c r="C793" s="8">
        <v>1</v>
      </c>
      <c r="D793" s="8">
        <v>921555423</v>
      </c>
      <c r="E793" s="8" t="str">
        <f>CONCATENATE(D793,33)</f>
        <v>92155542333</v>
      </c>
      <c r="F793" s="8" t="s">
        <v>255</v>
      </c>
      <c r="G793" s="8">
        <v>1</v>
      </c>
      <c r="H793" s="8">
        <v>20250401</v>
      </c>
      <c r="I793" s="8" t="str">
        <f t="shared" si="60"/>
        <v>4/1/2025</v>
      </c>
      <c r="J793" s="8">
        <v>20210201</v>
      </c>
      <c r="K793" s="8" t="str">
        <f t="shared" si="61"/>
        <v>2/1/2021</v>
      </c>
      <c r="L793" s="8" t="s">
        <v>198</v>
      </c>
      <c r="M793" s="8">
        <v>15</v>
      </c>
      <c r="N793" s="8">
        <v>15</v>
      </c>
      <c r="O793" s="6" t="s">
        <v>3950</v>
      </c>
    </row>
    <row r="794" spans="1:37" ht="15" customHeight="1" x14ac:dyDescent="0.2">
      <c r="A794" s="7" t="s">
        <v>3890</v>
      </c>
      <c r="B794" s="7">
        <v>8307933</v>
      </c>
      <c r="C794" s="8">
        <v>1</v>
      </c>
      <c r="D794" s="8">
        <v>921339518</v>
      </c>
      <c r="E794" s="8" t="str">
        <f>CONCATENATE(D794,33)</f>
        <v>92133951833</v>
      </c>
      <c r="F794" s="8" t="s">
        <v>206</v>
      </c>
      <c r="G794" s="8">
        <v>1</v>
      </c>
      <c r="H794" s="8">
        <v>20250401</v>
      </c>
      <c r="I794" s="8" t="str">
        <f t="shared" si="60"/>
        <v>4/1/2025</v>
      </c>
      <c r="J794" s="8">
        <v>20250101</v>
      </c>
      <c r="K794" s="8" t="str">
        <f t="shared" si="61"/>
        <v>1/1/2025</v>
      </c>
      <c r="L794" s="8" t="s">
        <v>198</v>
      </c>
      <c r="M794" s="8">
        <v>20</v>
      </c>
      <c r="N794" s="8">
        <v>20</v>
      </c>
      <c r="O794" s="6" t="s">
        <v>3950</v>
      </c>
    </row>
    <row r="795" spans="1:37" ht="15" customHeight="1" x14ac:dyDescent="0.2">
      <c r="A795" s="7" t="s">
        <v>3890</v>
      </c>
      <c r="B795" s="7">
        <v>8307933</v>
      </c>
      <c r="C795" s="8">
        <v>1</v>
      </c>
      <c r="D795" s="8">
        <v>921604394</v>
      </c>
      <c r="E795" s="8" t="str">
        <f>CONCATENATE(D795,33)</f>
        <v>92160439433</v>
      </c>
      <c r="F795" s="8" t="s">
        <v>298</v>
      </c>
      <c r="G795" s="8">
        <v>1</v>
      </c>
      <c r="H795" s="8">
        <v>20250401</v>
      </c>
      <c r="I795" s="8" t="str">
        <f t="shared" si="60"/>
        <v>4/1/2025</v>
      </c>
      <c r="J795" s="8">
        <v>20240401</v>
      </c>
      <c r="K795" s="8" t="str">
        <f t="shared" si="61"/>
        <v>4/1/2024</v>
      </c>
      <c r="L795" s="8" t="s">
        <v>198</v>
      </c>
      <c r="M795" s="8">
        <v>20</v>
      </c>
      <c r="N795" s="8">
        <v>20</v>
      </c>
      <c r="O795" s="6" t="s">
        <v>3950</v>
      </c>
    </row>
    <row r="796" spans="1:37" ht="15" customHeight="1" x14ac:dyDescent="0.2">
      <c r="A796" s="7" t="s">
        <v>3890</v>
      </c>
      <c r="B796" s="7">
        <v>8307933</v>
      </c>
      <c r="C796" s="8">
        <v>1</v>
      </c>
      <c r="D796" s="8">
        <v>921751114</v>
      </c>
      <c r="E796" s="8" t="str">
        <f>CONCATENATE(D796,33)</f>
        <v>92175111433</v>
      </c>
      <c r="F796" s="8" t="s">
        <v>385</v>
      </c>
      <c r="G796" s="8">
        <v>1</v>
      </c>
      <c r="H796" s="8">
        <v>20250401</v>
      </c>
      <c r="I796" s="8" t="str">
        <f t="shared" si="60"/>
        <v>4/1/2025</v>
      </c>
      <c r="J796" s="8">
        <v>20250101</v>
      </c>
      <c r="K796" s="8" t="str">
        <f t="shared" si="61"/>
        <v>1/1/2025</v>
      </c>
      <c r="L796" s="8" t="s">
        <v>198</v>
      </c>
      <c r="M796" s="8">
        <v>20</v>
      </c>
      <c r="N796" s="8">
        <v>20</v>
      </c>
      <c r="O796" s="6" t="s">
        <v>3950</v>
      </c>
      <c r="AK796" s="12"/>
    </row>
    <row r="797" spans="1:37" ht="15" customHeight="1" x14ac:dyDescent="0.2">
      <c r="A797" s="7" t="s">
        <v>3890</v>
      </c>
      <c r="B797" s="7">
        <v>8307933</v>
      </c>
      <c r="C797" s="8">
        <v>2</v>
      </c>
      <c r="D797" s="8">
        <v>921752866</v>
      </c>
      <c r="E797" s="8" t="str">
        <f>CONCATENATE(D797,33)</f>
        <v>92175286633</v>
      </c>
      <c r="F797" s="8" t="s">
        <v>389</v>
      </c>
      <c r="G797" s="8">
        <v>1</v>
      </c>
      <c r="H797" s="8">
        <v>20250401</v>
      </c>
      <c r="I797" s="8" t="str">
        <f t="shared" si="60"/>
        <v>4/1/2025</v>
      </c>
      <c r="J797" s="8">
        <v>20250101</v>
      </c>
      <c r="K797" s="8" t="str">
        <f t="shared" si="61"/>
        <v>1/1/2025</v>
      </c>
      <c r="L797" s="8" t="s">
        <v>198</v>
      </c>
      <c r="M797" s="8">
        <v>20</v>
      </c>
      <c r="N797" s="8">
        <v>40</v>
      </c>
      <c r="O797" s="6" t="s">
        <v>3950</v>
      </c>
      <c r="P797" s="6" t="s">
        <v>3952</v>
      </c>
    </row>
    <row r="798" spans="1:37" ht="15" customHeight="1" x14ac:dyDescent="0.3">
      <c r="A798" s="7" t="s">
        <v>3890</v>
      </c>
      <c r="B798" s="7">
        <v>8307933</v>
      </c>
      <c r="C798" s="8">
        <v>1</v>
      </c>
      <c r="D798" s="8">
        <v>921300992</v>
      </c>
      <c r="E798" s="8" t="str">
        <f t="shared" ref="E798:E820" si="62">CONCATENATE(D798,44)</f>
        <v>92130099244</v>
      </c>
      <c r="F798" s="8" t="s">
        <v>201</v>
      </c>
      <c r="G798" s="8">
        <v>1</v>
      </c>
      <c r="H798" s="8">
        <v>20250401</v>
      </c>
      <c r="I798" s="8" t="str">
        <f t="shared" si="60"/>
        <v>4/1/2025</v>
      </c>
      <c r="J798" s="8">
        <v>20220101</v>
      </c>
      <c r="K798" s="8" t="str">
        <f t="shared" si="61"/>
        <v>1/1/2022</v>
      </c>
      <c r="L798" s="8" t="s">
        <v>65</v>
      </c>
      <c r="M798" s="8">
        <v>25</v>
      </c>
      <c r="N798" s="8">
        <v>25</v>
      </c>
      <c r="O798" s="14" t="s">
        <v>3948</v>
      </c>
    </row>
    <row r="799" spans="1:37" ht="15" customHeight="1" x14ac:dyDescent="0.3">
      <c r="A799" s="7" t="s">
        <v>3890</v>
      </c>
      <c r="B799" s="7">
        <v>8307933</v>
      </c>
      <c r="C799" s="8">
        <v>1</v>
      </c>
      <c r="D799" s="8">
        <v>921462867</v>
      </c>
      <c r="E799" s="8" t="str">
        <f t="shared" si="62"/>
        <v>92146286744</v>
      </c>
      <c r="F799" s="8" t="s">
        <v>216</v>
      </c>
      <c r="G799" s="8">
        <v>1</v>
      </c>
      <c r="H799" s="8">
        <v>20250401</v>
      </c>
      <c r="I799" s="8" t="str">
        <f t="shared" si="60"/>
        <v>4/1/2025</v>
      </c>
      <c r="J799" s="8">
        <v>20190101</v>
      </c>
      <c r="K799" s="8" t="str">
        <f t="shared" si="61"/>
        <v>1/1/2019</v>
      </c>
      <c r="L799" s="8" t="s">
        <v>65</v>
      </c>
      <c r="M799" s="8">
        <v>25</v>
      </c>
      <c r="N799" s="8">
        <v>25</v>
      </c>
      <c r="O799" s="14" t="s">
        <v>3948</v>
      </c>
    </row>
    <row r="800" spans="1:37" ht="15" customHeight="1" x14ac:dyDescent="0.3">
      <c r="A800" s="7" t="s">
        <v>3890</v>
      </c>
      <c r="B800" s="7">
        <v>8307933</v>
      </c>
      <c r="C800" s="8">
        <v>1</v>
      </c>
      <c r="D800" s="8">
        <v>921544469</v>
      </c>
      <c r="E800" s="8" t="str">
        <f t="shared" si="62"/>
        <v>92154446944</v>
      </c>
      <c r="F800" s="8" t="s">
        <v>249</v>
      </c>
      <c r="G800" s="8">
        <v>1</v>
      </c>
      <c r="H800" s="8">
        <v>20250401</v>
      </c>
      <c r="I800" s="8" t="str">
        <f t="shared" si="60"/>
        <v>4/1/2025</v>
      </c>
      <c r="J800" s="8">
        <v>20210101</v>
      </c>
      <c r="K800" s="8" t="str">
        <f t="shared" si="61"/>
        <v>1/1/2021</v>
      </c>
      <c r="L800" s="8" t="s">
        <v>65</v>
      </c>
      <c r="M800" s="8">
        <v>25</v>
      </c>
      <c r="N800" s="8">
        <v>25</v>
      </c>
      <c r="O800" s="14" t="s">
        <v>3948</v>
      </c>
    </row>
    <row r="801" spans="1:16" ht="15" customHeight="1" x14ac:dyDescent="0.3">
      <c r="A801" s="7" t="s">
        <v>3890</v>
      </c>
      <c r="B801" s="7">
        <v>8307933</v>
      </c>
      <c r="C801" s="8">
        <v>1</v>
      </c>
      <c r="D801" s="8">
        <v>921567248</v>
      </c>
      <c r="E801" s="8" t="str">
        <f t="shared" si="62"/>
        <v>92156724844</v>
      </c>
      <c r="F801" s="8" t="s">
        <v>264</v>
      </c>
      <c r="G801" s="8">
        <v>1</v>
      </c>
      <c r="H801" s="8">
        <v>20250401</v>
      </c>
      <c r="I801" s="8" t="str">
        <f t="shared" si="60"/>
        <v>4/1/2025</v>
      </c>
      <c r="J801" s="8">
        <v>20210601</v>
      </c>
      <c r="K801" s="8" t="str">
        <f t="shared" si="61"/>
        <v>6/1/2021</v>
      </c>
      <c r="L801" s="8" t="s">
        <v>65</v>
      </c>
      <c r="M801" s="8">
        <v>25</v>
      </c>
      <c r="N801" s="8">
        <v>25</v>
      </c>
      <c r="O801" s="14" t="s">
        <v>3948</v>
      </c>
    </row>
    <row r="802" spans="1:16" ht="15" customHeight="1" x14ac:dyDescent="0.3">
      <c r="A802" s="7" t="s">
        <v>3890</v>
      </c>
      <c r="B802" s="7">
        <v>8307933</v>
      </c>
      <c r="C802" s="8">
        <v>1</v>
      </c>
      <c r="D802" s="8">
        <v>921577896</v>
      </c>
      <c r="E802" s="8" t="str">
        <f t="shared" si="62"/>
        <v>92157789644</v>
      </c>
      <c r="F802" s="8" t="s">
        <v>275</v>
      </c>
      <c r="G802" s="8">
        <v>1</v>
      </c>
      <c r="H802" s="8">
        <v>20250401</v>
      </c>
      <c r="I802" s="8" t="str">
        <f t="shared" si="60"/>
        <v>4/1/2025</v>
      </c>
      <c r="J802" s="8">
        <v>20210801</v>
      </c>
      <c r="K802" s="8" t="str">
        <f t="shared" si="61"/>
        <v>8/1/2021</v>
      </c>
      <c r="L802" s="8" t="s">
        <v>65</v>
      </c>
      <c r="M802" s="8">
        <v>25</v>
      </c>
      <c r="N802" s="8">
        <v>25</v>
      </c>
      <c r="O802" s="14" t="s">
        <v>3948</v>
      </c>
    </row>
    <row r="803" spans="1:16" ht="15" customHeight="1" x14ac:dyDescent="0.3">
      <c r="A803" s="7" t="s">
        <v>3890</v>
      </c>
      <c r="B803" s="7">
        <v>8307933</v>
      </c>
      <c r="C803" s="8">
        <v>1</v>
      </c>
      <c r="D803" s="8">
        <v>921641060</v>
      </c>
      <c r="E803" s="8" t="str">
        <f t="shared" si="62"/>
        <v>92164106044</v>
      </c>
      <c r="F803" s="8" t="s">
        <v>316</v>
      </c>
      <c r="G803" s="8">
        <v>1</v>
      </c>
      <c r="H803" s="8">
        <v>20250401</v>
      </c>
      <c r="I803" s="8" t="str">
        <f t="shared" si="60"/>
        <v>4/1/2025</v>
      </c>
      <c r="J803" s="8">
        <v>20230101</v>
      </c>
      <c r="K803" s="8" t="str">
        <f t="shared" si="61"/>
        <v>1/1/2023</v>
      </c>
      <c r="L803" s="8" t="s">
        <v>65</v>
      </c>
      <c r="M803" s="8">
        <v>25</v>
      </c>
      <c r="N803" s="8">
        <v>25</v>
      </c>
      <c r="O803" s="14" t="s">
        <v>3948</v>
      </c>
    </row>
    <row r="804" spans="1:16" ht="15" customHeight="1" x14ac:dyDescent="0.3">
      <c r="A804" s="7" t="s">
        <v>3890</v>
      </c>
      <c r="B804" s="7">
        <v>8307933</v>
      </c>
      <c r="C804" s="8">
        <v>1</v>
      </c>
      <c r="D804" s="8">
        <v>921641942</v>
      </c>
      <c r="E804" s="8" t="str">
        <f t="shared" si="62"/>
        <v>92164194244</v>
      </c>
      <c r="F804" s="8" t="s">
        <v>322</v>
      </c>
      <c r="G804" s="8">
        <v>1</v>
      </c>
      <c r="H804" s="8">
        <v>20250401</v>
      </c>
      <c r="I804" s="8" t="str">
        <f t="shared" si="60"/>
        <v>4/1/2025</v>
      </c>
      <c r="J804" s="8">
        <v>20230101</v>
      </c>
      <c r="K804" s="8" t="str">
        <f t="shared" si="61"/>
        <v>1/1/2023</v>
      </c>
      <c r="L804" s="8" t="s">
        <v>65</v>
      </c>
      <c r="M804" s="8">
        <v>25</v>
      </c>
      <c r="N804" s="8">
        <v>25</v>
      </c>
      <c r="O804" s="14" t="s">
        <v>3948</v>
      </c>
    </row>
    <row r="805" spans="1:16" ht="15" customHeight="1" x14ac:dyDescent="0.3">
      <c r="A805" s="7" t="s">
        <v>3890</v>
      </c>
      <c r="B805" s="7">
        <v>8307933</v>
      </c>
      <c r="C805" s="8">
        <v>1</v>
      </c>
      <c r="D805" s="8">
        <v>921701817</v>
      </c>
      <c r="E805" s="8" t="str">
        <f t="shared" si="62"/>
        <v>92170181744</v>
      </c>
      <c r="F805" s="8" t="s">
        <v>349</v>
      </c>
      <c r="G805" s="8">
        <v>1</v>
      </c>
      <c r="H805" s="8">
        <v>20250401</v>
      </c>
      <c r="I805" s="8" t="str">
        <f t="shared" si="60"/>
        <v>4/1/2025</v>
      </c>
      <c r="J805" s="8">
        <v>20240201</v>
      </c>
      <c r="K805" s="8" t="str">
        <f t="shared" si="61"/>
        <v>2/1/2024</v>
      </c>
      <c r="L805" s="8" t="s">
        <v>65</v>
      </c>
      <c r="M805" s="8">
        <v>25</v>
      </c>
      <c r="N805" s="8">
        <v>25</v>
      </c>
      <c r="O805" s="14" t="s">
        <v>3948</v>
      </c>
    </row>
    <row r="806" spans="1:16" ht="15" customHeight="1" x14ac:dyDescent="0.3">
      <c r="A806" s="7" t="s">
        <v>3890</v>
      </c>
      <c r="B806" s="7">
        <v>8307933</v>
      </c>
      <c r="C806" s="8">
        <v>2</v>
      </c>
      <c r="D806" s="8">
        <v>921202225</v>
      </c>
      <c r="E806" s="8" t="str">
        <f t="shared" si="62"/>
        <v>92120222544</v>
      </c>
      <c r="F806" s="8" t="s">
        <v>186</v>
      </c>
      <c r="G806" s="8">
        <v>1</v>
      </c>
      <c r="H806" s="8">
        <v>20250401</v>
      </c>
      <c r="I806" s="8" t="str">
        <f t="shared" si="60"/>
        <v>4/1/2025</v>
      </c>
      <c r="J806" s="8">
        <v>20160101</v>
      </c>
      <c r="K806" s="8" t="str">
        <f t="shared" si="61"/>
        <v>1/1/2016</v>
      </c>
      <c r="L806" s="8" t="s">
        <v>65</v>
      </c>
      <c r="M806" s="8">
        <v>25</v>
      </c>
      <c r="N806" s="8">
        <v>50</v>
      </c>
      <c r="O806" s="14" t="s">
        <v>3948</v>
      </c>
      <c r="P806" s="6" t="s">
        <v>3952</v>
      </c>
    </row>
    <row r="807" spans="1:16" ht="15" customHeight="1" x14ac:dyDescent="0.3">
      <c r="A807" s="7" t="s">
        <v>3890</v>
      </c>
      <c r="B807" s="7">
        <v>8307933</v>
      </c>
      <c r="C807" s="8">
        <v>2</v>
      </c>
      <c r="D807" s="8">
        <v>921479653</v>
      </c>
      <c r="E807" s="8" t="str">
        <f t="shared" si="62"/>
        <v>92147965344</v>
      </c>
      <c r="F807" s="8" t="s">
        <v>224</v>
      </c>
      <c r="G807" s="8">
        <v>1</v>
      </c>
      <c r="H807" s="8">
        <v>20250401</v>
      </c>
      <c r="I807" s="8" t="str">
        <f t="shared" si="60"/>
        <v>4/1/2025</v>
      </c>
      <c r="J807" s="8">
        <v>20190801</v>
      </c>
      <c r="K807" s="8" t="str">
        <f t="shared" si="61"/>
        <v>8/1/2019</v>
      </c>
      <c r="L807" s="8" t="s">
        <v>65</v>
      </c>
      <c r="M807" s="8">
        <v>25</v>
      </c>
      <c r="N807" s="8">
        <v>50</v>
      </c>
      <c r="O807" s="14" t="s">
        <v>3948</v>
      </c>
      <c r="P807" s="6" t="s">
        <v>3952</v>
      </c>
    </row>
    <row r="808" spans="1:16" ht="15" customHeight="1" x14ac:dyDescent="0.3">
      <c r="A808" s="7" t="s">
        <v>3890</v>
      </c>
      <c r="B808" s="7">
        <v>8307933</v>
      </c>
      <c r="C808" s="8">
        <v>2</v>
      </c>
      <c r="D808" s="8">
        <v>921622828</v>
      </c>
      <c r="E808" s="8" t="str">
        <f t="shared" si="62"/>
        <v>92162282844</v>
      </c>
      <c r="F808" s="8" t="s">
        <v>306</v>
      </c>
      <c r="G808" s="8">
        <v>1</v>
      </c>
      <c r="H808" s="8">
        <v>20250401</v>
      </c>
      <c r="I808" s="8" t="str">
        <f t="shared" si="60"/>
        <v>4/1/2025</v>
      </c>
      <c r="J808" s="8">
        <v>20221001</v>
      </c>
      <c r="K808" s="8" t="str">
        <f t="shared" si="61"/>
        <v>10/1/2022</v>
      </c>
      <c r="L808" s="8" t="s">
        <v>65</v>
      </c>
      <c r="M808" s="8">
        <v>25</v>
      </c>
      <c r="N808" s="8">
        <v>50</v>
      </c>
      <c r="O808" s="14" t="s">
        <v>3948</v>
      </c>
      <c r="P808" s="6" t="s">
        <v>3952</v>
      </c>
    </row>
    <row r="809" spans="1:16" ht="15" customHeight="1" x14ac:dyDescent="0.3">
      <c r="A809" s="7" t="s">
        <v>3890</v>
      </c>
      <c r="B809" s="7">
        <v>8307933</v>
      </c>
      <c r="C809" s="8">
        <v>2</v>
      </c>
      <c r="D809" s="8">
        <v>921701836</v>
      </c>
      <c r="E809" s="8" t="str">
        <f t="shared" si="62"/>
        <v>92170183644</v>
      </c>
      <c r="F809" s="8" t="s">
        <v>352</v>
      </c>
      <c r="G809" s="8">
        <v>1</v>
      </c>
      <c r="H809" s="8">
        <v>20250401</v>
      </c>
      <c r="I809" s="8" t="str">
        <f t="shared" si="60"/>
        <v>4/1/2025</v>
      </c>
      <c r="J809" s="8">
        <v>20240201</v>
      </c>
      <c r="K809" s="8" t="str">
        <f t="shared" si="61"/>
        <v>2/1/2024</v>
      </c>
      <c r="L809" s="8" t="s">
        <v>65</v>
      </c>
      <c r="M809" s="8">
        <v>25</v>
      </c>
      <c r="N809" s="8">
        <v>50</v>
      </c>
      <c r="O809" s="14" t="s">
        <v>3948</v>
      </c>
      <c r="P809" s="6" t="s">
        <v>3952</v>
      </c>
    </row>
    <row r="810" spans="1:16" ht="15" customHeight="1" x14ac:dyDescent="0.3">
      <c r="A810" s="7" t="s">
        <v>3890</v>
      </c>
      <c r="B810" s="7">
        <v>8307933</v>
      </c>
      <c r="C810" s="8">
        <v>3</v>
      </c>
      <c r="D810" s="8">
        <v>921582482</v>
      </c>
      <c r="E810" s="8" t="str">
        <f t="shared" si="62"/>
        <v>92158248244</v>
      </c>
      <c r="F810" s="8" t="s">
        <v>280</v>
      </c>
      <c r="G810" s="8">
        <v>1</v>
      </c>
      <c r="H810" s="8">
        <v>20250401</v>
      </c>
      <c r="I810" s="8" t="str">
        <f t="shared" si="60"/>
        <v>4/1/2025</v>
      </c>
      <c r="J810" s="8">
        <v>20210901</v>
      </c>
      <c r="K810" s="8" t="str">
        <f t="shared" si="61"/>
        <v>9/1/2021</v>
      </c>
      <c r="L810" s="8" t="s">
        <v>65</v>
      </c>
      <c r="M810" s="8">
        <v>25</v>
      </c>
      <c r="N810" s="8">
        <v>75</v>
      </c>
      <c r="O810" s="14" t="s">
        <v>3948</v>
      </c>
      <c r="P810" s="6" t="s">
        <v>3953</v>
      </c>
    </row>
    <row r="811" spans="1:16" ht="15" customHeight="1" x14ac:dyDescent="0.3">
      <c r="A811" s="7" t="s">
        <v>3890</v>
      </c>
      <c r="B811" s="7">
        <v>8307933</v>
      </c>
      <c r="C811" s="8">
        <v>3</v>
      </c>
      <c r="D811" s="8">
        <v>925238193</v>
      </c>
      <c r="E811" s="8" t="str">
        <f t="shared" si="62"/>
        <v>92523819344</v>
      </c>
      <c r="F811" s="8" t="s">
        <v>393</v>
      </c>
      <c r="G811" s="8">
        <v>1</v>
      </c>
      <c r="H811" s="8">
        <v>20250401</v>
      </c>
      <c r="I811" s="8" t="str">
        <f t="shared" si="60"/>
        <v>4/1/2025</v>
      </c>
      <c r="J811" s="8">
        <v>20230101</v>
      </c>
      <c r="K811" s="8" t="str">
        <f t="shared" si="61"/>
        <v>1/1/2023</v>
      </c>
      <c r="L811" s="8" t="s">
        <v>65</v>
      </c>
      <c r="M811" s="8">
        <v>25</v>
      </c>
      <c r="N811" s="8">
        <v>75</v>
      </c>
      <c r="O811" s="14" t="s">
        <v>3948</v>
      </c>
      <c r="P811" s="6" t="s">
        <v>3953</v>
      </c>
    </row>
    <row r="812" spans="1:16" ht="15" customHeight="1" x14ac:dyDescent="0.3">
      <c r="A812" s="7" t="s">
        <v>3890</v>
      </c>
      <c r="B812" s="7">
        <v>8307933</v>
      </c>
      <c r="C812" s="8">
        <v>5</v>
      </c>
      <c r="D812" s="8">
        <v>921513874</v>
      </c>
      <c r="E812" s="8" t="str">
        <f t="shared" si="62"/>
        <v>92151387444</v>
      </c>
      <c r="F812" s="8" t="s">
        <v>233</v>
      </c>
      <c r="G812" s="8">
        <v>1</v>
      </c>
      <c r="H812" s="8">
        <v>20250401</v>
      </c>
      <c r="I812" s="8" t="str">
        <f t="shared" si="60"/>
        <v>4/1/2025</v>
      </c>
      <c r="J812" s="8">
        <v>20240101</v>
      </c>
      <c r="K812" s="8" t="str">
        <f t="shared" si="61"/>
        <v>1/1/2024</v>
      </c>
      <c r="L812" s="8" t="s">
        <v>65</v>
      </c>
      <c r="M812" s="8">
        <v>25</v>
      </c>
      <c r="N812" s="8">
        <v>125</v>
      </c>
      <c r="O812" s="14" t="s">
        <v>3948</v>
      </c>
      <c r="P812" s="6" t="s">
        <v>3955</v>
      </c>
    </row>
    <row r="813" spans="1:16" ht="15" customHeight="1" x14ac:dyDescent="0.3">
      <c r="A813" s="7" t="s">
        <v>3890</v>
      </c>
      <c r="B813" s="7">
        <v>8307933</v>
      </c>
      <c r="C813" s="8">
        <v>1</v>
      </c>
      <c r="D813" s="8">
        <v>921604394</v>
      </c>
      <c r="E813" s="8" t="str">
        <f t="shared" si="62"/>
        <v>92160439444</v>
      </c>
      <c r="F813" s="8" t="s">
        <v>298</v>
      </c>
      <c r="G813" s="8">
        <v>1</v>
      </c>
      <c r="H813" s="8">
        <v>20250201</v>
      </c>
      <c r="I813" s="8" t="str">
        <f t="shared" si="60"/>
        <v>2/1/2025</v>
      </c>
      <c r="J813" s="8">
        <v>20240401</v>
      </c>
      <c r="K813" s="8" t="str">
        <f t="shared" si="61"/>
        <v>4/1/2024</v>
      </c>
      <c r="L813" s="8" t="s">
        <v>65</v>
      </c>
      <c r="M813" s="8">
        <v>30</v>
      </c>
      <c r="N813" s="8">
        <v>30</v>
      </c>
      <c r="O813" s="14" t="s">
        <v>3948</v>
      </c>
    </row>
    <row r="814" spans="1:16" ht="15" customHeight="1" x14ac:dyDescent="0.3">
      <c r="A814" s="7" t="s">
        <v>3890</v>
      </c>
      <c r="B814" s="7">
        <v>8307933</v>
      </c>
      <c r="C814" s="8">
        <v>1</v>
      </c>
      <c r="D814" s="8">
        <v>921625646</v>
      </c>
      <c r="E814" s="8" t="str">
        <f t="shared" si="62"/>
        <v>92162564644</v>
      </c>
      <c r="F814" s="8" t="s">
        <v>309</v>
      </c>
      <c r="G814" s="8">
        <v>1</v>
      </c>
      <c r="H814" s="8">
        <v>20250401</v>
      </c>
      <c r="I814" s="8" t="str">
        <f t="shared" si="60"/>
        <v>4/1/2025</v>
      </c>
      <c r="J814" s="8">
        <v>20240701</v>
      </c>
      <c r="K814" s="8" t="str">
        <f t="shared" si="61"/>
        <v>7/1/2024</v>
      </c>
      <c r="L814" s="8" t="s">
        <v>65</v>
      </c>
      <c r="M814" s="8">
        <v>30</v>
      </c>
      <c r="N814" s="8">
        <v>30</v>
      </c>
      <c r="O814" s="14" t="s">
        <v>3948</v>
      </c>
    </row>
    <row r="815" spans="1:16" ht="15" customHeight="1" x14ac:dyDescent="0.3">
      <c r="A815" s="7" t="s">
        <v>3890</v>
      </c>
      <c r="B815" s="7">
        <v>8307933</v>
      </c>
      <c r="C815" s="8">
        <v>1</v>
      </c>
      <c r="D815" s="8">
        <v>921720602</v>
      </c>
      <c r="E815" s="8" t="str">
        <f t="shared" si="62"/>
        <v>92172060244</v>
      </c>
      <c r="F815" s="8" t="s">
        <v>360</v>
      </c>
      <c r="G815" s="8">
        <v>1</v>
      </c>
      <c r="H815" s="8">
        <v>20250401</v>
      </c>
      <c r="I815" s="8" t="str">
        <f t="shared" si="60"/>
        <v>4/1/2025</v>
      </c>
      <c r="J815" s="8">
        <v>20240501</v>
      </c>
      <c r="K815" s="8" t="str">
        <f t="shared" si="61"/>
        <v>5/1/2024</v>
      </c>
      <c r="L815" s="8" t="s">
        <v>65</v>
      </c>
      <c r="M815" s="8">
        <v>30</v>
      </c>
      <c r="N815" s="8">
        <v>30</v>
      </c>
      <c r="O815" s="14" t="s">
        <v>3948</v>
      </c>
    </row>
    <row r="816" spans="1:16" ht="15" customHeight="1" x14ac:dyDescent="0.3">
      <c r="A816" s="7" t="s">
        <v>3890</v>
      </c>
      <c r="B816" s="7">
        <v>8307933</v>
      </c>
      <c r="C816" s="8">
        <v>1</v>
      </c>
      <c r="D816" s="8">
        <v>921729559</v>
      </c>
      <c r="E816" s="8" t="str">
        <f t="shared" si="62"/>
        <v>92172955944</v>
      </c>
      <c r="F816" s="8" t="s">
        <v>366</v>
      </c>
      <c r="G816" s="8">
        <v>1</v>
      </c>
      <c r="H816" s="8">
        <v>20250401</v>
      </c>
      <c r="I816" s="8" t="str">
        <f t="shared" si="60"/>
        <v>4/1/2025</v>
      </c>
      <c r="J816" s="8">
        <v>20240601</v>
      </c>
      <c r="K816" s="8" t="str">
        <f t="shared" si="61"/>
        <v>6/1/2024</v>
      </c>
      <c r="L816" s="8" t="s">
        <v>65</v>
      </c>
      <c r="M816" s="8">
        <v>30</v>
      </c>
      <c r="N816" s="8">
        <v>30</v>
      </c>
      <c r="O816" s="14" t="s">
        <v>3948</v>
      </c>
    </row>
    <row r="817" spans="1:16" ht="15" customHeight="1" x14ac:dyDescent="0.3">
      <c r="A817" s="7" t="s">
        <v>3890</v>
      </c>
      <c r="B817" s="7">
        <v>8307933</v>
      </c>
      <c r="C817" s="8">
        <v>1</v>
      </c>
      <c r="D817" s="8">
        <v>921733663</v>
      </c>
      <c r="E817" s="8" t="str">
        <f t="shared" si="62"/>
        <v>92173366344</v>
      </c>
      <c r="F817" s="8" t="s">
        <v>368</v>
      </c>
      <c r="G817" s="8">
        <v>1</v>
      </c>
      <c r="H817" s="8">
        <v>20250401</v>
      </c>
      <c r="I817" s="8" t="str">
        <f t="shared" si="60"/>
        <v>4/1/2025</v>
      </c>
      <c r="J817" s="8">
        <v>20240801</v>
      </c>
      <c r="K817" s="8" t="str">
        <f t="shared" si="61"/>
        <v>8/1/2024</v>
      </c>
      <c r="L817" s="8" t="s">
        <v>65</v>
      </c>
      <c r="M817" s="8">
        <v>30</v>
      </c>
      <c r="N817" s="8">
        <v>30</v>
      </c>
      <c r="O817" s="14" t="s">
        <v>3948</v>
      </c>
    </row>
    <row r="818" spans="1:16" ht="15" customHeight="1" x14ac:dyDescent="0.3">
      <c r="A818" s="7" t="s">
        <v>3890</v>
      </c>
      <c r="B818" s="7">
        <v>8307933</v>
      </c>
      <c r="C818" s="8">
        <v>1</v>
      </c>
      <c r="D818" s="8">
        <v>921743807</v>
      </c>
      <c r="E818" s="8" t="str">
        <f t="shared" si="62"/>
        <v>92174380744</v>
      </c>
      <c r="F818" s="8" t="s">
        <v>376</v>
      </c>
      <c r="G818" s="8">
        <v>1</v>
      </c>
      <c r="H818" s="8">
        <v>20250401</v>
      </c>
      <c r="I818" s="8" t="str">
        <f t="shared" si="60"/>
        <v>4/1/2025</v>
      </c>
      <c r="J818" s="8">
        <v>20241101</v>
      </c>
      <c r="K818" s="8" t="str">
        <f t="shared" si="61"/>
        <v>11/1/2024</v>
      </c>
      <c r="L818" s="8" t="s">
        <v>65</v>
      </c>
      <c r="M818" s="8">
        <v>30</v>
      </c>
      <c r="N818" s="8">
        <v>30</v>
      </c>
      <c r="O818" s="14" t="s">
        <v>3948</v>
      </c>
    </row>
    <row r="819" spans="1:16" ht="15" customHeight="1" x14ac:dyDescent="0.3">
      <c r="A819" s="7" t="s">
        <v>3890</v>
      </c>
      <c r="B819" s="7">
        <v>8307933</v>
      </c>
      <c r="C819" s="8">
        <v>2</v>
      </c>
      <c r="D819" s="8">
        <v>921752543</v>
      </c>
      <c r="E819" s="8" t="str">
        <f t="shared" si="62"/>
        <v>92175254344</v>
      </c>
      <c r="F819" s="8" t="s">
        <v>387</v>
      </c>
      <c r="G819" s="8">
        <v>1</v>
      </c>
      <c r="H819" s="8">
        <v>20250401</v>
      </c>
      <c r="I819" s="8" t="str">
        <f t="shared" si="60"/>
        <v>4/1/2025</v>
      </c>
      <c r="J819" s="8">
        <v>20250101</v>
      </c>
      <c r="K819" s="8" t="str">
        <f t="shared" si="61"/>
        <v>1/1/2025</v>
      </c>
      <c r="L819" s="8" t="s">
        <v>65</v>
      </c>
      <c r="M819" s="8">
        <v>30</v>
      </c>
      <c r="N819" s="8">
        <v>60</v>
      </c>
      <c r="O819" s="14" t="s">
        <v>3948</v>
      </c>
      <c r="P819" s="6" t="s">
        <v>3952</v>
      </c>
    </row>
    <row r="820" spans="1:16" ht="15" customHeight="1" x14ac:dyDescent="0.3">
      <c r="A820" s="7" t="s">
        <v>3890</v>
      </c>
      <c r="B820" s="7">
        <v>8307933</v>
      </c>
      <c r="C820" s="6">
        <v>-1</v>
      </c>
      <c r="D820" s="8">
        <v>921115069</v>
      </c>
      <c r="E820" s="8" t="str">
        <f t="shared" si="62"/>
        <v>92111506944</v>
      </c>
      <c r="F820" s="8" t="s">
        <v>181</v>
      </c>
      <c r="G820" s="8">
        <v>-1</v>
      </c>
      <c r="H820" s="8">
        <v>20250301</v>
      </c>
      <c r="I820" s="8" t="str">
        <f t="shared" si="60"/>
        <v>3/1/2025</v>
      </c>
      <c r="J820" s="8">
        <v>20240501</v>
      </c>
      <c r="K820" s="8" t="str">
        <f t="shared" si="61"/>
        <v>5/1/2024</v>
      </c>
      <c r="L820" s="8" t="s">
        <v>65</v>
      </c>
      <c r="M820" s="8">
        <v>30</v>
      </c>
      <c r="N820" s="8">
        <v>-30</v>
      </c>
      <c r="O820" s="14" t="s">
        <v>3948</v>
      </c>
    </row>
    <row r="821" spans="1:16" ht="15" customHeight="1" x14ac:dyDescent="0.2">
      <c r="A821" s="7" t="s">
        <v>3890</v>
      </c>
      <c r="B821" s="7">
        <v>8307933</v>
      </c>
      <c r="C821" s="8">
        <v>1</v>
      </c>
      <c r="D821" s="8">
        <v>890201904</v>
      </c>
      <c r="E821" s="8" t="str">
        <f t="shared" ref="E821:E830" si="63">CONCATENATE(D821,55)</f>
        <v>89020190455</v>
      </c>
      <c r="F821" s="8" t="s">
        <v>135</v>
      </c>
      <c r="G821" s="8">
        <v>1</v>
      </c>
      <c r="H821" s="8">
        <v>20250401</v>
      </c>
      <c r="I821" s="8" t="str">
        <f t="shared" si="60"/>
        <v>4/1/2025</v>
      </c>
      <c r="J821" s="8">
        <v>20141201</v>
      </c>
      <c r="K821" s="8" t="str">
        <f t="shared" si="61"/>
        <v>12/1/2014</v>
      </c>
      <c r="L821" s="8" t="s">
        <v>138</v>
      </c>
      <c r="M821" s="8">
        <v>20</v>
      </c>
      <c r="N821" s="8">
        <v>20</v>
      </c>
      <c r="O821" s="6" t="s">
        <v>3946</v>
      </c>
    </row>
    <row r="822" spans="1:16" ht="15" customHeight="1" x14ac:dyDescent="0.2">
      <c r="A822" s="7" t="s">
        <v>3890</v>
      </c>
      <c r="B822" s="7">
        <v>8307933</v>
      </c>
      <c r="C822" s="8">
        <v>1</v>
      </c>
      <c r="D822" s="8">
        <v>921027292</v>
      </c>
      <c r="E822" s="8" t="str">
        <f t="shared" si="63"/>
        <v>92102729255</v>
      </c>
      <c r="F822" s="8" t="s">
        <v>164</v>
      </c>
      <c r="G822" s="8">
        <v>1</v>
      </c>
      <c r="H822" s="8">
        <v>20250401</v>
      </c>
      <c r="I822" s="8" t="str">
        <f t="shared" si="60"/>
        <v>4/1/2025</v>
      </c>
      <c r="J822" s="8">
        <v>20201201</v>
      </c>
      <c r="K822" s="8" t="str">
        <f t="shared" si="61"/>
        <v>12/1/2020</v>
      </c>
      <c r="L822" s="8" t="s">
        <v>138</v>
      </c>
      <c r="M822" s="8">
        <v>20</v>
      </c>
      <c r="N822" s="8">
        <v>20</v>
      </c>
      <c r="O822" s="6" t="s">
        <v>3946</v>
      </c>
    </row>
    <row r="823" spans="1:16" ht="15" customHeight="1" x14ac:dyDescent="0.2">
      <c r="A823" s="7" t="s">
        <v>3890</v>
      </c>
      <c r="B823" s="7">
        <v>8307933</v>
      </c>
      <c r="C823" s="8">
        <v>1</v>
      </c>
      <c r="D823" s="8">
        <v>921546691</v>
      </c>
      <c r="E823" s="8" t="str">
        <f t="shared" si="63"/>
        <v>92154669155</v>
      </c>
      <c r="F823" s="8" t="s">
        <v>251</v>
      </c>
      <c r="G823" s="8">
        <v>1</v>
      </c>
      <c r="H823" s="8">
        <v>20250401</v>
      </c>
      <c r="I823" s="8" t="str">
        <f t="shared" si="60"/>
        <v>4/1/2025</v>
      </c>
      <c r="J823" s="8">
        <v>20210101</v>
      </c>
      <c r="K823" s="8" t="str">
        <f t="shared" si="61"/>
        <v>1/1/2021</v>
      </c>
      <c r="L823" s="8" t="s">
        <v>138</v>
      </c>
      <c r="M823" s="8">
        <v>20</v>
      </c>
      <c r="N823" s="8">
        <v>20</v>
      </c>
      <c r="O823" s="6" t="s">
        <v>3946</v>
      </c>
    </row>
    <row r="824" spans="1:16" ht="15" customHeight="1" x14ac:dyDescent="0.2">
      <c r="A824" s="7" t="s">
        <v>3890</v>
      </c>
      <c r="B824" s="7">
        <v>8307933</v>
      </c>
      <c r="C824" s="8">
        <v>1</v>
      </c>
      <c r="D824" s="8">
        <v>921597241</v>
      </c>
      <c r="E824" s="8" t="str">
        <f t="shared" si="63"/>
        <v>92159724155</v>
      </c>
      <c r="F824" s="8" t="s">
        <v>296</v>
      </c>
      <c r="G824" s="8">
        <v>1</v>
      </c>
      <c r="H824" s="8">
        <v>20250401</v>
      </c>
      <c r="I824" s="8" t="str">
        <f t="shared" si="60"/>
        <v>4/1/2025</v>
      </c>
      <c r="J824" s="8">
        <v>20220101</v>
      </c>
      <c r="K824" s="8" t="str">
        <f t="shared" si="61"/>
        <v>1/1/2022</v>
      </c>
      <c r="L824" s="8" t="s">
        <v>138</v>
      </c>
      <c r="M824" s="8">
        <v>20</v>
      </c>
      <c r="N824" s="8">
        <v>20</v>
      </c>
      <c r="O824" s="6" t="s">
        <v>3946</v>
      </c>
    </row>
    <row r="825" spans="1:16" ht="15" customHeight="1" x14ac:dyDescent="0.2">
      <c r="A825" s="7" t="s">
        <v>3890</v>
      </c>
      <c r="B825" s="7">
        <v>8307933</v>
      </c>
      <c r="C825" s="8">
        <v>1</v>
      </c>
      <c r="D825" s="8">
        <v>921681086</v>
      </c>
      <c r="E825" s="8" t="str">
        <f t="shared" si="63"/>
        <v>92168108655</v>
      </c>
      <c r="F825" s="8" t="s">
        <v>343</v>
      </c>
      <c r="G825" s="8">
        <v>1</v>
      </c>
      <c r="H825" s="8">
        <v>20250401</v>
      </c>
      <c r="I825" s="8" t="str">
        <f t="shared" si="60"/>
        <v>4/1/2025</v>
      </c>
      <c r="J825" s="8">
        <v>20240101</v>
      </c>
      <c r="K825" s="8" t="str">
        <f t="shared" si="61"/>
        <v>1/1/2024</v>
      </c>
      <c r="L825" s="8" t="s">
        <v>138</v>
      </c>
      <c r="M825" s="8">
        <v>20</v>
      </c>
      <c r="N825" s="8">
        <v>20</v>
      </c>
      <c r="O825" s="6" t="s">
        <v>3946</v>
      </c>
    </row>
    <row r="826" spans="1:16" ht="15" customHeight="1" x14ac:dyDescent="0.2">
      <c r="A826" s="7" t="s">
        <v>3890</v>
      </c>
      <c r="B826" s="7">
        <v>8307933</v>
      </c>
      <c r="C826" s="8">
        <v>1</v>
      </c>
      <c r="D826" s="8">
        <v>921712012</v>
      </c>
      <c r="E826" s="8" t="str">
        <f t="shared" si="63"/>
        <v>92171201255</v>
      </c>
      <c r="F826" s="8" t="s">
        <v>354</v>
      </c>
      <c r="G826" s="8">
        <v>1</v>
      </c>
      <c r="H826" s="8">
        <v>20250401</v>
      </c>
      <c r="I826" s="8" t="str">
        <f t="shared" si="60"/>
        <v>4/1/2025</v>
      </c>
      <c r="J826" s="8">
        <v>20240301</v>
      </c>
      <c r="K826" s="8" t="str">
        <f t="shared" si="61"/>
        <v>3/1/2024</v>
      </c>
      <c r="L826" s="8" t="s">
        <v>138</v>
      </c>
      <c r="M826" s="8">
        <v>20</v>
      </c>
      <c r="N826" s="8">
        <v>20</v>
      </c>
      <c r="O826" s="6" t="s">
        <v>3946</v>
      </c>
    </row>
    <row r="827" spans="1:16" ht="15" customHeight="1" x14ac:dyDescent="0.2">
      <c r="A827" s="7" t="s">
        <v>3890</v>
      </c>
      <c r="B827" s="7">
        <v>8307933</v>
      </c>
      <c r="C827" s="8">
        <v>1</v>
      </c>
      <c r="D827" s="8">
        <v>921717898</v>
      </c>
      <c r="E827" s="8" t="str">
        <f t="shared" si="63"/>
        <v>92171789855</v>
      </c>
      <c r="F827" s="8" t="s">
        <v>358</v>
      </c>
      <c r="G827" s="8">
        <v>1</v>
      </c>
      <c r="H827" s="8">
        <v>20250401</v>
      </c>
      <c r="I827" s="8" t="str">
        <f t="shared" si="60"/>
        <v>4/1/2025</v>
      </c>
      <c r="J827" s="8">
        <v>20240301</v>
      </c>
      <c r="K827" s="8" t="str">
        <f t="shared" si="61"/>
        <v>3/1/2024</v>
      </c>
      <c r="L827" s="8" t="s">
        <v>138</v>
      </c>
      <c r="M827" s="8">
        <v>20</v>
      </c>
      <c r="N827" s="8">
        <v>20</v>
      </c>
      <c r="O827" s="6" t="s">
        <v>3946</v>
      </c>
    </row>
    <row r="828" spans="1:16" ht="15" customHeight="1" x14ac:dyDescent="0.2">
      <c r="A828" s="7" t="s">
        <v>3890</v>
      </c>
      <c r="B828" s="7">
        <v>8307933</v>
      </c>
      <c r="C828" s="8">
        <v>2</v>
      </c>
      <c r="D828" s="8">
        <v>920793160</v>
      </c>
      <c r="E828" s="8" t="str">
        <f t="shared" si="63"/>
        <v>92079316055</v>
      </c>
      <c r="F828" s="8" t="s">
        <v>148</v>
      </c>
      <c r="G828" s="8">
        <v>1</v>
      </c>
      <c r="H828" s="8">
        <v>20250401</v>
      </c>
      <c r="I828" s="8" t="str">
        <f t="shared" si="60"/>
        <v>4/1/2025</v>
      </c>
      <c r="J828" s="8">
        <v>20230901</v>
      </c>
      <c r="K828" s="8" t="str">
        <f t="shared" si="61"/>
        <v>9/1/2023</v>
      </c>
      <c r="L828" s="8" t="s">
        <v>138</v>
      </c>
      <c r="M828" s="8">
        <v>20</v>
      </c>
      <c r="N828" s="8">
        <v>40</v>
      </c>
      <c r="O828" s="6" t="s">
        <v>3946</v>
      </c>
      <c r="P828" s="6" t="s">
        <v>3952</v>
      </c>
    </row>
    <row r="829" spans="1:16" ht="15" customHeight="1" x14ac:dyDescent="0.2">
      <c r="A829" s="7" t="s">
        <v>3890</v>
      </c>
      <c r="B829" s="7">
        <v>8307933</v>
      </c>
      <c r="C829" s="8">
        <v>2</v>
      </c>
      <c r="D829" s="8">
        <v>921562893</v>
      </c>
      <c r="E829" s="8" t="str">
        <f t="shared" si="63"/>
        <v>92156289355</v>
      </c>
      <c r="F829" s="8" t="s">
        <v>260</v>
      </c>
      <c r="G829" s="8">
        <v>1</v>
      </c>
      <c r="H829" s="8">
        <v>20250401</v>
      </c>
      <c r="I829" s="8" t="str">
        <f t="shared" si="60"/>
        <v>4/1/2025</v>
      </c>
      <c r="J829" s="8">
        <v>20210501</v>
      </c>
      <c r="K829" s="8" t="str">
        <f t="shared" si="61"/>
        <v>5/1/2021</v>
      </c>
      <c r="L829" s="8" t="s">
        <v>138</v>
      </c>
      <c r="M829" s="8">
        <v>20</v>
      </c>
      <c r="N829" s="8">
        <v>40</v>
      </c>
      <c r="O829" s="6" t="s">
        <v>3946</v>
      </c>
      <c r="P829" s="6" t="s">
        <v>3952</v>
      </c>
    </row>
    <row r="830" spans="1:16" ht="15" customHeight="1" x14ac:dyDescent="0.2">
      <c r="A830" s="7" t="s">
        <v>3890</v>
      </c>
      <c r="B830" s="7">
        <v>8307933</v>
      </c>
      <c r="C830" s="8">
        <v>1</v>
      </c>
      <c r="D830" s="8">
        <v>921720708</v>
      </c>
      <c r="E830" s="8" t="str">
        <f t="shared" si="63"/>
        <v>92172070855</v>
      </c>
      <c r="F830" s="8" t="s">
        <v>362</v>
      </c>
      <c r="G830" s="8">
        <v>1</v>
      </c>
      <c r="H830" s="8">
        <v>20250401</v>
      </c>
      <c r="I830" s="8" t="str">
        <f t="shared" si="60"/>
        <v>4/1/2025</v>
      </c>
      <c r="J830" s="8">
        <v>20240501</v>
      </c>
      <c r="K830" s="8" t="str">
        <f t="shared" si="61"/>
        <v>5/1/2024</v>
      </c>
      <c r="L830" s="8" t="s">
        <v>138</v>
      </c>
      <c r="M830" s="8">
        <v>25</v>
      </c>
      <c r="N830" s="8">
        <v>25</v>
      </c>
      <c r="O830" s="6" t="s">
        <v>3946</v>
      </c>
    </row>
    <row r="831" spans="1:16" ht="15" customHeight="1" x14ac:dyDescent="0.2">
      <c r="A831" s="7" t="s">
        <v>3890</v>
      </c>
      <c r="B831" s="7">
        <v>8307933</v>
      </c>
      <c r="D831" s="8">
        <v>921531868</v>
      </c>
      <c r="E831" s="8" t="str">
        <f>CONCATENATE(1,D831)</f>
        <v>1921531868</v>
      </c>
      <c r="F831" s="8" t="s">
        <v>238</v>
      </c>
      <c r="G831" s="8">
        <v>18.04</v>
      </c>
      <c r="H831" s="8">
        <v>20250401</v>
      </c>
      <c r="I831" s="8" t="str">
        <f t="shared" si="60"/>
        <v>4/1/2025</v>
      </c>
      <c r="J831" s="8">
        <v>20250101</v>
      </c>
      <c r="K831" s="8" t="str">
        <f t="shared" si="61"/>
        <v>1/1/2025</v>
      </c>
      <c r="L831" s="8" t="s">
        <v>116</v>
      </c>
      <c r="M831" s="8">
        <v>0.04</v>
      </c>
      <c r="N831" s="8">
        <v>0.72</v>
      </c>
      <c r="O831" s="6" t="s">
        <v>3938</v>
      </c>
    </row>
    <row r="832" spans="1:16" ht="15" customHeight="1" x14ac:dyDescent="0.2">
      <c r="A832" s="7" t="s">
        <v>3890</v>
      </c>
      <c r="B832" s="7">
        <v>8307933</v>
      </c>
      <c r="D832" s="8">
        <v>957185285</v>
      </c>
      <c r="E832" s="8" t="str">
        <f>CONCATENATE(D832,7)</f>
        <v>9571852857</v>
      </c>
      <c r="F832" s="8" t="s">
        <v>396</v>
      </c>
      <c r="G832" s="8">
        <v>132.47</v>
      </c>
      <c r="H832" s="8">
        <v>20250301</v>
      </c>
      <c r="I832" s="8" t="str">
        <f t="shared" si="60"/>
        <v>3/1/2025</v>
      </c>
      <c r="J832" s="8">
        <v>20241001</v>
      </c>
      <c r="K832" s="8" t="str">
        <f t="shared" si="61"/>
        <v>10/1/2024</v>
      </c>
      <c r="L832" s="8" t="s">
        <v>398</v>
      </c>
      <c r="M832" s="8">
        <v>0.1</v>
      </c>
      <c r="N832" s="8">
        <v>13.25</v>
      </c>
      <c r="O832" s="6" t="s">
        <v>3942</v>
      </c>
    </row>
    <row r="833" spans="1:16" ht="15" customHeight="1" x14ac:dyDescent="0.2">
      <c r="A833" s="7" t="s">
        <v>3890</v>
      </c>
      <c r="B833" s="7">
        <v>8307933</v>
      </c>
      <c r="D833" s="8">
        <v>957208312</v>
      </c>
      <c r="E833" s="8" t="str">
        <f>CONCATENATE(D833,7)</f>
        <v>9572083127</v>
      </c>
      <c r="F833" s="8" t="s">
        <v>402</v>
      </c>
      <c r="G833" s="8">
        <v>246.25</v>
      </c>
      <c r="H833" s="8">
        <v>20250318</v>
      </c>
      <c r="I833" s="8" t="str">
        <f t="shared" si="60"/>
        <v>3/18/2025</v>
      </c>
      <c r="J833" s="8">
        <v>20250218</v>
      </c>
      <c r="K833" s="8" t="str">
        <f t="shared" si="61"/>
        <v>2/18/2025</v>
      </c>
      <c r="L833" s="8" t="s">
        <v>398</v>
      </c>
      <c r="M833" s="8">
        <v>0.1</v>
      </c>
      <c r="N833" s="8">
        <v>24.63</v>
      </c>
      <c r="O833" s="6" t="s">
        <v>3942</v>
      </c>
    </row>
    <row r="834" spans="1:16" ht="15" customHeight="1" x14ac:dyDescent="0.2">
      <c r="A834" s="7" t="s">
        <v>3912</v>
      </c>
      <c r="B834" s="7">
        <v>16865615</v>
      </c>
      <c r="C834" s="8">
        <v>1</v>
      </c>
      <c r="D834" s="8">
        <v>921449290</v>
      </c>
      <c r="E834" s="8" t="str">
        <f>CONCATENATE(D834,22)</f>
        <v>92144929022</v>
      </c>
      <c r="F834" s="8" t="s">
        <v>2885</v>
      </c>
      <c r="G834" s="8">
        <v>1</v>
      </c>
      <c r="H834" s="8">
        <v>20250401</v>
      </c>
      <c r="I834" s="8" t="str">
        <f t="shared" si="60"/>
        <v>4/1/2025</v>
      </c>
      <c r="J834" s="8">
        <v>20190101</v>
      </c>
      <c r="K834" s="8" t="str">
        <f t="shared" si="61"/>
        <v>1/1/2019</v>
      </c>
      <c r="L834" s="8" t="s">
        <v>56</v>
      </c>
      <c r="M834" s="8">
        <v>20</v>
      </c>
      <c r="N834" s="8">
        <v>20</v>
      </c>
      <c r="O834" s="6" t="s">
        <v>3947</v>
      </c>
    </row>
    <row r="835" spans="1:16" ht="15" customHeight="1" x14ac:dyDescent="0.2">
      <c r="A835" s="7" t="s">
        <v>3912</v>
      </c>
      <c r="B835" s="7">
        <v>16865615</v>
      </c>
      <c r="C835" s="8">
        <v>1</v>
      </c>
      <c r="D835" s="8">
        <v>921585426</v>
      </c>
      <c r="E835" s="8" t="str">
        <f>CONCATENATE(D835,22)</f>
        <v>92158542622</v>
      </c>
      <c r="F835" s="8" t="s">
        <v>2887</v>
      </c>
      <c r="G835" s="8">
        <v>1</v>
      </c>
      <c r="H835" s="8">
        <v>20250401</v>
      </c>
      <c r="I835" s="8" t="str">
        <f t="shared" ref="I835:I898" si="64">TEXT(DATE(LEFT(H835,4), MID(H835,5,2), RIGHT(H835,2)), "M/d/yyyy")</f>
        <v>4/1/2025</v>
      </c>
      <c r="J835" s="8">
        <v>20211001</v>
      </c>
      <c r="K835" s="8" t="str">
        <f t="shared" ref="K835:K898" si="65">TEXT(DATE(LEFT(J835,4), MID(J835,5,2), RIGHT(J835,2)), "M/d/yyyy")</f>
        <v>10/1/2021</v>
      </c>
      <c r="L835" s="8" t="s">
        <v>56</v>
      </c>
      <c r="M835" s="8">
        <v>20</v>
      </c>
      <c r="N835" s="8">
        <v>20</v>
      </c>
      <c r="O835" s="6" t="s">
        <v>3947</v>
      </c>
    </row>
    <row r="836" spans="1:16" ht="15" customHeight="1" x14ac:dyDescent="0.3">
      <c r="A836" s="7" t="s">
        <v>3912</v>
      </c>
      <c r="B836" s="7">
        <v>16865615</v>
      </c>
      <c r="C836" s="8">
        <v>2</v>
      </c>
      <c r="D836" s="8">
        <v>921100154</v>
      </c>
      <c r="E836" s="8" t="str">
        <f>CONCATENATE(D836,44)</f>
        <v>92110015444</v>
      </c>
      <c r="F836" s="8" t="s">
        <v>2882</v>
      </c>
      <c r="G836" s="8">
        <v>1</v>
      </c>
      <c r="H836" s="8">
        <v>20250401</v>
      </c>
      <c r="I836" s="8" t="str">
        <f t="shared" si="64"/>
        <v>4/1/2025</v>
      </c>
      <c r="J836" s="8">
        <v>20200101</v>
      </c>
      <c r="K836" s="8" t="str">
        <f t="shared" si="65"/>
        <v>1/1/2020</v>
      </c>
      <c r="L836" s="8" t="s">
        <v>65</v>
      </c>
      <c r="M836" s="8">
        <v>25</v>
      </c>
      <c r="N836" s="8">
        <v>50</v>
      </c>
      <c r="O836" s="14" t="s">
        <v>3948</v>
      </c>
      <c r="P836" s="6" t="s">
        <v>3952</v>
      </c>
    </row>
    <row r="837" spans="1:16" ht="15" customHeight="1" x14ac:dyDescent="0.3">
      <c r="A837" s="7" t="s">
        <v>3912</v>
      </c>
      <c r="B837" s="7">
        <v>16865615</v>
      </c>
      <c r="C837" s="8">
        <v>1</v>
      </c>
      <c r="D837" s="8">
        <v>921743493</v>
      </c>
      <c r="E837" s="8" t="str">
        <f>CONCATENATE(D837,44)</f>
        <v>92174349344</v>
      </c>
      <c r="F837" s="8" t="s">
        <v>2889</v>
      </c>
      <c r="G837" s="8">
        <v>1</v>
      </c>
      <c r="H837" s="8">
        <v>20250401</v>
      </c>
      <c r="I837" s="8" t="str">
        <f t="shared" si="64"/>
        <v>4/1/2025</v>
      </c>
      <c r="J837" s="8">
        <v>20241101</v>
      </c>
      <c r="K837" s="8" t="str">
        <f t="shared" si="65"/>
        <v>11/1/2024</v>
      </c>
      <c r="L837" s="8" t="s">
        <v>65</v>
      </c>
      <c r="M837" s="8">
        <v>30</v>
      </c>
      <c r="N837" s="8">
        <v>30</v>
      </c>
      <c r="O837" s="14" t="s">
        <v>3948</v>
      </c>
    </row>
    <row r="838" spans="1:16" ht="15" customHeight="1" x14ac:dyDescent="0.3">
      <c r="A838" s="7" t="s">
        <v>3912</v>
      </c>
      <c r="B838" s="7">
        <v>16865615</v>
      </c>
      <c r="C838" s="8">
        <v>1</v>
      </c>
      <c r="D838" s="8">
        <v>921743493</v>
      </c>
      <c r="E838" s="8" t="str">
        <f>CONCATENATE(D838,44)</f>
        <v>92174349344</v>
      </c>
      <c r="F838" s="8" t="s">
        <v>2889</v>
      </c>
      <c r="G838" s="8">
        <v>1</v>
      </c>
      <c r="H838" s="8">
        <v>20250301</v>
      </c>
      <c r="I838" s="8" t="str">
        <f t="shared" si="64"/>
        <v>3/1/2025</v>
      </c>
      <c r="J838" s="8">
        <v>20241101</v>
      </c>
      <c r="K838" s="8" t="str">
        <f t="shared" si="65"/>
        <v>11/1/2024</v>
      </c>
      <c r="L838" s="8" t="s">
        <v>65</v>
      </c>
      <c r="M838" s="8">
        <v>30</v>
      </c>
      <c r="N838" s="8">
        <v>30</v>
      </c>
      <c r="O838" s="14" t="s">
        <v>3948</v>
      </c>
    </row>
    <row r="839" spans="1:16" ht="15" customHeight="1" x14ac:dyDescent="0.2">
      <c r="A839" s="7" t="s">
        <v>3912</v>
      </c>
      <c r="B839" s="7">
        <v>16865615</v>
      </c>
      <c r="D839" s="8">
        <v>957178708</v>
      </c>
      <c r="E839" s="8" t="str">
        <f>CONCATENATE(D839,7)</f>
        <v>9571787087</v>
      </c>
      <c r="F839" s="8" t="s">
        <v>2891</v>
      </c>
      <c r="G839" s="8">
        <v>136.88999999999999</v>
      </c>
      <c r="H839" s="8">
        <v>20250301</v>
      </c>
      <c r="I839" s="8" t="str">
        <f t="shared" si="64"/>
        <v>3/1/2025</v>
      </c>
      <c r="J839" s="8">
        <v>20240801</v>
      </c>
      <c r="K839" s="8" t="str">
        <f t="shared" si="65"/>
        <v>8/1/2024</v>
      </c>
      <c r="L839" s="8" t="s">
        <v>398</v>
      </c>
      <c r="M839" s="8">
        <v>0.1</v>
      </c>
      <c r="N839" s="8">
        <v>13.69</v>
      </c>
      <c r="O839" s="6" t="s">
        <v>3942</v>
      </c>
    </row>
    <row r="840" spans="1:16" ht="15" customHeight="1" x14ac:dyDescent="0.2">
      <c r="A840" s="7" t="s">
        <v>3904</v>
      </c>
      <c r="B840" s="7">
        <v>18754354</v>
      </c>
      <c r="D840" s="8">
        <v>957205224</v>
      </c>
      <c r="E840" s="8" t="str">
        <f>CONCATENATE(D840,1)</f>
        <v>9572052241</v>
      </c>
      <c r="F840" s="8" t="s">
        <v>2339</v>
      </c>
      <c r="G840" s="8">
        <v>317.75</v>
      </c>
      <c r="H840" s="8">
        <v>20250301</v>
      </c>
      <c r="I840" s="8" t="str">
        <f t="shared" si="64"/>
        <v>3/1/2025</v>
      </c>
      <c r="J840" s="8">
        <v>20250201</v>
      </c>
      <c r="K840" s="8" t="str">
        <f t="shared" si="65"/>
        <v>2/1/2025</v>
      </c>
      <c r="L840" s="8" t="s">
        <v>924</v>
      </c>
      <c r="M840" s="8">
        <v>6.25E-2</v>
      </c>
      <c r="N840" s="8">
        <v>19.86</v>
      </c>
      <c r="O840" s="6" t="s">
        <v>3940</v>
      </c>
    </row>
    <row r="841" spans="1:16" ht="15" customHeight="1" x14ac:dyDescent="0.2">
      <c r="A841" s="7" t="s">
        <v>3904</v>
      </c>
      <c r="B841" s="7">
        <v>18754354</v>
      </c>
      <c r="D841" s="8">
        <v>957204986</v>
      </c>
      <c r="E841" s="8" t="str">
        <f>CONCATENATE(D841,1)</f>
        <v>9572049861</v>
      </c>
      <c r="F841" s="8" t="s">
        <v>2335</v>
      </c>
      <c r="G841" s="8">
        <v>168.57</v>
      </c>
      <c r="H841" s="8">
        <v>20250301</v>
      </c>
      <c r="I841" s="8" t="str">
        <f t="shared" si="64"/>
        <v>3/1/2025</v>
      </c>
      <c r="J841" s="8">
        <v>20250201</v>
      </c>
      <c r="K841" s="8" t="str">
        <f t="shared" si="65"/>
        <v>2/1/2025</v>
      </c>
      <c r="L841" s="8" t="s">
        <v>980</v>
      </c>
      <c r="M841" s="8">
        <v>0.20499999999999999</v>
      </c>
      <c r="N841" s="8">
        <v>34.56</v>
      </c>
      <c r="O841" s="6" t="s">
        <v>3945</v>
      </c>
    </row>
    <row r="842" spans="1:16" ht="15" customHeight="1" x14ac:dyDescent="0.2">
      <c r="A842" s="7" t="s">
        <v>3904</v>
      </c>
      <c r="B842" s="7">
        <v>18754354</v>
      </c>
      <c r="C842" s="8">
        <v>1</v>
      </c>
      <c r="D842" s="8">
        <v>890366239</v>
      </c>
      <c r="E842" s="8" t="str">
        <f t="shared" ref="E842:E875" si="66">CONCATENATE(D842,22)</f>
        <v>89036623922</v>
      </c>
      <c r="F842" s="8" t="s">
        <v>2171</v>
      </c>
      <c r="G842" s="8">
        <v>1</v>
      </c>
      <c r="H842" s="8">
        <v>20250401</v>
      </c>
      <c r="I842" s="8" t="str">
        <f t="shared" si="64"/>
        <v>4/1/2025</v>
      </c>
      <c r="J842" s="8">
        <v>20170201</v>
      </c>
      <c r="K842" s="8" t="str">
        <f t="shared" si="65"/>
        <v>2/1/2017</v>
      </c>
      <c r="L842" s="8" t="s">
        <v>56</v>
      </c>
      <c r="M842" s="8">
        <v>20</v>
      </c>
      <c r="N842" s="8">
        <v>20</v>
      </c>
      <c r="O842" s="6" t="s">
        <v>3947</v>
      </c>
    </row>
    <row r="843" spans="1:16" ht="15" customHeight="1" x14ac:dyDescent="0.2">
      <c r="A843" s="7" t="s">
        <v>3904</v>
      </c>
      <c r="B843" s="7">
        <v>18754354</v>
      </c>
      <c r="C843" s="8">
        <v>1</v>
      </c>
      <c r="D843" s="8">
        <v>920935083</v>
      </c>
      <c r="E843" s="8" t="str">
        <f t="shared" si="66"/>
        <v>92093508322</v>
      </c>
      <c r="F843" s="8" t="s">
        <v>2184</v>
      </c>
      <c r="G843" s="8">
        <v>1</v>
      </c>
      <c r="H843" s="8">
        <v>20250401</v>
      </c>
      <c r="I843" s="8" t="str">
        <f t="shared" si="64"/>
        <v>4/1/2025</v>
      </c>
      <c r="J843" s="8">
        <v>20211001</v>
      </c>
      <c r="K843" s="8" t="str">
        <f t="shared" si="65"/>
        <v>10/1/2021</v>
      </c>
      <c r="L843" s="8" t="s">
        <v>56</v>
      </c>
      <c r="M843" s="8">
        <v>20</v>
      </c>
      <c r="N843" s="8">
        <v>20</v>
      </c>
      <c r="O843" s="6" t="s">
        <v>3947</v>
      </c>
    </row>
    <row r="844" spans="1:16" ht="15" customHeight="1" x14ac:dyDescent="0.2">
      <c r="A844" s="7" t="s">
        <v>3904</v>
      </c>
      <c r="B844" s="7">
        <v>18754354</v>
      </c>
      <c r="C844" s="8">
        <v>1</v>
      </c>
      <c r="D844" s="8">
        <v>921265079</v>
      </c>
      <c r="E844" s="8" t="str">
        <f t="shared" si="66"/>
        <v>92126507922</v>
      </c>
      <c r="F844" s="8" t="s">
        <v>2192</v>
      </c>
      <c r="G844" s="8">
        <v>1</v>
      </c>
      <c r="H844" s="8">
        <v>20250401</v>
      </c>
      <c r="I844" s="8" t="str">
        <f t="shared" si="64"/>
        <v>4/1/2025</v>
      </c>
      <c r="J844" s="8">
        <v>20170901</v>
      </c>
      <c r="K844" s="8" t="str">
        <f t="shared" si="65"/>
        <v>9/1/2017</v>
      </c>
      <c r="L844" s="8" t="s">
        <v>56</v>
      </c>
      <c r="M844" s="8">
        <v>20</v>
      </c>
      <c r="N844" s="8">
        <v>20</v>
      </c>
      <c r="O844" s="6" t="s">
        <v>3947</v>
      </c>
    </row>
    <row r="845" spans="1:16" ht="15" customHeight="1" x14ac:dyDescent="0.2">
      <c r="A845" s="7" t="s">
        <v>3904</v>
      </c>
      <c r="B845" s="7">
        <v>18754354</v>
      </c>
      <c r="C845" s="8">
        <v>1</v>
      </c>
      <c r="D845" s="8">
        <v>921491021</v>
      </c>
      <c r="E845" s="8" t="str">
        <f t="shared" si="66"/>
        <v>92149102122</v>
      </c>
      <c r="F845" s="8" t="s">
        <v>2214</v>
      </c>
      <c r="G845" s="8">
        <v>1</v>
      </c>
      <c r="H845" s="8">
        <v>20250401</v>
      </c>
      <c r="I845" s="8" t="str">
        <f t="shared" si="64"/>
        <v>4/1/2025</v>
      </c>
      <c r="J845" s="8">
        <v>20200101</v>
      </c>
      <c r="K845" s="8" t="str">
        <f t="shared" si="65"/>
        <v>1/1/2020</v>
      </c>
      <c r="L845" s="8" t="s">
        <v>56</v>
      </c>
      <c r="M845" s="8">
        <v>20</v>
      </c>
      <c r="N845" s="8">
        <v>20</v>
      </c>
      <c r="O845" s="6" t="s">
        <v>3947</v>
      </c>
    </row>
    <row r="846" spans="1:16" ht="15" customHeight="1" x14ac:dyDescent="0.2">
      <c r="A846" s="7" t="s">
        <v>3904</v>
      </c>
      <c r="B846" s="7">
        <v>18754354</v>
      </c>
      <c r="C846" s="8">
        <v>1</v>
      </c>
      <c r="D846" s="8">
        <v>921541916</v>
      </c>
      <c r="E846" s="8" t="str">
        <f t="shared" si="66"/>
        <v>92154191622</v>
      </c>
      <c r="F846" s="8" t="s">
        <v>2224</v>
      </c>
      <c r="G846" s="8">
        <v>1</v>
      </c>
      <c r="H846" s="8">
        <v>20250401</v>
      </c>
      <c r="I846" s="8" t="str">
        <f t="shared" si="64"/>
        <v>4/1/2025</v>
      </c>
      <c r="J846" s="8">
        <v>20210101</v>
      </c>
      <c r="K846" s="8" t="str">
        <f t="shared" si="65"/>
        <v>1/1/2021</v>
      </c>
      <c r="L846" s="8" t="s">
        <v>56</v>
      </c>
      <c r="M846" s="8">
        <v>20</v>
      </c>
      <c r="N846" s="8">
        <v>20</v>
      </c>
      <c r="O846" s="6" t="s">
        <v>3947</v>
      </c>
    </row>
    <row r="847" spans="1:16" ht="15" customHeight="1" x14ac:dyDescent="0.2">
      <c r="A847" s="7" t="s">
        <v>3904</v>
      </c>
      <c r="B847" s="7">
        <v>18754354</v>
      </c>
      <c r="C847" s="8">
        <v>1</v>
      </c>
      <c r="D847" s="8">
        <v>921541916</v>
      </c>
      <c r="E847" s="8" t="str">
        <f t="shared" si="66"/>
        <v>92154191622</v>
      </c>
      <c r="F847" s="8" t="s">
        <v>2224</v>
      </c>
      <c r="G847" s="8">
        <v>1</v>
      </c>
      <c r="H847" s="8">
        <v>20250301</v>
      </c>
      <c r="I847" s="8" t="str">
        <f t="shared" si="64"/>
        <v>3/1/2025</v>
      </c>
      <c r="J847" s="8">
        <v>20210101</v>
      </c>
      <c r="K847" s="8" t="str">
        <f t="shared" si="65"/>
        <v>1/1/2021</v>
      </c>
      <c r="L847" s="8" t="s">
        <v>56</v>
      </c>
      <c r="M847" s="8">
        <v>20</v>
      </c>
      <c r="N847" s="8">
        <v>20</v>
      </c>
      <c r="O847" s="6" t="s">
        <v>3947</v>
      </c>
    </row>
    <row r="848" spans="1:16" ht="15" customHeight="1" x14ac:dyDescent="0.2">
      <c r="A848" s="7" t="s">
        <v>3904</v>
      </c>
      <c r="B848" s="7">
        <v>18754354</v>
      </c>
      <c r="C848" s="8">
        <v>1</v>
      </c>
      <c r="D848" s="8">
        <v>921547422</v>
      </c>
      <c r="E848" s="8" t="str">
        <f t="shared" si="66"/>
        <v>92154742222</v>
      </c>
      <c r="F848" s="8" t="s">
        <v>2228</v>
      </c>
      <c r="G848" s="8">
        <v>1</v>
      </c>
      <c r="H848" s="8">
        <v>20250401</v>
      </c>
      <c r="I848" s="8" t="str">
        <f t="shared" si="64"/>
        <v>4/1/2025</v>
      </c>
      <c r="J848" s="8">
        <v>20210101</v>
      </c>
      <c r="K848" s="8" t="str">
        <f t="shared" si="65"/>
        <v>1/1/2021</v>
      </c>
      <c r="L848" s="8" t="s">
        <v>56</v>
      </c>
      <c r="M848" s="8">
        <v>20</v>
      </c>
      <c r="N848" s="8">
        <v>20</v>
      </c>
      <c r="O848" s="6" t="s">
        <v>3947</v>
      </c>
    </row>
    <row r="849" spans="1:16" ht="15" customHeight="1" x14ac:dyDescent="0.2">
      <c r="A849" s="7" t="s">
        <v>3904</v>
      </c>
      <c r="B849" s="7">
        <v>18754354</v>
      </c>
      <c r="C849" s="8">
        <v>1</v>
      </c>
      <c r="D849" s="8">
        <v>921549026</v>
      </c>
      <c r="E849" s="8" t="str">
        <f t="shared" si="66"/>
        <v>92154902622</v>
      </c>
      <c r="F849" s="8" t="s">
        <v>2230</v>
      </c>
      <c r="G849" s="8">
        <v>1</v>
      </c>
      <c r="H849" s="8">
        <v>20250401</v>
      </c>
      <c r="I849" s="8" t="str">
        <f t="shared" si="64"/>
        <v>4/1/2025</v>
      </c>
      <c r="J849" s="8">
        <v>20210101</v>
      </c>
      <c r="K849" s="8" t="str">
        <f t="shared" si="65"/>
        <v>1/1/2021</v>
      </c>
      <c r="L849" s="8" t="s">
        <v>56</v>
      </c>
      <c r="M849" s="8">
        <v>20</v>
      </c>
      <c r="N849" s="8">
        <v>20</v>
      </c>
      <c r="O849" s="6" t="s">
        <v>3947</v>
      </c>
    </row>
    <row r="850" spans="1:16" ht="15" customHeight="1" x14ac:dyDescent="0.2">
      <c r="A850" s="7" t="s">
        <v>3904</v>
      </c>
      <c r="B850" s="7">
        <v>18754354</v>
      </c>
      <c r="C850" s="8">
        <v>1</v>
      </c>
      <c r="D850" s="8">
        <v>921619921</v>
      </c>
      <c r="E850" s="8" t="str">
        <f t="shared" si="66"/>
        <v>92161992122</v>
      </c>
      <c r="F850" s="8" t="s">
        <v>2244</v>
      </c>
      <c r="G850" s="8">
        <v>1</v>
      </c>
      <c r="H850" s="8">
        <v>20250401</v>
      </c>
      <c r="I850" s="8" t="str">
        <f t="shared" si="64"/>
        <v>4/1/2025</v>
      </c>
      <c r="J850" s="8">
        <v>20220901</v>
      </c>
      <c r="K850" s="8" t="str">
        <f t="shared" si="65"/>
        <v>9/1/2022</v>
      </c>
      <c r="L850" s="8" t="s">
        <v>56</v>
      </c>
      <c r="M850" s="8">
        <v>20</v>
      </c>
      <c r="N850" s="8">
        <v>20</v>
      </c>
      <c r="O850" s="6" t="s">
        <v>3947</v>
      </c>
    </row>
    <row r="851" spans="1:16" ht="15" customHeight="1" x14ac:dyDescent="0.2">
      <c r="A851" s="7" t="s">
        <v>3904</v>
      </c>
      <c r="B851" s="7">
        <v>18754354</v>
      </c>
      <c r="C851" s="8">
        <v>1</v>
      </c>
      <c r="D851" s="8">
        <v>921620919</v>
      </c>
      <c r="E851" s="8" t="str">
        <f t="shared" si="66"/>
        <v>92162091922</v>
      </c>
      <c r="F851" s="8" t="s">
        <v>2247</v>
      </c>
      <c r="G851" s="8">
        <v>1</v>
      </c>
      <c r="H851" s="8">
        <v>20250401</v>
      </c>
      <c r="I851" s="8" t="str">
        <f t="shared" si="64"/>
        <v>4/1/2025</v>
      </c>
      <c r="J851" s="8">
        <v>20220901</v>
      </c>
      <c r="K851" s="8" t="str">
        <f t="shared" si="65"/>
        <v>9/1/2022</v>
      </c>
      <c r="L851" s="8" t="s">
        <v>56</v>
      </c>
      <c r="M851" s="8">
        <v>20</v>
      </c>
      <c r="N851" s="8">
        <v>20</v>
      </c>
      <c r="O851" s="6" t="s">
        <v>3947</v>
      </c>
    </row>
    <row r="852" spans="1:16" ht="15" customHeight="1" x14ac:dyDescent="0.2">
      <c r="A852" s="7" t="s">
        <v>3904</v>
      </c>
      <c r="B852" s="7">
        <v>18754354</v>
      </c>
      <c r="C852" s="8">
        <v>1</v>
      </c>
      <c r="D852" s="8">
        <v>921654253</v>
      </c>
      <c r="E852" s="8" t="str">
        <f t="shared" si="66"/>
        <v>92165425322</v>
      </c>
      <c r="F852" s="8" t="s">
        <v>2255</v>
      </c>
      <c r="G852" s="8">
        <v>1</v>
      </c>
      <c r="H852" s="8">
        <v>20250401</v>
      </c>
      <c r="I852" s="8" t="str">
        <f t="shared" si="64"/>
        <v>4/1/2025</v>
      </c>
      <c r="J852" s="8">
        <v>20230301</v>
      </c>
      <c r="K852" s="8" t="str">
        <f t="shared" si="65"/>
        <v>3/1/2023</v>
      </c>
      <c r="L852" s="8" t="s">
        <v>56</v>
      </c>
      <c r="M852" s="8">
        <v>20</v>
      </c>
      <c r="N852" s="8">
        <v>20</v>
      </c>
      <c r="O852" s="6" t="s">
        <v>3947</v>
      </c>
    </row>
    <row r="853" spans="1:16" ht="15" customHeight="1" x14ac:dyDescent="0.2">
      <c r="A853" s="7" t="s">
        <v>3904</v>
      </c>
      <c r="B853" s="7">
        <v>18754354</v>
      </c>
      <c r="C853" s="8">
        <v>1</v>
      </c>
      <c r="D853" s="8">
        <v>921667756</v>
      </c>
      <c r="E853" s="8" t="str">
        <f t="shared" si="66"/>
        <v>92166775622</v>
      </c>
      <c r="F853" s="8" t="s">
        <v>2259</v>
      </c>
      <c r="G853" s="8">
        <v>1</v>
      </c>
      <c r="H853" s="8">
        <v>20250401</v>
      </c>
      <c r="I853" s="8" t="str">
        <f t="shared" si="64"/>
        <v>4/1/2025</v>
      </c>
      <c r="J853" s="8">
        <v>20230901</v>
      </c>
      <c r="K853" s="8" t="str">
        <f t="shared" si="65"/>
        <v>9/1/2023</v>
      </c>
      <c r="L853" s="8" t="s">
        <v>56</v>
      </c>
      <c r="M853" s="8">
        <v>20</v>
      </c>
      <c r="N853" s="8">
        <v>20</v>
      </c>
      <c r="O853" s="6" t="s">
        <v>3947</v>
      </c>
    </row>
    <row r="854" spans="1:16" ht="15" customHeight="1" x14ac:dyDescent="0.2">
      <c r="A854" s="7" t="s">
        <v>3904</v>
      </c>
      <c r="B854" s="7">
        <v>18754354</v>
      </c>
      <c r="C854" s="8">
        <v>1</v>
      </c>
      <c r="D854" s="8">
        <v>921667820</v>
      </c>
      <c r="E854" s="8" t="str">
        <f t="shared" si="66"/>
        <v>92166782022</v>
      </c>
      <c r="F854" s="8" t="s">
        <v>2261</v>
      </c>
      <c r="G854" s="8">
        <v>1</v>
      </c>
      <c r="H854" s="8">
        <v>20250401</v>
      </c>
      <c r="I854" s="8" t="str">
        <f t="shared" si="64"/>
        <v>4/1/2025</v>
      </c>
      <c r="J854" s="8">
        <v>20230901</v>
      </c>
      <c r="K854" s="8" t="str">
        <f t="shared" si="65"/>
        <v>9/1/2023</v>
      </c>
      <c r="L854" s="8" t="s">
        <v>56</v>
      </c>
      <c r="M854" s="8">
        <v>20</v>
      </c>
      <c r="N854" s="8">
        <v>20</v>
      </c>
      <c r="O854" s="6" t="s">
        <v>3947</v>
      </c>
    </row>
    <row r="855" spans="1:16" ht="15" customHeight="1" x14ac:dyDescent="0.2">
      <c r="A855" s="7" t="s">
        <v>3904</v>
      </c>
      <c r="B855" s="7">
        <v>18754354</v>
      </c>
      <c r="C855" s="8">
        <v>1</v>
      </c>
      <c r="D855" s="8">
        <v>921672394</v>
      </c>
      <c r="E855" s="8" t="str">
        <f t="shared" si="66"/>
        <v>92167239422</v>
      </c>
      <c r="F855" s="8" t="s">
        <v>2263</v>
      </c>
      <c r="G855" s="8">
        <v>1</v>
      </c>
      <c r="H855" s="8">
        <v>20250401</v>
      </c>
      <c r="I855" s="8" t="str">
        <f t="shared" si="64"/>
        <v>4/1/2025</v>
      </c>
      <c r="J855" s="8">
        <v>20231001</v>
      </c>
      <c r="K855" s="8" t="str">
        <f t="shared" si="65"/>
        <v>10/1/2023</v>
      </c>
      <c r="L855" s="8" t="s">
        <v>56</v>
      </c>
      <c r="M855" s="8">
        <v>20</v>
      </c>
      <c r="N855" s="8">
        <v>20</v>
      </c>
      <c r="O855" s="6" t="s">
        <v>3947</v>
      </c>
    </row>
    <row r="856" spans="1:16" ht="15" customHeight="1" x14ac:dyDescent="0.2">
      <c r="A856" s="7" t="s">
        <v>3904</v>
      </c>
      <c r="B856" s="7">
        <v>18754354</v>
      </c>
      <c r="C856" s="8">
        <v>1</v>
      </c>
      <c r="D856" s="8">
        <v>921708094</v>
      </c>
      <c r="E856" s="8" t="str">
        <f t="shared" si="66"/>
        <v>92170809422</v>
      </c>
      <c r="F856" s="8" t="s">
        <v>2273</v>
      </c>
      <c r="G856" s="8">
        <v>1</v>
      </c>
      <c r="H856" s="8">
        <v>20250401</v>
      </c>
      <c r="I856" s="8" t="str">
        <f t="shared" si="64"/>
        <v>4/1/2025</v>
      </c>
      <c r="J856" s="8">
        <v>20240201</v>
      </c>
      <c r="K856" s="8" t="str">
        <f t="shared" si="65"/>
        <v>2/1/2024</v>
      </c>
      <c r="L856" s="8" t="s">
        <v>56</v>
      </c>
      <c r="M856" s="8">
        <v>20</v>
      </c>
      <c r="N856" s="8">
        <v>20</v>
      </c>
      <c r="O856" s="6" t="s">
        <v>3947</v>
      </c>
    </row>
    <row r="857" spans="1:16" ht="15" customHeight="1" x14ac:dyDescent="0.2">
      <c r="A857" s="7" t="s">
        <v>3904</v>
      </c>
      <c r="B857" s="7">
        <v>18754354</v>
      </c>
      <c r="C857" s="8">
        <v>2</v>
      </c>
      <c r="D857" s="8">
        <v>921518750</v>
      </c>
      <c r="E857" s="8" t="str">
        <f t="shared" si="66"/>
        <v>92151875022</v>
      </c>
      <c r="F857" s="8" t="s">
        <v>2220</v>
      </c>
      <c r="G857" s="8">
        <v>1</v>
      </c>
      <c r="H857" s="8">
        <v>20250401</v>
      </c>
      <c r="I857" s="8" t="str">
        <f t="shared" si="64"/>
        <v>4/1/2025</v>
      </c>
      <c r="J857" s="8">
        <v>20240201</v>
      </c>
      <c r="K857" s="8" t="str">
        <f t="shared" si="65"/>
        <v>2/1/2024</v>
      </c>
      <c r="L857" s="8" t="s">
        <v>56</v>
      </c>
      <c r="M857" s="8">
        <v>20</v>
      </c>
      <c r="N857" s="8">
        <v>40</v>
      </c>
      <c r="O857" s="6" t="s">
        <v>3947</v>
      </c>
      <c r="P857" s="6" t="s">
        <v>3952</v>
      </c>
    </row>
    <row r="858" spans="1:16" ht="15" customHeight="1" x14ac:dyDescent="0.2">
      <c r="A858" s="7" t="s">
        <v>3904</v>
      </c>
      <c r="B858" s="7">
        <v>18754354</v>
      </c>
      <c r="C858" s="8">
        <v>2</v>
      </c>
      <c r="D858" s="8">
        <v>921622709</v>
      </c>
      <c r="E858" s="8" t="str">
        <f t="shared" si="66"/>
        <v>92162270922</v>
      </c>
      <c r="F858" s="8" t="s">
        <v>2251</v>
      </c>
      <c r="G858" s="8">
        <v>1</v>
      </c>
      <c r="H858" s="8">
        <v>20250401</v>
      </c>
      <c r="I858" s="8" t="str">
        <f t="shared" si="64"/>
        <v>4/1/2025</v>
      </c>
      <c r="J858" s="8">
        <v>20221001</v>
      </c>
      <c r="K858" s="8" t="str">
        <f t="shared" si="65"/>
        <v>10/1/2022</v>
      </c>
      <c r="L858" s="8" t="s">
        <v>56</v>
      </c>
      <c r="M858" s="8">
        <v>20</v>
      </c>
      <c r="N858" s="8">
        <v>40</v>
      </c>
      <c r="O858" s="6" t="s">
        <v>3947</v>
      </c>
      <c r="P858" s="6" t="s">
        <v>3952</v>
      </c>
    </row>
    <row r="859" spans="1:16" ht="15" customHeight="1" x14ac:dyDescent="0.2">
      <c r="A859" s="7" t="s">
        <v>3904</v>
      </c>
      <c r="B859" s="7">
        <v>18754354</v>
      </c>
      <c r="C859" s="8">
        <v>3</v>
      </c>
      <c r="D859" s="8">
        <v>921589068</v>
      </c>
      <c r="E859" s="8" t="str">
        <f t="shared" si="66"/>
        <v>92158906822</v>
      </c>
      <c r="F859" s="8" t="s">
        <v>2236</v>
      </c>
      <c r="G859" s="8">
        <v>1</v>
      </c>
      <c r="H859" s="8">
        <v>20250401</v>
      </c>
      <c r="I859" s="8" t="str">
        <f t="shared" si="64"/>
        <v>4/1/2025</v>
      </c>
      <c r="J859" s="8">
        <v>20220101</v>
      </c>
      <c r="K859" s="8" t="str">
        <f t="shared" si="65"/>
        <v>1/1/2022</v>
      </c>
      <c r="L859" s="8" t="s">
        <v>56</v>
      </c>
      <c r="M859" s="8">
        <v>20</v>
      </c>
      <c r="N859" s="8">
        <v>60</v>
      </c>
      <c r="O859" s="6" t="s">
        <v>3947</v>
      </c>
      <c r="P859" s="6" t="s">
        <v>3953</v>
      </c>
    </row>
    <row r="860" spans="1:16" ht="15" customHeight="1" x14ac:dyDescent="0.2">
      <c r="A860" s="7" t="s">
        <v>3904</v>
      </c>
      <c r="B860" s="7">
        <v>18754354</v>
      </c>
      <c r="C860" s="8">
        <v>3</v>
      </c>
      <c r="D860" s="8">
        <v>921589068</v>
      </c>
      <c r="E860" s="8" t="str">
        <f t="shared" si="66"/>
        <v>92158906822</v>
      </c>
      <c r="F860" s="8" t="s">
        <v>2236</v>
      </c>
      <c r="G860" s="8">
        <v>1</v>
      </c>
      <c r="H860" s="8">
        <v>20250301</v>
      </c>
      <c r="I860" s="8" t="str">
        <f t="shared" si="64"/>
        <v>3/1/2025</v>
      </c>
      <c r="J860" s="8">
        <v>20220101</v>
      </c>
      <c r="K860" s="8" t="str">
        <f t="shared" si="65"/>
        <v>1/1/2022</v>
      </c>
      <c r="L860" s="8" t="s">
        <v>56</v>
      </c>
      <c r="M860" s="8">
        <v>20</v>
      </c>
      <c r="N860" s="8">
        <v>60</v>
      </c>
      <c r="O860" s="6" t="s">
        <v>3947</v>
      </c>
      <c r="P860" s="6" t="s">
        <v>3953</v>
      </c>
    </row>
    <row r="861" spans="1:16" ht="15" customHeight="1" x14ac:dyDescent="0.2">
      <c r="A861" s="7" t="s">
        <v>3904</v>
      </c>
      <c r="B861" s="7">
        <v>18754354</v>
      </c>
      <c r="C861" s="8">
        <v>3</v>
      </c>
      <c r="D861" s="8">
        <v>921589068</v>
      </c>
      <c r="E861" s="8" t="str">
        <f t="shared" si="66"/>
        <v>92158906822</v>
      </c>
      <c r="F861" s="8" t="s">
        <v>2236</v>
      </c>
      <c r="G861" s="8">
        <v>1</v>
      </c>
      <c r="H861" s="8">
        <v>20250201</v>
      </c>
      <c r="I861" s="8" t="str">
        <f t="shared" si="64"/>
        <v>2/1/2025</v>
      </c>
      <c r="J861" s="8">
        <v>20220101</v>
      </c>
      <c r="K861" s="8" t="str">
        <f t="shared" si="65"/>
        <v>1/1/2022</v>
      </c>
      <c r="L861" s="8" t="s">
        <v>56</v>
      </c>
      <c r="M861" s="8">
        <v>20</v>
      </c>
      <c r="N861" s="8">
        <v>60</v>
      </c>
      <c r="O861" s="6" t="s">
        <v>3947</v>
      </c>
      <c r="P861" s="6" t="s">
        <v>3953</v>
      </c>
    </row>
    <row r="862" spans="1:16" ht="15" customHeight="1" x14ac:dyDescent="0.2">
      <c r="A862" s="7" t="s">
        <v>3904</v>
      </c>
      <c r="B862" s="7">
        <v>18754354</v>
      </c>
      <c r="C862" s="8">
        <v>3</v>
      </c>
      <c r="D862" s="8">
        <v>921658031</v>
      </c>
      <c r="E862" s="8" t="str">
        <f t="shared" si="66"/>
        <v>92165803122</v>
      </c>
      <c r="F862" s="8" t="s">
        <v>2257</v>
      </c>
      <c r="G862" s="8">
        <v>1</v>
      </c>
      <c r="H862" s="8">
        <v>20250401</v>
      </c>
      <c r="I862" s="8" t="str">
        <f t="shared" si="64"/>
        <v>4/1/2025</v>
      </c>
      <c r="J862" s="8">
        <v>20230501</v>
      </c>
      <c r="K862" s="8" t="str">
        <f t="shared" si="65"/>
        <v>5/1/2023</v>
      </c>
      <c r="L862" s="8" t="s">
        <v>56</v>
      </c>
      <c r="M862" s="8">
        <v>20</v>
      </c>
      <c r="N862" s="8">
        <v>60</v>
      </c>
      <c r="O862" s="6" t="s">
        <v>3947</v>
      </c>
      <c r="P862" s="6" t="s">
        <v>3953</v>
      </c>
    </row>
    <row r="863" spans="1:16" ht="15" customHeight="1" x14ac:dyDescent="0.2">
      <c r="A863" s="7" t="s">
        <v>3904</v>
      </c>
      <c r="B863" s="7">
        <v>18754354</v>
      </c>
      <c r="C863" s="6">
        <v>-1</v>
      </c>
      <c r="D863" s="8">
        <v>921541916</v>
      </c>
      <c r="E863" s="8" t="str">
        <f t="shared" si="66"/>
        <v>92154191622</v>
      </c>
      <c r="F863" s="8" t="s">
        <v>2224</v>
      </c>
      <c r="G863" s="8">
        <v>-1</v>
      </c>
      <c r="H863" s="8">
        <v>20250301</v>
      </c>
      <c r="I863" s="8" t="str">
        <f t="shared" si="64"/>
        <v>3/1/2025</v>
      </c>
      <c r="J863" s="8">
        <v>20210101</v>
      </c>
      <c r="K863" s="8" t="str">
        <f t="shared" si="65"/>
        <v>1/1/2021</v>
      </c>
      <c r="L863" s="8" t="s">
        <v>56</v>
      </c>
      <c r="M863" s="8">
        <v>20</v>
      </c>
      <c r="N863" s="8">
        <v>-20</v>
      </c>
      <c r="O863" s="6" t="s">
        <v>3947</v>
      </c>
    </row>
    <row r="864" spans="1:16" ht="15" customHeight="1" x14ac:dyDescent="0.2">
      <c r="A864" s="7" t="s">
        <v>3904</v>
      </c>
      <c r="B864" s="7">
        <v>18754354</v>
      </c>
      <c r="C864" s="6">
        <v>-1</v>
      </c>
      <c r="D864" s="8">
        <v>921687840</v>
      </c>
      <c r="E864" s="8" t="str">
        <f t="shared" si="66"/>
        <v>92168784022</v>
      </c>
      <c r="F864" s="8" t="s">
        <v>2267</v>
      </c>
      <c r="G864" s="8">
        <v>-1</v>
      </c>
      <c r="H864" s="8">
        <v>20250301</v>
      </c>
      <c r="I864" s="8" t="str">
        <f t="shared" si="64"/>
        <v>3/1/2025</v>
      </c>
      <c r="J864" s="8">
        <v>20240101</v>
      </c>
      <c r="K864" s="8" t="str">
        <f t="shared" si="65"/>
        <v>1/1/2024</v>
      </c>
      <c r="L864" s="8" t="s">
        <v>56</v>
      </c>
      <c r="M864" s="8">
        <v>20</v>
      </c>
      <c r="N864" s="8">
        <v>-20</v>
      </c>
      <c r="O864" s="6" t="s">
        <v>3947</v>
      </c>
    </row>
    <row r="865" spans="1:16" ht="15" customHeight="1" x14ac:dyDescent="0.2">
      <c r="A865" s="7" t="s">
        <v>3904</v>
      </c>
      <c r="B865" s="7">
        <v>18754354</v>
      </c>
      <c r="C865" s="8">
        <v>1</v>
      </c>
      <c r="D865" s="8">
        <v>890652589</v>
      </c>
      <c r="E865" s="8" t="str">
        <f t="shared" si="66"/>
        <v>89065258922</v>
      </c>
      <c r="F865" s="8" t="s">
        <v>2173</v>
      </c>
      <c r="G865" s="8">
        <v>1</v>
      </c>
      <c r="H865" s="8">
        <v>20250401</v>
      </c>
      <c r="I865" s="8" t="str">
        <f t="shared" si="64"/>
        <v>4/1/2025</v>
      </c>
      <c r="J865" s="8">
        <v>20250101</v>
      </c>
      <c r="K865" s="8" t="str">
        <f t="shared" si="65"/>
        <v>1/1/2025</v>
      </c>
      <c r="L865" s="8" t="s">
        <v>56</v>
      </c>
      <c r="M865" s="8">
        <v>25</v>
      </c>
      <c r="N865" s="8">
        <v>25</v>
      </c>
      <c r="O865" s="6" t="s">
        <v>3947</v>
      </c>
    </row>
    <row r="866" spans="1:16" ht="15" customHeight="1" x14ac:dyDescent="0.2">
      <c r="A866" s="7" t="s">
        <v>3904</v>
      </c>
      <c r="B866" s="7">
        <v>18754354</v>
      </c>
      <c r="C866" s="8">
        <v>1</v>
      </c>
      <c r="D866" s="8">
        <v>920733925</v>
      </c>
      <c r="E866" s="8" t="str">
        <f t="shared" si="66"/>
        <v>92073392522</v>
      </c>
      <c r="F866" s="8" t="s">
        <v>2175</v>
      </c>
      <c r="G866" s="8">
        <v>1</v>
      </c>
      <c r="H866" s="8">
        <v>20250401</v>
      </c>
      <c r="I866" s="8" t="str">
        <f t="shared" si="64"/>
        <v>4/1/2025</v>
      </c>
      <c r="J866" s="8">
        <v>20250101</v>
      </c>
      <c r="K866" s="8" t="str">
        <f t="shared" si="65"/>
        <v>1/1/2025</v>
      </c>
      <c r="L866" s="8" t="s">
        <v>56</v>
      </c>
      <c r="M866" s="8">
        <v>25</v>
      </c>
      <c r="N866" s="8">
        <v>25</v>
      </c>
      <c r="O866" s="6" t="s">
        <v>3947</v>
      </c>
    </row>
    <row r="867" spans="1:16" ht="15" customHeight="1" x14ac:dyDescent="0.2">
      <c r="A867" s="7" t="s">
        <v>3904</v>
      </c>
      <c r="B867" s="7">
        <v>18754354</v>
      </c>
      <c r="C867" s="8">
        <v>1</v>
      </c>
      <c r="D867" s="8">
        <v>920859491</v>
      </c>
      <c r="E867" s="8" t="str">
        <f t="shared" si="66"/>
        <v>92085949122</v>
      </c>
      <c r="F867" s="8" t="s">
        <v>2182</v>
      </c>
      <c r="G867" s="8">
        <v>1</v>
      </c>
      <c r="H867" s="8">
        <v>20250401</v>
      </c>
      <c r="I867" s="8" t="str">
        <f t="shared" si="64"/>
        <v>4/1/2025</v>
      </c>
      <c r="J867" s="8">
        <v>20250101</v>
      </c>
      <c r="K867" s="8" t="str">
        <f t="shared" si="65"/>
        <v>1/1/2025</v>
      </c>
      <c r="L867" s="8" t="s">
        <v>56</v>
      </c>
      <c r="M867" s="8">
        <v>25</v>
      </c>
      <c r="N867" s="8">
        <v>25</v>
      </c>
      <c r="O867" s="6" t="s">
        <v>3947</v>
      </c>
    </row>
    <row r="868" spans="1:16" ht="15" customHeight="1" x14ac:dyDescent="0.2">
      <c r="A868" s="7" t="s">
        <v>3904</v>
      </c>
      <c r="B868" s="7">
        <v>18754354</v>
      </c>
      <c r="C868" s="8">
        <v>1</v>
      </c>
      <c r="D868" s="8">
        <v>921715823</v>
      </c>
      <c r="E868" s="8" t="str">
        <f t="shared" si="66"/>
        <v>92171582322</v>
      </c>
      <c r="F868" s="8" t="s">
        <v>2279</v>
      </c>
      <c r="G868" s="8">
        <v>1</v>
      </c>
      <c r="H868" s="8">
        <v>20250401</v>
      </c>
      <c r="I868" s="8" t="str">
        <f t="shared" si="64"/>
        <v>4/1/2025</v>
      </c>
      <c r="J868" s="8">
        <v>20240401</v>
      </c>
      <c r="K868" s="8" t="str">
        <f t="shared" si="65"/>
        <v>4/1/2024</v>
      </c>
      <c r="L868" s="8" t="s">
        <v>56</v>
      </c>
      <c r="M868" s="8">
        <v>25</v>
      </c>
      <c r="N868" s="8">
        <v>25</v>
      </c>
      <c r="O868" s="6" t="s">
        <v>3947</v>
      </c>
    </row>
    <row r="869" spans="1:16" ht="15" customHeight="1" x14ac:dyDescent="0.2">
      <c r="A869" s="7" t="s">
        <v>3904</v>
      </c>
      <c r="B869" s="7">
        <v>18754354</v>
      </c>
      <c r="C869" s="8">
        <v>1</v>
      </c>
      <c r="D869" s="8">
        <v>921737301</v>
      </c>
      <c r="E869" s="8" t="str">
        <f t="shared" si="66"/>
        <v>92173730122</v>
      </c>
      <c r="F869" s="8" t="s">
        <v>2287</v>
      </c>
      <c r="G869" s="8">
        <v>1</v>
      </c>
      <c r="H869" s="8">
        <v>20250401</v>
      </c>
      <c r="I869" s="8" t="str">
        <f t="shared" si="64"/>
        <v>4/1/2025</v>
      </c>
      <c r="J869" s="8">
        <v>20240901</v>
      </c>
      <c r="K869" s="8" t="str">
        <f t="shared" si="65"/>
        <v>9/1/2024</v>
      </c>
      <c r="L869" s="8" t="s">
        <v>56</v>
      </c>
      <c r="M869" s="8">
        <v>25</v>
      </c>
      <c r="N869" s="8">
        <v>25</v>
      </c>
      <c r="O869" s="6" t="s">
        <v>3947</v>
      </c>
    </row>
    <row r="870" spans="1:16" ht="15" customHeight="1" x14ac:dyDescent="0.2">
      <c r="A870" s="7" t="s">
        <v>3904</v>
      </c>
      <c r="B870" s="7">
        <v>18754354</v>
      </c>
      <c r="C870" s="8">
        <v>1</v>
      </c>
      <c r="D870" s="8">
        <v>921742098</v>
      </c>
      <c r="E870" s="8" t="str">
        <f t="shared" si="66"/>
        <v>92174209822</v>
      </c>
      <c r="F870" s="8" t="s">
        <v>2289</v>
      </c>
      <c r="G870" s="8">
        <v>1</v>
      </c>
      <c r="H870" s="8">
        <v>20250401</v>
      </c>
      <c r="I870" s="8" t="str">
        <f t="shared" si="64"/>
        <v>4/1/2025</v>
      </c>
      <c r="J870" s="8">
        <v>20241101</v>
      </c>
      <c r="K870" s="8" t="str">
        <f t="shared" si="65"/>
        <v>11/1/2024</v>
      </c>
      <c r="L870" s="8" t="s">
        <v>56</v>
      </c>
      <c r="M870" s="8">
        <v>25</v>
      </c>
      <c r="N870" s="8">
        <v>25</v>
      </c>
      <c r="O870" s="6" t="s">
        <v>3947</v>
      </c>
    </row>
    <row r="871" spans="1:16" ht="15" customHeight="1" x14ac:dyDescent="0.2">
      <c r="A871" s="7" t="s">
        <v>3904</v>
      </c>
      <c r="B871" s="7">
        <v>18754354</v>
      </c>
      <c r="C871" s="8">
        <v>1</v>
      </c>
      <c r="D871" s="8">
        <v>921742876</v>
      </c>
      <c r="E871" s="8" t="str">
        <f t="shared" si="66"/>
        <v>92174287622</v>
      </c>
      <c r="F871" s="8" t="s">
        <v>2291</v>
      </c>
      <c r="G871" s="8">
        <v>1</v>
      </c>
      <c r="H871" s="8">
        <v>20250401</v>
      </c>
      <c r="I871" s="8" t="str">
        <f t="shared" si="64"/>
        <v>4/1/2025</v>
      </c>
      <c r="J871" s="8">
        <v>20241101</v>
      </c>
      <c r="K871" s="8" t="str">
        <f t="shared" si="65"/>
        <v>11/1/2024</v>
      </c>
      <c r="L871" s="8" t="s">
        <v>56</v>
      </c>
      <c r="M871" s="8">
        <v>25</v>
      </c>
      <c r="N871" s="8">
        <v>25</v>
      </c>
      <c r="O871" s="6" t="s">
        <v>3947</v>
      </c>
    </row>
    <row r="872" spans="1:16" ht="15" customHeight="1" x14ac:dyDescent="0.2">
      <c r="A872" s="7" t="s">
        <v>3904</v>
      </c>
      <c r="B872" s="7">
        <v>18754354</v>
      </c>
      <c r="C872" s="8">
        <v>1</v>
      </c>
      <c r="D872" s="8">
        <v>921745594</v>
      </c>
      <c r="E872" s="8" t="str">
        <f t="shared" si="66"/>
        <v>92174559422</v>
      </c>
      <c r="F872" s="8" t="s">
        <v>2294</v>
      </c>
      <c r="G872" s="8">
        <v>1</v>
      </c>
      <c r="H872" s="8">
        <v>20250401</v>
      </c>
      <c r="I872" s="8" t="str">
        <f t="shared" si="64"/>
        <v>4/1/2025</v>
      </c>
      <c r="J872" s="8">
        <v>20250101</v>
      </c>
      <c r="K872" s="8" t="str">
        <f t="shared" si="65"/>
        <v>1/1/2025</v>
      </c>
      <c r="L872" s="8" t="s">
        <v>56</v>
      </c>
      <c r="M872" s="8">
        <v>25</v>
      </c>
      <c r="N872" s="8">
        <v>25</v>
      </c>
      <c r="O872" s="6" t="s">
        <v>3947</v>
      </c>
    </row>
    <row r="873" spans="1:16" ht="15" customHeight="1" x14ac:dyDescent="0.2">
      <c r="A873" s="7" t="s">
        <v>3904</v>
      </c>
      <c r="B873" s="7">
        <v>18754354</v>
      </c>
      <c r="C873" s="8">
        <v>1</v>
      </c>
      <c r="D873" s="8">
        <v>921763019</v>
      </c>
      <c r="E873" s="8" t="str">
        <f t="shared" si="66"/>
        <v>92176301922</v>
      </c>
      <c r="F873" s="8" t="s">
        <v>2304</v>
      </c>
      <c r="G873" s="8">
        <v>1</v>
      </c>
      <c r="H873" s="8">
        <v>20250401</v>
      </c>
      <c r="I873" s="8" t="str">
        <f t="shared" si="64"/>
        <v>4/1/2025</v>
      </c>
      <c r="J873" s="8">
        <v>20250101</v>
      </c>
      <c r="K873" s="8" t="str">
        <f t="shared" si="65"/>
        <v>1/1/2025</v>
      </c>
      <c r="L873" s="8" t="s">
        <v>56</v>
      </c>
      <c r="M873" s="8">
        <v>25</v>
      </c>
      <c r="N873" s="8">
        <v>25</v>
      </c>
      <c r="O873" s="6" t="s">
        <v>3947</v>
      </c>
    </row>
    <row r="874" spans="1:16" ht="15" customHeight="1" x14ac:dyDescent="0.2">
      <c r="A874" s="7" t="s">
        <v>3904</v>
      </c>
      <c r="B874" s="7">
        <v>18754354</v>
      </c>
      <c r="C874" s="8">
        <v>1</v>
      </c>
      <c r="D874" s="8">
        <v>921774029</v>
      </c>
      <c r="E874" s="8" t="str">
        <f t="shared" si="66"/>
        <v>92177402922</v>
      </c>
      <c r="F874" s="8" t="s">
        <v>2306</v>
      </c>
      <c r="G874" s="8">
        <v>1</v>
      </c>
      <c r="H874" s="8">
        <v>20250401</v>
      </c>
      <c r="I874" s="8" t="str">
        <f t="shared" si="64"/>
        <v>4/1/2025</v>
      </c>
      <c r="J874" s="8">
        <v>20250201</v>
      </c>
      <c r="K874" s="8" t="str">
        <f t="shared" si="65"/>
        <v>2/1/2025</v>
      </c>
      <c r="L874" s="8" t="s">
        <v>56</v>
      </c>
      <c r="M874" s="8">
        <v>25</v>
      </c>
      <c r="N874" s="8">
        <v>25</v>
      </c>
      <c r="O874" s="6" t="s">
        <v>3947</v>
      </c>
    </row>
    <row r="875" spans="1:16" ht="15" customHeight="1" x14ac:dyDescent="0.2">
      <c r="A875" s="7" t="s">
        <v>3904</v>
      </c>
      <c r="B875" s="7">
        <v>18754354</v>
      </c>
      <c r="C875" s="8">
        <v>1</v>
      </c>
      <c r="D875" s="8">
        <v>921774875</v>
      </c>
      <c r="E875" s="8" t="str">
        <f t="shared" si="66"/>
        <v>92177487522</v>
      </c>
      <c r="F875" s="8" t="s">
        <v>2308</v>
      </c>
      <c r="G875" s="8">
        <v>1</v>
      </c>
      <c r="H875" s="8">
        <v>20250401</v>
      </c>
      <c r="I875" s="8" t="str">
        <f t="shared" si="64"/>
        <v>4/1/2025</v>
      </c>
      <c r="J875" s="8">
        <v>20250201</v>
      </c>
      <c r="K875" s="8" t="str">
        <f t="shared" si="65"/>
        <v>2/1/2025</v>
      </c>
      <c r="L875" s="8" t="s">
        <v>56</v>
      </c>
      <c r="M875" s="8">
        <v>25</v>
      </c>
      <c r="N875" s="8">
        <v>25</v>
      </c>
      <c r="O875" s="6" t="s">
        <v>3947</v>
      </c>
    </row>
    <row r="876" spans="1:16" ht="15" customHeight="1" x14ac:dyDescent="0.2">
      <c r="A876" s="7" t="s">
        <v>3904</v>
      </c>
      <c r="B876" s="7">
        <v>18754354</v>
      </c>
      <c r="C876" s="8">
        <v>2</v>
      </c>
      <c r="D876" s="8">
        <v>921702310</v>
      </c>
      <c r="E876" s="8" t="str">
        <f t="shared" ref="E876:E884" si="67">CONCATENATE(D876,33)</f>
        <v>92170231033</v>
      </c>
      <c r="F876" s="8" t="s">
        <v>2271</v>
      </c>
      <c r="G876" s="8">
        <v>1</v>
      </c>
      <c r="H876" s="8">
        <v>20250401</v>
      </c>
      <c r="I876" s="8" t="str">
        <f t="shared" si="64"/>
        <v>4/1/2025</v>
      </c>
      <c r="J876" s="8">
        <v>20240201</v>
      </c>
      <c r="K876" s="8" t="str">
        <f t="shared" si="65"/>
        <v>2/1/2024</v>
      </c>
      <c r="L876" s="8" t="s">
        <v>198</v>
      </c>
      <c r="M876" s="8">
        <v>15</v>
      </c>
      <c r="N876" s="8">
        <v>30</v>
      </c>
      <c r="O876" s="6" t="s">
        <v>3950</v>
      </c>
      <c r="P876" s="6" t="s">
        <v>3952</v>
      </c>
    </row>
    <row r="877" spans="1:16" ht="15" customHeight="1" x14ac:dyDescent="0.2">
      <c r="A877" s="7" t="s">
        <v>3904</v>
      </c>
      <c r="B877" s="7">
        <v>18754354</v>
      </c>
      <c r="C877" s="8">
        <v>1</v>
      </c>
      <c r="D877" s="8">
        <v>921426418</v>
      </c>
      <c r="E877" s="8" t="str">
        <f t="shared" si="67"/>
        <v>92142641833</v>
      </c>
      <c r="F877" s="8" t="s">
        <v>2198</v>
      </c>
      <c r="G877" s="8">
        <v>1</v>
      </c>
      <c r="H877" s="8">
        <v>20250401</v>
      </c>
      <c r="I877" s="8" t="str">
        <f t="shared" si="64"/>
        <v>4/1/2025</v>
      </c>
      <c r="J877" s="8">
        <v>20250101</v>
      </c>
      <c r="K877" s="8" t="str">
        <f t="shared" si="65"/>
        <v>1/1/2025</v>
      </c>
      <c r="L877" s="8" t="s">
        <v>198</v>
      </c>
      <c r="M877" s="8">
        <v>20</v>
      </c>
      <c r="N877" s="8">
        <v>20</v>
      </c>
      <c r="O877" s="6" t="s">
        <v>3950</v>
      </c>
    </row>
    <row r="878" spans="1:16" ht="15" customHeight="1" x14ac:dyDescent="0.2">
      <c r="A878" s="7" t="s">
        <v>3904</v>
      </c>
      <c r="B878" s="7">
        <v>18754354</v>
      </c>
      <c r="C878" s="8">
        <v>1</v>
      </c>
      <c r="D878" s="8">
        <v>921495810</v>
      </c>
      <c r="E878" s="8" t="str">
        <f t="shared" si="67"/>
        <v>92149581033</v>
      </c>
      <c r="F878" s="8" t="s">
        <v>2218</v>
      </c>
      <c r="G878" s="8">
        <v>1</v>
      </c>
      <c r="H878" s="8">
        <v>20250401</v>
      </c>
      <c r="I878" s="8" t="str">
        <f t="shared" si="64"/>
        <v>4/1/2025</v>
      </c>
      <c r="J878" s="8">
        <v>20250101</v>
      </c>
      <c r="K878" s="8" t="str">
        <f t="shared" si="65"/>
        <v>1/1/2025</v>
      </c>
      <c r="L878" s="8" t="s">
        <v>198</v>
      </c>
      <c r="M878" s="8">
        <v>20</v>
      </c>
      <c r="N878" s="8">
        <v>20</v>
      </c>
      <c r="O878" s="6" t="s">
        <v>3950</v>
      </c>
    </row>
    <row r="879" spans="1:16" ht="15" customHeight="1" x14ac:dyDescent="0.2">
      <c r="A879" s="7" t="s">
        <v>3904</v>
      </c>
      <c r="B879" s="7">
        <v>18754354</v>
      </c>
      <c r="C879" s="8">
        <v>1</v>
      </c>
      <c r="D879" s="8">
        <v>921760904</v>
      </c>
      <c r="E879" s="8" t="str">
        <f t="shared" si="67"/>
        <v>92176090433</v>
      </c>
      <c r="F879" s="8" t="s">
        <v>2300</v>
      </c>
      <c r="G879" s="8">
        <v>1</v>
      </c>
      <c r="H879" s="8">
        <v>20250401</v>
      </c>
      <c r="I879" s="8" t="str">
        <f t="shared" si="64"/>
        <v>4/1/2025</v>
      </c>
      <c r="J879" s="8">
        <v>20250101</v>
      </c>
      <c r="K879" s="8" t="str">
        <f t="shared" si="65"/>
        <v>1/1/2025</v>
      </c>
      <c r="L879" s="8" t="s">
        <v>198</v>
      </c>
      <c r="M879" s="8">
        <v>20</v>
      </c>
      <c r="N879" s="8">
        <v>20</v>
      </c>
      <c r="O879" s="6" t="s">
        <v>3950</v>
      </c>
    </row>
    <row r="880" spans="1:16" ht="15" customHeight="1" x14ac:dyDescent="0.2">
      <c r="A880" s="7" t="s">
        <v>3904</v>
      </c>
      <c r="B880" s="7">
        <v>18754354</v>
      </c>
      <c r="C880" s="8">
        <v>1</v>
      </c>
      <c r="D880" s="8">
        <v>921776082</v>
      </c>
      <c r="E880" s="8" t="str">
        <f t="shared" si="67"/>
        <v>92177608233</v>
      </c>
      <c r="F880" s="8" t="s">
        <v>2310</v>
      </c>
      <c r="G880" s="8">
        <v>1</v>
      </c>
      <c r="H880" s="8">
        <v>20250401</v>
      </c>
      <c r="I880" s="8" t="str">
        <f t="shared" si="64"/>
        <v>4/1/2025</v>
      </c>
      <c r="J880" s="8">
        <v>20250201</v>
      </c>
      <c r="K880" s="8" t="str">
        <f t="shared" si="65"/>
        <v>2/1/2025</v>
      </c>
      <c r="L880" s="8" t="s">
        <v>198</v>
      </c>
      <c r="M880" s="8">
        <v>20</v>
      </c>
      <c r="N880" s="8">
        <v>20</v>
      </c>
      <c r="O880" s="6" t="s">
        <v>3950</v>
      </c>
    </row>
    <row r="881" spans="1:16" ht="15" customHeight="1" x14ac:dyDescent="0.2">
      <c r="A881" s="7" t="s">
        <v>3904</v>
      </c>
      <c r="B881" s="7">
        <v>18754354</v>
      </c>
      <c r="C881" s="8">
        <v>1</v>
      </c>
      <c r="D881" s="8">
        <v>921776092</v>
      </c>
      <c r="E881" s="8" t="str">
        <f t="shared" si="67"/>
        <v>92177609233</v>
      </c>
      <c r="F881" s="8" t="s">
        <v>2312</v>
      </c>
      <c r="G881" s="8">
        <v>1</v>
      </c>
      <c r="H881" s="8">
        <v>20250401</v>
      </c>
      <c r="I881" s="8" t="str">
        <f t="shared" si="64"/>
        <v>4/1/2025</v>
      </c>
      <c r="J881" s="8">
        <v>20250201</v>
      </c>
      <c r="K881" s="8" t="str">
        <f t="shared" si="65"/>
        <v>2/1/2025</v>
      </c>
      <c r="L881" s="8" t="s">
        <v>198</v>
      </c>
      <c r="M881" s="8">
        <v>20</v>
      </c>
      <c r="N881" s="8">
        <v>20</v>
      </c>
      <c r="O881" s="6" t="s">
        <v>3950</v>
      </c>
    </row>
    <row r="882" spans="1:16" ht="15" customHeight="1" x14ac:dyDescent="0.2">
      <c r="A882" s="7" t="s">
        <v>3904</v>
      </c>
      <c r="B882" s="7">
        <v>18754354</v>
      </c>
      <c r="C882" s="8">
        <v>1</v>
      </c>
      <c r="D882" s="8">
        <v>921779313</v>
      </c>
      <c r="E882" s="8" t="str">
        <f t="shared" si="67"/>
        <v>92177931333</v>
      </c>
      <c r="F882" s="8" t="s">
        <v>2314</v>
      </c>
      <c r="G882" s="8">
        <v>1</v>
      </c>
      <c r="H882" s="8">
        <v>20250401</v>
      </c>
      <c r="I882" s="8" t="str">
        <f t="shared" si="64"/>
        <v>4/1/2025</v>
      </c>
      <c r="J882" s="8">
        <v>20250301</v>
      </c>
      <c r="K882" s="8" t="str">
        <f t="shared" si="65"/>
        <v>3/1/2025</v>
      </c>
      <c r="L882" s="8" t="s">
        <v>198</v>
      </c>
      <c r="M882" s="8">
        <v>20</v>
      </c>
      <c r="N882" s="8">
        <v>20</v>
      </c>
      <c r="O882" s="6" t="s">
        <v>3950</v>
      </c>
    </row>
    <row r="883" spans="1:16" ht="15" customHeight="1" x14ac:dyDescent="0.2">
      <c r="A883" s="7" t="s">
        <v>3904</v>
      </c>
      <c r="B883" s="7">
        <v>18754354</v>
      </c>
      <c r="C883" s="8">
        <v>2</v>
      </c>
      <c r="D883" s="8">
        <v>921444438</v>
      </c>
      <c r="E883" s="8" t="str">
        <f t="shared" si="67"/>
        <v>92144443833</v>
      </c>
      <c r="F883" s="8" t="s">
        <v>2206</v>
      </c>
      <c r="G883" s="8">
        <v>1</v>
      </c>
      <c r="H883" s="8">
        <v>20250401</v>
      </c>
      <c r="I883" s="8" t="str">
        <f t="shared" si="64"/>
        <v>4/1/2025</v>
      </c>
      <c r="J883" s="8">
        <v>20250101</v>
      </c>
      <c r="K883" s="8" t="str">
        <f t="shared" si="65"/>
        <v>1/1/2025</v>
      </c>
      <c r="L883" s="8" t="s">
        <v>198</v>
      </c>
      <c r="M883" s="8">
        <v>20</v>
      </c>
      <c r="N883" s="8">
        <v>40</v>
      </c>
      <c r="O883" s="6" t="s">
        <v>3950</v>
      </c>
      <c r="P883" s="6" t="s">
        <v>3952</v>
      </c>
    </row>
    <row r="884" spans="1:16" ht="15" customHeight="1" x14ac:dyDescent="0.2">
      <c r="A884" s="7" t="s">
        <v>3904</v>
      </c>
      <c r="B884" s="7">
        <v>18754354</v>
      </c>
      <c r="C884" s="8">
        <v>2</v>
      </c>
      <c r="D884" s="8">
        <v>921747273</v>
      </c>
      <c r="E884" s="8" t="str">
        <f t="shared" si="67"/>
        <v>92174727333</v>
      </c>
      <c r="F884" s="8" t="s">
        <v>2296</v>
      </c>
      <c r="G884" s="8">
        <v>1</v>
      </c>
      <c r="H884" s="8">
        <v>20250401</v>
      </c>
      <c r="I884" s="8" t="str">
        <f t="shared" si="64"/>
        <v>4/1/2025</v>
      </c>
      <c r="J884" s="8">
        <v>20250101</v>
      </c>
      <c r="K884" s="8" t="str">
        <f t="shared" si="65"/>
        <v>1/1/2025</v>
      </c>
      <c r="L884" s="8" t="s">
        <v>198</v>
      </c>
      <c r="M884" s="8">
        <v>20</v>
      </c>
      <c r="N884" s="8">
        <v>40</v>
      </c>
      <c r="O884" s="6" t="s">
        <v>3950</v>
      </c>
      <c r="P884" s="6" t="s">
        <v>3952</v>
      </c>
    </row>
    <row r="885" spans="1:16" ht="15" customHeight="1" x14ac:dyDescent="0.3">
      <c r="A885" s="7" t="s">
        <v>3904</v>
      </c>
      <c r="B885" s="7">
        <v>18754354</v>
      </c>
      <c r="C885" s="8">
        <v>1</v>
      </c>
      <c r="D885" s="8">
        <v>920838670</v>
      </c>
      <c r="E885" s="8" t="str">
        <f t="shared" ref="E885:E904" si="68">CONCATENATE(D885,44)</f>
        <v>92083867044</v>
      </c>
      <c r="F885" s="8" t="s">
        <v>2180</v>
      </c>
      <c r="G885" s="8">
        <v>1</v>
      </c>
      <c r="H885" s="8">
        <v>20250401</v>
      </c>
      <c r="I885" s="8" t="str">
        <f t="shared" si="64"/>
        <v>4/1/2025</v>
      </c>
      <c r="J885" s="8">
        <v>20230701</v>
      </c>
      <c r="K885" s="8" t="str">
        <f t="shared" si="65"/>
        <v>7/1/2023</v>
      </c>
      <c r="L885" s="8" t="s">
        <v>65</v>
      </c>
      <c r="M885" s="8">
        <v>25</v>
      </c>
      <c r="N885" s="8">
        <v>25</v>
      </c>
      <c r="O885" s="14" t="s">
        <v>3948</v>
      </c>
    </row>
    <row r="886" spans="1:16" ht="15" customHeight="1" x14ac:dyDescent="0.3">
      <c r="A886" s="7" t="s">
        <v>3904</v>
      </c>
      <c r="B886" s="7">
        <v>18754354</v>
      </c>
      <c r="C886" s="8">
        <v>1</v>
      </c>
      <c r="D886" s="8">
        <v>921384956</v>
      </c>
      <c r="E886" s="8" t="str">
        <f t="shared" si="68"/>
        <v>92138495644</v>
      </c>
      <c r="F886" s="8" t="s">
        <v>2196</v>
      </c>
      <c r="G886" s="8">
        <v>1</v>
      </c>
      <c r="H886" s="8">
        <v>20250401</v>
      </c>
      <c r="I886" s="8" t="str">
        <f t="shared" si="64"/>
        <v>4/1/2025</v>
      </c>
      <c r="J886" s="8">
        <v>20180101</v>
      </c>
      <c r="K886" s="8" t="str">
        <f t="shared" si="65"/>
        <v>1/1/2018</v>
      </c>
      <c r="L886" s="8" t="s">
        <v>65</v>
      </c>
      <c r="M886" s="8">
        <v>25</v>
      </c>
      <c r="N886" s="8">
        <v>25</v>
      </c>
      <c r="O886" s="14" t="s">
        <v>3948</v>
      </c>
    </row>
    <row r="887" spans="1:16" ht="15" customHeight="1" x14ac:dyDescent="0.3">
      <c r="A887" s="7" t="s">
        <v>3904</v>
      </c>
      <c r="B887" s="7">
        <v>18754354</v>
      </c>
      <c r="C887" s="8">
        <v>1</v>
      </c>
      <c r="D887" s="8">
        <v>921433010</v>
      </c>
      <c r="E887" s="8" t="str">
        <f t="shared" si="68"/>
        <v>92143301044</v>
      </c>
      <c r="F887" s="8" t="s">
        <v>2204</v>
      </c>
      <c r="G887" s="8">
        <v>1</v>
      </c>
      <c r="H887" s="8">
        <v>20250401</v>
      </c>
      <c r="I887" s="8" t="str">
        <f t="shared" si="64"/>
        <v>4/1/2025</v>
      </c>
      <c r="J887" s="8">
        <v>20190101</v>
      </c>
      <c r="K887" s="8" t="str">
        <f t="shared" si="65"/>
        <v>1/1/2019</v>
      </c>
      <c r="L887" s="8" t="s">
        <v>65</v>
      </c>
      <c r="M887" s="8">
        <v>25</v>
      </c>
      <c r="N887" s="8">
        <v>25</v>
      </c>
      <c r="O887" s="14" t="s">
        <v>3948</v>
      </c>
    </row>
    <row r="888" spans="1:16" ht="15" customHeight="1" x14ac:dyDescent="0.3">
      <c r="A888" s="7" t="s">
        <v>3904</v>
      </c>
      <c r="B888" s="7">
        <v>18754354</v>
      </c>
      <c r="C888" s="8">
        <v>1</v>
      </c>
      <c r="D888" s="8">
        <v>921448927</v>
      </c>
      <c r="E888" s="8" t="str">
        <f t="shared" si="68"/>
        <v>92144892744</v>
      </c>
      <c r="F888" s="8" t="s">
        <v>2208</v>
      </c>
      <c r="G888" s="8">
        <v>1</v>
      </c>
      <c r="H888" s="8">
        <v>20250401</v>
      </c>
      <c r="I888" s="8" t="str">
        <f t="shared" si="64"/>
        <v>4/1/2025</v>
      </c>
      <c r="J888" s="8">
        <v>20190101</v>
      </c>
      <c r="K888" s="8" t="str">
        <f t="shared" si="65"/>
        <v>1/1/2019</v>
      </c>
      <c r="L888" s="8" t="s">
        <v>65</v>
      </c>
      <c r="M888" s="8">
        <v>25</v>
      </c>
      <c r="N888" s="8">
        <v>25</v>
      </c>
      <c r="O888" s="14" t="s">
        <v>3948</v>
      </c>
    </row>
    <row r="889" spans="1:16" ht="15" customHeight="1" x14ac:dyDescent="0.3">
      <c r="A889" s="7" t="s">
        <v>3904</v>
      </c>
      <c r="B889" s="7">
        <v>18754354</v>
      </c>
      <c r="C889" s="8">
        <v>1</v>
      </c>
      <c r="D889" s="8">
        <v>921494184</v>
      </c>
      <c r="E889" s="8" t="str">
        <f t="shared" si="68"/>
        <v>92149418444</v>
      </c>
      <c r="F889" s="8" t="s">
        <v>2216</v>
      </c>
      <c r="G889" s="8">
        <v>1</v>
      </c>
      <c r="H889" s="8">
        <v>20250401</v>
      </c>
      <c r="I889" s="8" t="str">
        <f t="shared" si="64"/>
        <v>4/1/2025</v>
      </c>
      <c r="J889" s="8">
        <v>20200101</v>
      </c>
      <c r="K889" s="8" t="str">
        <f t="shared" si="65"/>
        <v>1/1/2020</v>
      </c>
      <c r="L889" s="8" t="s">
        <v>65</v>
      </c>
      <c r="M889" s="8">
        <v>25</v>
      </c>
      <c r="N889" s="8">
        <v>25</v>
      </c>
      <c r="O889" s="14" t="s">
        <v>3948</v>
      </c>
    </row>
    <row r="890" spans="1:16" ht="15" customHeight="1" x14ac:dyDescent="0.3">
      <c r="A890" s="7" t="s">
        <v>3904</v>
      </c>
      <c r="B890" s="7">
        <v>18754354</v>
      </c>
      <c r="C890" s="8">
        <v>1</v>
      </c>
      <c r="D890" s="8">
        <v>921614967</v>
      </c>
      <c r="E890" s="8" t="str">
        <f t="shared" si="68"/>
        <v>92161496744</v>
      </c>
      <c r="F890" s="8" t="s">
        <v>2240</v>
      </c>
      <c r="G890" s="8">
        <v>1</v>
      </c>
      <c r="H890" s="8">
        <v>20250401</v>
      </c>
      <c r="I890" s="8" t="str">
        <f t="shared" si="64"/>
        <v>4/1/2025</v>
      </c>
      <c r="J890" s="8">
        <v>20220701</v>
      </c>
      <c r="K890" s="8" t="str">
        <f t="shared" si="65"/>
        <v>7/1/2022</v>
      </c>
      <c r="L890" s="8" t="s">
        <v>65</v>
      </c>
      <c r="M890" s="8">
        <v>25</v>
      </c>
      <c r="N890" s="8">
        <v>25</v>
      </c>
      <c r="O890" s="14" t="s">
        <v>3948</v>
      </c>
    </row>
    <row r="891" spans="1:16" ht="15" customHeight="1" x14ac:dyDescent="0.3">
      <c r="A891" s="7" t="s">
        <v>3904</v>
      </c>
      <c r="B891" s="7">
        <v>18754354</v>
      </c>
      <c r="C891" s="8">
        <v>1</v>
      </c>
      <c r="D891" s="8">
        <v>921615656</v>
      </c>
      <c r="E891" s="8" t="str">
        <f t="shared" si="68"/>
        <v>92161565644</v>
      </c>
      <c r="F891" s="8" t="s">
        <v>2242</v>
      </c>
      <c r="G891" s="8">
        <v>1</v>
      </c>
      <c r="H891" s="8">
        <v>20250401</v>
      </c>
      <c r="I891" s="8" t="str">
        <f t="shared" si="64"/>
        <v>4/1/2025</v>
      </c>
      <c r="J891" s="8">
        <v>20220701</v>
      </c>
      <c r="K891" s="8" t="str">
        <f t="shared" si="65"/>
        <v>7/1/2022</v>
      </c>
      <c r="L891" s="8" t="s">
        <v>65</v>
      </c>
      <c r="M891" s="8">
        <v>25</v>
      </c>
      <c r="N891" s="8">
        <v>25</v>
      </c>
      <c r="O891" s="14" t="s">
        <v>3948</v>
      </c>
    </row>
    <row r="892" spans="1:16" ht="15" customHeight="1" x14ac:dyDescent="0.3">
      <c r="A892" s="7" t="s">
        <v>3904</v>
      </c>
      <c r="B892" s="7">
        <v>18754354</v>
      </c>
      <c r="C892" s="8">
        <v>1</v>
      </c>
      <c r="D892" s="8">
        <v>921677646</v>
      </c>
      <c r="E892" s="8" t="str">
        <f t="shared" si="68"/>
        <v>92167764644</v>
      </c>
      <c r="F892" s="8" t="s">
        <v>2265</v>
      </c>
      <c r="G892" s="8">
        <v>1</v>
      </c>
      <c r="H892" s="8">
        <v>20250401</v>
      </c>
      <c r="I892" s="8" t="str">
        <f t="shared" si="64"/>
        <v>4/1/2025</v>
      </c>
      <c r="J892" s="8">
        <v>20231101</v>
      </c>
      <c r="K892" s="8" t="str">
        <f t="shared" si="65"/>
        <v>11/1/2023</v>
      </c>
      <c r="L892" s="8" t="s">
        <v>65</v>
      </c>
      <c r="M892" s="8">
        <v>25</v>
      </c>
      <c r="N892" s="8">
        <v>25</v>
      </c>
      <c r="O892" s="14" t="s">
        <v>3948</v>
      </c>
    </row>
    <row r="893" spans="1:16" ht="15" customHeight="1" x14ac:dyDescent="0.3">
      <c r="A893" s="7" t="s">
        <v>3904</v>
      </c>
      <c r="B893" s="7">
        <v>18754354</v>
      </c>
      <c r="C893" s="8">
        <v>1</v>
      </c>
      <c r="D893" s="8">
        <v>921694892</v>
      </c>
      <c r="E893" s="8" t="str">
        <f t="shared" si="68"/>
        <v>92169489244</v>
      </c>
      <c r="F893" s="8" t="s">
        <v>2269</v>
      </c>
      <c r="G893" s="8">
        <v>1</v>
      </c>
      <c r="H893" s="8">
        <v>20250401</v>
      </c>
      <c r="I893" s="8" t="str">
        <f t="shared" si="64"/>
        <v>4/1/2025</v>
      </c>
      <c r="J893" s="8">
        <v>20240101</v>
      </c>
      <c r="K893" s="8" t="str">
        <f t="shared" si="65"/>
        <v>1/1/2024</v>
      </c>
      <c r="L893" s="8" t="s">
        <v>65</v>
      </c>
      <c r="M893" s="8">
        <v>25</v>
      </c>
      <c r="N893" s="8">
        <v>25</v>
      </c>
      <c r="O893" s="14" t="s">
        <v>3948</v>
      </c>
    </row>
    <row r="894" spans="1:16" ht="15" customHeight="1" x14ac:dyDescent="0.3">
      <c r="A894" s="7" t="s">
        <v>3904</v>
      </c>
      <c r="B894" s="7">
        <v>18754354</v>
      </c>
      <c r="C894" s="8">
        <v>1</v>
      </c>
      <c r="D894" s="8">
        <v>921714712</v>
      </c>
      <c r="E894" s="8" t="str">
        <f t="shared" si="68"/>
        <v>92171471244</v>
      </c>
      <c r="F894" s="8" t="s">
        <v>2275</v>
      </c>
      <c r="G894" s="8">
        <v>1</v>
      </c>
      <c r="H894" s="8">
        <v>20250401</v>
      </c>
      <c r="I894" s="8" t="str">
        <f t="shared" si="64"/>
        <v>4/1/2025</v>
      </c>
      <c r="J894" s="8">
        <v>20240301</v>
      </c>
      <c r="K894" s="8" t="str">
        <f t="shared" si="65"/>
        <v>3/1/2024</v>
      </c>
      <c r="L894" s="8" t="s">
        <v>65</v>
      </c>
      <c r="M894" s="8">
        <v>25</v>
      </c>
      <c r="N894" s="8">
        <v>25</v>
      </c>
      <c r="O894" s="14" t="s">
        <v>3948</v>
      </c>
    </row>
    <row r="895" spans="1:16" ht="15" customHeight="1" x14ac:dyDescent="0.3">
      <c r="A895" s="7" t="s">
        <v>3904</v>
      </c>
      <c r="B895" s="7">
        <v>18754354</v>
      </c>
      <c r="C895" s="8">
        <v>2</v>
      </c>
      <c r="D895" s="8">
        <v>921544055</v>
      </c>
      <c r="E895" s="8" t="str">
        <f t="shared" si="68"/>
        <v>92154405544</v>
      </c>
      <c r="F895" s="8" t="s">
        <v>2226</v>
      </c>
      <c r="G895" s="8">
        <v>1</v>
      </c>
      <c r="H895" s="8">
        <v>20250401</v>
      </c>
      <c r="I895" s="8" t="str">
        <f t="shared" si="64"/>
        <v>4/1/2025</v>
      </c>
      <c r="J895" s="8">
        <v>20201201</v>
      </c>
      <c r="K895" s="8" t="str">
        <f t="shared" si="65"/>
        <v>12/1/2020</v>
      </c>
      <c r="L895" s="8" t="s">
        <v>65</v>
      </c>
      <c r="M895" s="8">
        <v>25</v>
      </c>
      <c r="N895" s="8">
        <v>50</v>
      </c>
      <c r="O895" s="14" t="s">
        <v>3948</v>
      </c>
      <c r="P895" s="6" t="s">
        <v>3952</v>
      </c>
    </row>
    <row r="896" spans="1:16" ht="15" customHeight="1" x14ac:dyDescent="0.3">
      <c r="A896" s="7" t="s">
        <v>3904</v>
      </c>
      <c r="B896" s="7">
        <v>18754354</v>
      </c>
      <c r="C896" s="8">
        <v>2</v>
      </c>
      <c r="D896" s="8">
        <v>921600102</v>
      </c>
      <c r="E896" s="8" t="str">
        <f t="shared" si="68"/>
        <v>92160010244</v>
      </c>
      <c r="F896" s="8" t="s">
        <v>2238</v>
      </c>
      <c r="G896" s="8">
        <v>1</v>
      </c>
      <c r="H896" s="8">
        <v>20250401</v>
      </c>
      <c r="I896" s="8" t="str">
        <f t="shared" si="64"/>
        <v>4/1/2025</v>
      </c>
      <c r="J896" s="8">
        <v>20240101</v>
      </c>
      <c r="K896" s="8" t="str">
        <f t="shared" si="65"/>
        <v>1/1/2024</v>
      </c>
      <c r="L896" s="8" t="s">
        <v>65</v>
      </c>
      <c r="M896" s="8">
        <v>25</v>
      </c>
      <c r="N896" s="8">
        <v>50</v>
      </c>
      <c r="O896" s="14" t="s">
        <v>3948</v>
      </c>
      <c r="P896" s="6" t="s">
        <v>3952</v>
      </c>
    </row>
    <row r="897" spans="1:16" ht="15" customHeight="1" x14ac:dyDescent="0.3">
      <c r="A897" s="7" t="s">
        <v>3904</v>
      </c>
      <c r="B897" s="7">
        <v>18754354</v>
      </c>
      <c r="C897" s="8">
        <v>2</v>
      </c>
      <c r="D897" s="8">
        <v>921622374</v>
      </c>
      <c r="E897" s="8" t="str">
        <f t="shared" si="68"/>
        <v>92162237444</v>
      </c>
      <c r="F897" s="8" t="s">
        <v>2249</v>
      </c>
      <c r="G897" s="8">
        <v>1</v>
      </c>
      <c r="H897" s="8">
        <v>20250401</v>
      </c>
      <c r="I897" s="8" t="str">
        <f t="shared" si="64"/>
        <v>4/1/2025</v>
      </c>
      <c r="J897" s="8">
        <v>20221001</v>
      </c>
      <c r="K897" s="8" t="str">
        <f t="shared" si="65"/>
        <v>10/1/2022</v>
      </c>
      <c r="L897" s="8" t="s">
        <v>65</v>
      </c>
      <c r="M897" s="8">
        <v>25</v>
      </c>
      <c r="N897" s="8">
        <v>50</v>
      </c>
      <c r="O897" s="14" t="s">
        <v>3948</v>
      </c>
      <c r="P897" s="6" t="s">
        <v>3952</v>
      </c>
    </row>
    <row r="898" spans="1:16" ht="15" customHeight="1" x14ac:dyDescent="0.3">
      <c r="A898" s="7" t="s">
        <v>3904</v>
      </c>
      <c r="B898" s="7">
        <v>18754354</v>
      </c>
      <c r="C898" s="8">
        <v>2</v>
      </c>
      <c r="D898" s="8">
        <v>921622374</v>
      </c>
      <c r="E898" s="8" t="str">
        <f t="shared" si="68"/>
        <v>92162237444</v>
      </c>
      <c r="F898" s="8" t="s">
        <v>2249</v>
      </c>
      <c r="G898" s="8">
        <v>1</v>
      </c>
      <c r="H898" s="8">
        <v>20250301</v>
      </c>
      <c r="I898" s="8" t="str">
        <f t="shared" si="64"/>
        <v>3/1/2025</v>
      </c>
      <c r="J898" s="8">
        <v>20221001</v>
      </c>
      <c r="K898" s="8" t="str">
        <f t="shared" si="65"/>
        <v>10/1/2022</v>
      </c>
      <c r="L898" s="8" t="s">
        <v>65</v>
      </c>
      <c r="M898" s="8">
        <v>25</v>
      </c>
      <c r="N898" s="8">
        <v>50</v>
      </c>
      <c r="O898" s="14" t="s">
        <v>3948</v>
      </c>
      <c r="P898" s="6" t="s">
        <v>3952</v>
      </c>
    </row>
    <row r="899" spans="1:16" ht="15" customHeight="1" x14ac:dyDescent="0.3">
      <c r="A899" s="7" t="s">
        <v>3904</v>
      </c>
      <c r="B899" s="7">
        <v>18754354</v>
      </c>
      <c r="C899" s="8">
        <v>5</v>
      </c>
      <c r="D899" s="8">
        <v>921032769</v>
      </c>
      <c r="E899" s="8" t="str">
        <f t="shared" si="68"/>
        <v>92103276944</v>
      </c>
      <c r="F899" s="8" t="s">
        <v>2186</v>
      </c>
      <c r="G899" s="8">
        <v>1</v>
      </c>
      <c r="H899" s="8">
        <v>20250401</v>
      </c>
      <c r="I899" s="8" t="str">
        <f t="shared" ref="I899:I962" si="69">TEXT(DATE(LEFT(H899,4), MID(H899,5,2), RIGHT(H899,2)), "M/d/yyyy")</f>
        <v>4/1/2025</v>
      </c>
      <c r="J899" s="8">
        <v>20210101</v>
      </c>
      <c r="K899" s="8" t="str">
        <f t="shared" ref="K899:K962" si="70">TEXT(DATE(LEFT(J899,4), MID(J899,5,2), RIGHT(J899,2)), "M/d/yyyy")</f>
        <v>1/1/2021</v>
      </c>
      <c r="L899" s="8" t="s">
        <v>65</v>
      </c>
      <c r="M899" s="8">
        <v>25</v>
      </c>
      <c r="N899" s="8">
        <v>125</v>
      </c>
      <c r="O899" s="14" t="s">
        <v>3948</v>
      </c>
      <c r="P899" s="6" t="s">
        <v>3955</v>
      </c>
    </row>
    <row r="900" spans="1:16" ht="15" customHeight="1" x14ac:dyDescent="0.3">
      <c r="A900" s="7" t="s">
        <v>3904</v>
      </c>
      <c r="B900" s="7">
        <v>18754354</v>
      </c>
      <c r="C900" s="8">
        <v>1</v>
      </c>
      <c r="D900" s="8">
        <v>921562490</v>
      </c>
      <c r="E900" s="8" t="str">
        <f t="shared" si="68"/>
        <v>92156249044</v>
      </c>
      <c r="F900" s="8" t="s">
        <v>2232</v>
      </c>
      <c r="G900" s="8">
        <v>1</v>
      </c>
      <c r="H900" s="8">
        <v>20250401</v>
      </c>
      <c r="I900" s="8" t="str">
        <f t="shared" si="69"/>
        <v>4/1/2025</v>
      </c>
      <c r="J900" s="8">
        <v>20240501</v>
      </c>
      <c r="K900" s="8" t="str">
        <f t="shared" si="70"/>
        <v>5/1/2024</v>
      </c>
      <c r="L900" s="8" t="s">
        <v>65</v>
      </c>
      <c r="M900" s="8">
        <v>30</v>
      </c>
      <c r="N900" s="8">
        <v>30</v>
      </c>
      <c r="O900" s="14" t="s">
        <v>3948</v>
      </c>
    </row>
    <row r="901" spans="1:16" ht="15" customHeight="1" x14ac:dyDescent="0.3">
      <c r="A901" s="7" t="s">
        <v>3904</v>
      </c>
      <c r="B901" s="7">
        <v>18754354</v>
      </c>
      <c r="C901" s="8">
        <v>1</v>
      </c>
      <c r="D901" s="8">
        <v>921751625</v>
      </c>
      <c r="E901" s="8" t="str">
        <f t="shared" si="68"/>
        <v>92175162544</v>
      </c>
      <c r="F901" s="8" t="s">
        <v>2298</v>
      </c>
      <c r="G901" s="8">
        <v>1</v>
      </c>
      <c r="H901" s="8">
        <v>20250401</v>
      </c>
      <c r="I901" s="8" t="str">
        <f t="shared" si="69"/>
        <v>4/1/2025</v>
      </c>
      <c r="J901" s="8">
        <v>20250101</v>
      </c>
      <c r="K901" s="8" t="str">
        <f t="shared" si="70"/>
        <v>1/1/2025</v>
      </c>
      <c r="L901" s="8" t="s">
        <v>65</v>
      </c>
      <c r="M901" s="8">
        <v>30</v>
      </c>
      <c r="N901" s="8">
        <v>30</v>
      </c>
      <c r="O901" s="14" t="s">
        <v>3948</v>
      </c>
    </row>
    <row r="902" spans="1:16" ht="15" customHeight="1" x14ac:dyDescent="0.3">
      <c r="A902" s="7" t="s">
        <v>3904</v>
      </c>
      <c r="B902" s="7">
        <v>18754354</v>
      </c>
      <c r="C902" s="8">
        <v>1</v>
      </c>
      <c r="D902" s="8">
        <v>921762372</v>
      </c>
      <c r="E902" s="8" t="str">
        <f t="shared" si="68"/>
        <v>92176237244</v>
      </c>
      <c r="F902" s="8" t="s">
        <v>2302</v>
      </c>
      <c r="G902" s="8">
        <v>1</v>
      </c>
      <c r="H902" s="8">
        <v>20250401</v>
      </c>
      <c r="I902" s="8" t="str">
        <f t="shared" si="69"/>
        <v>4/1/2025</v>
      </c>
      <c r="J902" s="8">
        <v>20250101</v>
      </c>
      <c r="K902" s="8" t="str">
        <f t="shared" si="70"/>
        <v>1/1/2025</v>
      </c>
      <c r="L902" s="8" t="s">
        <v>65</v>
      </c>
      <c r="M902" s="8">
        <v>30</v>
      </c>
      <c r="N902" s="8">
        <v>30</v>
      </c>
      <c r="O902" s="14" t="s">
        <v>3948</v>
      </c>
    </row>
    <row r="903" spans="1:16" ht="15" customHeight="1" x14ac:dyDescent="0.3">
      <c r="A903" s="7" t="s">
        <v>3904</v>
      </c>
      <c r="B903" s="7">
        <v>18754354</v>
      </c>
      <c r="C903" s="8">
        <v>2</v>
      </c>
      <c r="D903" s="8">
        <v>921729211</v>
      </c>
      <c r="E903" s="8" t="str">
        <f t="shared" si="68"/>
        <v>92172921144</v>
      </c>
      <c r="F903" s="8" t="s">
        <v>2283</v>
      </c>
      <c r="G903" s="8">
        <v>1</v>
      </c>
      <c r="H903" s="8">
        <v>20250401</v>
      </c>
      <c r="I903" s="8" t="str">
        <f t="shared" si="69"/>
        <v>4/1/2025</v>
      </c>
      <c r="J903" s="8">
        <v>20240701</v>
      </c>
      <c r="K903" s="8" t="str">
        <f t="shared" si="70"/>
        <v>7/1/2024</v>
      </c>
      <c r="L903" s="8" t="s">
        <v>65</v>
      </c>
      <c r="M903" s="8">
        <v>30</v>
      </c>
      <c r="N903" s="8">
        <v>60</v>
      </c>
      <c r="O903" s="14" t="s">
        <v>3948</v>
      </c>
      <c r="P903" s="6" t="s">
        <v>3952</v>
      </c>
    </row>
    <row r="904" spans="1:16" ht="15" customHeight="1" x14ac:dyDescent="0.3">
      <c r="A904" s="7" t="s">
        <v>3904</v>
      </c>
      <c r="B904" s="7">
        <v>18754354</v>
      </c>
      <c r="C904" s="8">
        <v>2</v>
      </c>
      <c r="D904" s="8">
        <v>921729211</v>
      </c>
      <c r="E904" s="8" t="str">
        <f t="shared" si="68"/>
        <v>92172921144</v>
      </c>
      <c r="F904" s="8" t="s">
        <v>2283</v>
      </c>
      <c r="G904" s="8">
        <v>1</v>
      </c>
      <c r="H904" s="8">
        <v>20250301</v>
      </c>
      <c r="I904" s="8" t="str">
        <f t="shared" si="69"/>
        <v>3/1/2025</v>
      </c>
      <c r="J904" s="8">
        <v>20240701</v>
      </c>
      <c r="K904" s="8" t="str">
        <f t="shared" si="70"/>
        <v>7/1/2024</v>
      </c>
      <c r="L904" s="8" t="s">
        <v>65</v>
      </c>
      <c r="M904" s="8">
        <v>30</v>
      </c>
      <c r="N904" s="8">
        <v>60</v>
      </c>
      <c r="O904" s="14" t="s">
        <v>3948</v>
      </c>
      <c r="P904" s="6" t="s">
        <v>3952</v>
      </c>
    </row>
    <row r="905" spans="1:16" ht="15" customHeight="1" x14ac:dyDescent="0.2">
      <c r="A905" s="7" t="s">
        <v>3904</v>
      </c>
      <c r="B905" s="7">
        <v>18754354</v>
      </c>
      <c r="C905" s="8">
        <v>1</v>
      </c>
      <c r="D905" s="8">
        <v>920818458</v>
      </c>
      <c r="E905" s="8" t="str">
        <f t="shared" ref="E905:E910" si="71">CONCATENATE(D905,55)</f>
        <v>92081845855</v>
      </c>
      <c r="F905" s="8" t="s">
        <v>2177</v>
      </c>
      <c r="G905" s="8">
        <v>1</v>
      </c>
      <c r="H905" s="8">
        <v>20250401</v>
      </c>
      <c r="I905" s="8" t="str">
        <f t="shared" si="69"/>
        <v>4/1/2025</v>
      </c>
      <c r="J905" s="8">
        <v>20140401</v>
      </c>
      <c r="K905" s="8" t="str">
        <f t="shared" si="70"/>
        <v>4/1/2014</v>
      </c>
      <c r="L905" s="8" t="s">
        <v>138</v>
      </c>
      <c r="M905" s="8">
        <v>20</v>
      </c>
      <c r="N905" s="8">
        <v>20</v>
      </c>
      <c r="O905" s="6" t="s">
        <v>3946</v>
      </c>
    </row>
    <row r="906" spans="1:16" ht="15" customHeight="1" x14ac:dyDescent="0.2">
      <c r="A906" s="7" t="s">
        <v>3904</v>
      </c>
      <c r="B906" s="7">
        <v>18754354</v>
      </c>
      <c r="C906" s="8">
        <v>1</v>
      </c>
      <c r="D906" s="8">
        <v>921429882</v>
      </c>
      <c r="E906" s="8" t="str">
        <f t="shared" si="71"/>
        <v>92142988255</v>
      </c>
      <c r="F906" s="8" t="s">
        <v>2200</v>
      </c>
      <c r="G906" s="8">
        <v>1</v>
      </c>
      <c r="H906" s="8">
        <v>20250401</v>
      </c>
      <c r="I906" s="8" t="str">
        <f t="shared" si="69"/>
        <v>4/1/2025</v>
      </c>
      <c r="J906" s="8">
        <v>20181101</v>
      </c>
      <c r="K906" s="8" t="str">
        <f t="shared" si="70"/>
        <v>11/1/2018</v>
      </c>
      <c r="L906" s="8" t="s">
        <v>138</v>
      </c>
      <c r="M906" s="8">
        <v>20</v>
      </c>
      <c r="N906" s="8">
        <v>20</v>
      </c>
      <c r="O906" s="6" t="s">
        <v>3946</v>
      </c>
    </row>
    <row r="907" spans="1:16" ht="15" customHeight="1" x14ac:dyDescent="0.2">
      <c r="A907" s="7" t="s">
        <v>3904</v>
      </c>
      <c r="B907" s="7">
        <v>18754354</v>
      </c>
      <c r="C907" s="8">
        <v>1</v>
      </c>
      <c r="D907" s="8">
        <v>921525550</v>
      </c>
      <c r="E907" s="8" t="str">
        <f t="shared" si="71"/>
        <v>92152555055</v>
      </c>
      <c r="F907" s="8" t="s">
        <v>2222</v>
      </c>
      <c r="G907" s="8">
        <v>1</v>
      </c>
      <c r="H907" s="8">
        <v>20250401</v>
      </c>
      <c r="I907" s="8" t="str">
        <f t="shared" si="69"/>
        <v>4/1/2025</v>
      </c>
      <c r="J907" s="8">
        <v>20200801</v>
      </c>
      <c r="K907" s="8" t="str">
        <f t="shared" si="70"/>
        <v>8/1/2020</v>
      </c>
      <c r="L907" s="8" t="s">
        <v>138</v>
      </c>
      <c r="M907" s="8">
        <v>20</v>
      </c>
      <c r="N907" s="8">
        <v>20</v>
      </c>
      <c r="O907" s="6" t="s">
        <v>3946</v>
      </c>
    </row>
    <row r="908" spans="1:16" ht="15" customHeight="1" x14ac:dyDescent="0.2">
      <c r="A908" s="7" t="s">
        <v>3904</v>
      </c>
      <c r="B908" s="7">
        <v>18754354</v>
      </c>
      <c r="C908" s="8">
        <v>1</v>
      </c>
      <c r="D908" s="8">
        <v>921566557</v>
      </c>
      <c r="E908" s="8" t="str">
        <f t="shared" si="71"/>
        <v>92156655755</v>
      </c>
      <c r="F908" s="8" t="s">
        <v>2234</v>
      </c>
      <c r="G908" s="8">
        <v>1</v>
      </c>
      <c r="H908" s="8">
        <v>20250401</v>
      </c>
      <c r="I908" s="8" t="str">
        <f t="shared" si="69"/>
        <v>4/1/2025</v>
      </c>
      <c r="J908" s="8">
        <v>20210501</v>
      </c>
      <c r="K908" s="8" t="str">
        <f t="shared" si="70"/>
        <v>5/1/2021</v>
      </c>
      <c r="L908" s="8" t="s">
        <v>138</v>
      </c>
      <c r="M908" s="8">
        <v>20</v>
      </c>
      <c r="N908" s="8">
        <v>20</v>
      </c>
      <c r="O908" s="6" t="s">
        <v>3946</v>
      </c>
    </row>
    <row r="909" spans="1:16" ht="15" customHeight="1" x14ac:dyDescent="0.2">
      <c r="A909" s="7" t="s">
        <v>3904</v>
      </c>
      <c r="B909" s="7">
        <v>18754354</v>
      </c>
      <c r="C909" s="8">
        <v>5</v>
      </c>
      <c r="D909" s="8">
        <v>921463570</v>
      </c>
      <c r="E909" s="8" t="str">
        <f t="shared" si="71"/>
        <v>92146357055</v>
      </c>
      <c r="F909" s="8" t="s">
        <v>2210</v>
      </c>
      <c r="G909" s="8">
        <v>1</v>
      </c>
      <c r="H909" s="8">
        <v>20250401</v>
      </c>
      <c r="I909" s="8" t="str">
        <f t="shared" si="69"/>
        <v>4/1/2025</v>
      </c>
      <c r="J909" s="8">
        <v>20190101</v>
      </c>
      <c r="K909" s="8" t="str">
        <f t="shared" si="70"/>
        <v>1/1/2019</v>
      </c>
      <c r="L909" s="8" t="s">
        <v>138</v>
      </c>
      <c r="M909" s="8">
        <v>20</v>
      </c>
      <c r="N909" s="8">
        <v>100</v>
      </c>
      <c r="O909" s="6" t="s">
        <v>3946</v>
      </c>
      <c r="P909" s="6" t="s">
        <v>3955</v>
      </c>
    </row>
    <row r="910" spans="1:16" ht="15" customHeight="1" x14ac:dyDescent="0.2">
      <c r="A910" s="7" t="s">
        <v>3904</v>
      </c>
      <c r="B910" s="7">
        <v>18754354</v>
      </c>
      <c r="C910" s="8">
        <v>1</v>
      </c>
      <c r="D910" s="8">
        <v>921727218</v>
      </c>
      <c r="E910" s="8" t="str">
        <f t="shared" si="71"/>
        <v>92172721855</v>
      </c>
      <c r="F910" s="8" t="s">
        <v>2281</v>
      </c>
      <c r="G910" s="8">
        <v>1</v>
      </c>
      <c r="H910" s="8">
        <v>20250401</v>
      </c>
      <c r="I910" s="8" t="str">
        <f t="shared" si="69"/>
        <v>4/1/2025</v>
      </c>
      <c r="J910" s="8">
        <v>20240601</v>
      </c>
      <c r="K910" s="8" t="str">
        <f t="shared" si="70"/>
        <v>6/1/2024</v>
      </c>
      <c r="L910" s="8" t="s">
        <v>138</v>
      </c>
      <c r="M910" s="8">
        <v>25</v>
      </c>
      <c r="N910" s="8">
        <v>25</v>
      </c>
      <c r="O910" s="6" t="s">
        <v>3946</v>
      </c>
    </row>
    <row r="911" spans="1:16" ht="15" customHeight="1" x14ac:dyDescent="0.2">
      <c r="A911" s="7" t="s">
        <v>3904</v>
      </c>
      <c r="B911" s="7">
        <v>18754354</v>
      </c>
      <c r="D911" s="8">
        <v>920818458</v>
      </c>
      <c r="E911" s="8" t="str">
        <f>CONCATENATE(1,D911)</f>
        <v>1920818458</v>
      </c>
      <c r="F911" s="8" t="s">
        <v>2177</v>
      </c>
      <c r="G911" s="8">
        <v>23.98</v>
      </c>
      <c r="H911" s="8">
        <v>20250401</v>
      </c>
      <c r="I911" s="8" t="str">
        <f t="shared" si="69"/>
        <v>4/1/2025</v>
      </c>
      <c r="J911" s="8">
        <v>20250101</v>
      </c>
      <c r="K911" s="8" t="str">
        <f t="shared" si="70"/>
        <v>1/1/2025</v>
      </c>
      <c r="L911" s="8" t="s">
        <v>116</v>
      </c>
      <c r="M911" s="8">
        <v>0.06</v>
      </c>
      <c r="N911" s="8">
        <v>1.44</v>
      </c>
      <c r="O911" s="6" t="s">
        <v>3938</v>
      </c>
    </row>
    <row r="912" spans="1:16" ht="15" customHeight="1" x14ac:dyDescent="0.2">
      <c r="A912" s="7" t="s">
        <v>3904</v>
      </c>
      <c r="B912" s="7">
        <v>18754354</v>
      </c>
      <c r="D912" s="8">
        <v>957201001</v>
      </c>
      <c r="E912" s="8" t="str">
        <f>CONCATENATE(D912,7)</f>
        <v>9572010017</v>
      </c>
      <c r="F912" s="8" t="s">
        <v>2333</v>
      </c>
      <c r="G912" s="8">
        <v>170.27</v>
      </c>
      <c r="H912" s="8">
        <v>20250301</v>
      </c>
      <c r="I912" s="8" t="str">
        <f t="shared" si="69"/>
        <v>3/1/2025</v>
      </c>
      <c r="J912" s="8">
        <v>20250101</v>
      </c>
      <c r="K912" s="8" t="str">
        <f t="shared" si="70"/>
        <v>1/1/2025</v>
      </c>
      <c r="L912" s="8" t="s">
        <v>398</v>
      </c>
      <c r="M912" s="8">
        <v>0.1</v>
      </c>
      <c r="N912" s="8">
        <v>17.03</v>
      </c>
      <c r="O912" s="6" t="s">
        <v>3942</v>
      </c>
    </row>
    <row r="913" spans="1:16" ht="15" customHeight="1" x14ac:dyDescent="0.2">
      <c r="A913" s="7" t="s">
        <v>3904</v>
      </c>
      <c r="B913" s="7">
        <v>18754354</v>
      </c>
      <c r="D913" s="8">
        <v>957185740</v>
      </c>
      <c r="E913" s="8" t="str">
        <f>CONCATENATE(D913,9)</f>
        <v>9571857409</v>
      </c>
      <c r="F913" s="8" t="s">
        <v>2319</v>
      </c>
      <c r="G913" s="8">
        <v>128.49</v>
      </c>
      <c r="H913" s="8">
        <v>20250301</v>
      </c>
      <c r="I913" s="8" t="str">
        <f t="shared" si="69"/>
        <v>3/1/2025</v>
      </c>
      <c r="J913" s="8">
        <v>20241201</v>
      </c>
      <c r="K913" s="8" t="str">
        <f t="shared" si="70"/>
        <v>12/1/2024</v>
      </c>
      <c r="L913" s="8" t="s">
        <v>980</v>
      </c>
      <c r="M913" s="8">
        <v>0.18</v>
      </c>
      <c r="N913" s="8">
        <v>23.13</v>
      </c>
      <c r="O913" s="6" t="s">
        <v>3944</v>
      </c>
    </row>
    <row r="914" spans="1:16" ht="15" customHeight="1" x14ac:dyDescent="0.2">
      <c r="A914" s="7" t="s">
        <v>3904</v>
      </c>
      <c r="B914" s="7">
        <v>18754354</v>
      </c>
      <c r="D914" s="8">
        <v>957192008</v>
      </c>
      <c r="E914" s="8" t="str">
        <f>CONCATENATE(D914,9)</f>
        <v>9571920089</v>
      </c>
      <c r="F914" s="8" t="s">
        <v>2327</v>
      </c>
      <c r="G914" s="8">
        <v>128.49</v>
      </c>
      <c r="H914" s="8">
        <v>20250301</v>
      </c>
      <c r="I914" s="8" t="str">
        <f t="shared" si="69"/>
        <v>3/1/2025</v>
      </c>
      <c r="J914" s="8">
        <v>20250101</v>
      </c>
      <c r="K914" s="8" t="str">
        <f t="shared" si="70"/>
        <v>1/1/2025</v>
      </c>
      <c r="L914" s="8" t="s">
        <v>980</v>
      </c>
      <c r="M914" s="8">
        <v>0.18</v>
      </c>
      <c r="N914" s="8">
        <v>23.13</v>
      </c>
      <c r="O914" s="6" t="s">
        <v>3944</v>
      </c>
    </row>
    <row r="915" spans="1:16" ht="15" customHeight="1" x14ac:dyDescent="0.2">
      <c r="A915" s="7" t="s">
        <v>3904</v>
      </c>
      <c r="B915" s="7">
        <v>18754354</v>
      </c>
      <c r="D915" s="8">
        <v>957197789</v>
      </c>
      <c r="E915" s="8" t="str">
        <f>CONCATENATE(D915,9)</f>
        <v>9571977899</v>
      </c>
      <c r="F915" s="8" t="s">
        <v>2329</v>
      </c>
      <c r="G915" s="8">
        <v>138.16</v>
      </c>
      <c r="H915" s="8">
        <v>20250301</v>
      </c>
      <c r="I915" s="8" t="str">
        <f t="shared" si="69"/>
        <v>3/1/2025</v>
      </c>
      <c r="J915" s="8">
        <v>20250101</v>
      </c>
      <c r="K915" s="8" t="str">
        <f t="shared" si="70"/>
        <v>1/1/2025</v>
      </c>
      <c r="L915" s="8" t="s">
        <v>980</v>
      </c>
      <c r="M915" s="8">
        <v>0.18</v>
      </c>
      <c r="N915" s="8">
        <v>24.87</v>
      </c>
      <c r="O915" s="6" t="s">
        <v>3944</v>
      </c>
    </row>
    <row r="916" spans="1:16" ht="15" customHeight="1" x14ac:dyDescent="0.2">
      <c r="A916" s="7" t="s">
        <v>3904</v>
      </c>
      <c r="B916" s="7">
        <v>18754354</v>
      </c>
      <c r="D916" s="8">
        <v>957176531</v>
      </c>
      <c r="E916" s="8" t="str">
        <f>CONCATENATE(D916,9)</f>
        <v>9571765319</v>
      </c>
      <c r="F916" s="8" t="s">
        <v>2169</v>
      </c>
      <c r="G916" s="8">
        <v>139.74</v>
      </c>
      <c r="H916" s="8">
        <v>20250301</v>
      </c>
      <c r="I916" s="8" t="str">
        <f t="shared" si="69"/>
        <v>3/1/2025</v>
      </c>
      <c r="J916" s="8">
        <v>20240601</v>
      </c>
      <c r="K916" s="8" t="str">
        <f t="shared" si="70"/>
        <v>6/1/2024</v>
      </c>
      <c r="L916" s="8" t="s">
        <v>980</v>
      </c>
      <c r="M916" s="8">
        <v>0.18</v>
      </c>
      <c r="N916" s="8">
        <v>25.15</v>
      </c>
      <c r="O916" s="6" t="s">
        <v>3944</v>
      </c>
    </row>
    <row r="917" spans="1:16" ht="15" customHeight="1" x14ac:dyDescent="0.2">
      <c r="A917" s="7" t="s">
        <v>3904</v>
      </c>
      <c r="B917" s="7">
        <v>18754354</v>
      </c>
      <c r="D917" s="8">
        <v>957187919</v>
      </c>
      <c r="E917" s="8" t="str">
        <f>CONCATENATE(D917,0)</f>
        <v>9571879190</v>
      </c>
      <c r="F917" s="8" t="s">
        <v>2323</v>
      </c>
      <c r="G917" s="8">
        <v>238.74</v>
      </c>
      <c r="H917" s="8">
        <v>20250401</v>
      </c>
      <c r="I917" s="8" t="str">
        <f t="shared" si="69"/>
        <v>4/1/2025</v>
      </c>
      <c r="J917" s="8">
        <v>20250101</v>
      </c>
      <c r="K917" s="8" t="str">
        <f t="shared" si="70"/>
        <v>1/1/2025</v>
      </c>
      <c r="L917" s="8" t="s">
        <v>959</v>
      </c>
      <c r="M917" s="8">
        <v>0.09</v>
      </c>
      <c r="N917" s="8">
        <v>21.49</v>
      </c>
      <c r="O917" s="12" t="s">
        <v>3941</v>
      </c>
    </row>
    <row r="918" spans="1:16" ht="15" customHeight="1" x14ac:dyDescent="0.2">
      <c r="A918" s="7" t="s">
        <v>3904</v>
      </c>
      <c r="B918" s="7">
        <v>18754354</v>
      </c>
      <c r="D918" s="8">
        <v>957187919</v>
      </c>
      <c r="E918" s="8" t="str">
        <f>CONCATENATE(D918,0)</f>
        <v>9571879190</v>
      </c>
      <c r="F918" s="8" t="s">
        <v>2323</v>
      </c>
      <c r="G918" s="8">
        <v>238.74</v>
      </c>
      <c r="H918" s="8">
        <v>20250301</v>
      </c>
      <c r="I918" s="8" t="str">
        <f t="shared" si="69"/>
        <v>3/1/2025</v>
      </c>
      <c r="J918" s="8">
        <v>20250101</v>
      </c>
      <c r="K918" s="8" t="str">
        <f t="shared" si="70"/>
        <v>1/1/2025</v>
      </c>
      <c r="L918" s="8" t="s">
        <v>959</v>
      </c>
      <c r="M918" s="8">
        <v>0.09</v>
      </c>
      <c r="N918" s="8">
        <v>21.49</v>
      </c>
      <c r="O918" s="12" t="s">
        <v>3941</v>
      </c>
    </row>
    <row r="919" spans="1:16" s="12" customFormat="1" ht="15" customHeight="1" x14ac:dyDescent="0.2">
      <c r="A919" s="10" t="s">
        <v>3889</v>
      </c>
      <c r="B919" s="10">
        <v>15278437</v>
      </c>
      <c r="C919" s="11">
        <v>1</v>
      </c>
      <c r="D919" s="11">
        <v>921730915</v>
      </c>
      <c r="E919" s="11" t="str">
        <f>CONCATENATE(D919,22)</f>
        <v>92173091522</v>
      </c>
      <c r="F919" s="11" t="s">
        <v>89</v>
      </c>
      <c r="G919" s="11">
        <v>1</v>
      </c>
      <c r="H919" s="11">
        <v>20250401</v>
      </c>
      <c r="I919" s="11" t="str">
        <f t="shared" si="69"/>
        <v>4/1/2025</v>
      </c>
      <c r="J919" s="11">
        <v>20240801</v>
      </c>
      <c r="K919" s="11" t="str">
        <f t="shared" si="70"/>
        <v>8/1/2024</v>
      </c>
      <c r="L919" s="11" t="s">
        <v>56</v>
      </c>
      <c r="M919" s="11">
        <v>25</v>
      </c>
      <c r="N919" s="11">
        <v>25</v>
      </c>
      <c r="O919" s="12" t="s">
        <v>3947</v>
      </c>
    </row>
    <row r="920" spans="1:16" s="12" customFormat="1" ht="15" customHeight="1" x14ac:dyDescent="0.3">
      <c r="A920" s="10" t="s">
        <v>3889</v>
      </c>
      <c r="B920" s="10">
        <v>15278437</v>
      </c>
      <c r="C920" s="11">
        <v>1</v>
      </c>
      <c r="D920" s="11">
        <v>921662766</v>
      </c>
      <c r="E920" s="11" t="str">
        <f>CONCATENATE(D920,44)</f>
        <v>92166276644</v>
      </c>
      <c r="F920" s="11" t="s">
        <v>76</v>
      </c>
      <c r="G920" s="11">
        <v>1</v>
      </c>
      <c r="H920" s="11">
        <v>20250401</v>
      </c>
      <c r="I920" s="11" t="str">
        <f t="shared" si="69"/>
        <v>4/1/2025</v>
      </c>
      <c r="J920" s="11">
        <v>20240601</v>
      </c>
      <c r="K920" s="11" t="str">
        <f t="shared" si="70"/>
        <v>6/1/2024</v>
      </c>
      <c r="L920" s="11" t="s">
        <v>65</v>
      </c>
      <c r="M920" s="11">
        <v>30</v>
      </c>
      <c r="N920" s="11">
        <v>30</v>
      </c>
      <c r="O920" s="28" t="s">
        <v>3948</v>
      </c>
    </row>
    <row r="921" spans="1:16" s="12" customFormat="1" ht="15" customHeight="1" x14ac:dyDescent="0.3">
      <c r="A921" s="10" t="s">
        <v>3889</v>
      </c>
      <c r="B921" s="10">
        <v>15278437</v>
      </c>
      <c r="C921" s="11">
        <v>2</v>
      </c>
      <c r="D921" s="11">
        <v>921115227</v>
      </c>
      <c r="E921" s="11" t="str">
        <f>CONCATENATE(D921,44)</f>
        <v>92111522744</v>
      </c>
      <c r="F921" s="11" t="s">
        <v>64</v>
      </c>
      <c r="G921" s="11">
        <v>1</v>
      </c>
      <c r="H921" s="11">
        <v>20250401</v>
      </c>
      <c r="I921" s="11" t="str">
        <f t="shared" si="69"/>
        <v>4/1/2025</v>
      </c>
      <c r="J921" s="11">
        <v>20250101</v>
      </c>
      <c r="K921" s="11" t="str">
        <f t="shared" si="70"/>
        <v>1/1/2025</v>
      </c>
      <c r="L921" s="11" t="s">
        <v>65</v>
      </c>
      <c r="M921" s="11">
        <v>30</v>
      </c>
      <c r="N921" s="11">
        <v>60</v>
      </c>
      <c r="O921" s="28" t="s">
        <v>3948</v>
      </c>
      <c r="P921" s="12" t="s">
        <v>3952</v>
      </c>
    </row>
    <row r="922" spans="1:16" s="12" customFormat="1" ht="15" customHeight="1" x14ac:dyDescent="0.3">
      <c r="A922" s="10" t="s">
        <v>3889</v>
      </c>
      <c r="B922" s="10">
        <v>15278437</v>
      </c>
      <c r="C922" s="11">
        <v>2</v>
      </c>
      <c r="D922" s="11">
        <v>921115227</v>
      </c>
      <c r="E922" s="11" t="str">
        <f>CONCATENATE(D922,44)</f>
        <v>92111522744</v>
      </c>
      <c r="F922" s="11" t="s">
        <v>64</v>
      </c>
      <c r="G922" s="11">
        <v>1</v>
      </c>
      <c r="H922" s="11">
        <v>20250301</v>
      </c>
      <c r="I922" s="11" t="str">
        <f t="shared" si="69"/>
        <v>3/1/2025</v>
      </c>
      <c r="J922" s="11">
        <v>20250101</v>
      </c>
      <c r="K922" s="11" t="str">
        <f t="shared" si="70"/>
        <v>1/1/2025</v>
      </c>
      <c r="L922" s="11" t="s">
        <v>65</v>
      </c>
      <c r="M922" s="11">
        <v>30</v>
      </c>
      <c r="N922" s="11">
        <v>60</v>
      </c>
      <c r="O922" s="28" t="s">
        <v>3948</v>
      </c>
      <c r="P922" s="12" t="s">
        <v>3952</v>
      </c>
    </row>
    <row r="923" spans="1:16" s="12" customFormat="1" ht="15" customHeight="1" x14ac:dyDescent="0.3">
      <c r="A923" s="10" t="s">
        <v>3889</v>
      </c>
      <c r="B923" s="10">
        <v>15278437</v>
      </c>
      <c r="C923" s="12">
        <v>-1</v>
      </c>
      <c r="D923" s="11">
        <v>921115227</v>
      </c>
      <c r="E923" s="11" t="str">
        <f>CONCATENATE(D923,44)</f>
        <v>92111522744</v>
      </c>
      <c r="F923" s="11" t="s">
        <v>64</v>
      </c>
      <c r="G923" s="11">
        <v>-1</v>
      </c>
      <c r="H923" s="11">
        <v>20250401</v>
      </c>
      <c r="I923" s="11" t="str">
        <f t="shared" si="69"/>
        <v>4/1/2025</v>
      </c>
      <c r="J923" s="11">
        <v>20250101</v>
      </c>
      <c r="K923" s="11" t="str">
        <f t="shared" si="70"/>
        <v>1/1/2025</v>
      </c>
      <c r="L923" s="11" t="s">
        <v>65</v>
      </c>
      <c r="M923" s="11">
        <v>30</v>
      </c>
      <c r="N923" s="11">
        <v>-60</v>
      </c>
      <c r="O923" s="28" t="s">
        <v>3948</v>
      </c>
      <c r="P923" s="12" t="s">
        <v>3952</v>
      </c>
    </row>
    <row r="924" spans="1:16" ht="15" customHeight="1" x14ac:dyDescent="0.2">
      <c r="A924" s="7" t="s">
        <v>3907</v>
      </c>
      <c r="B924" s="7">
        <v>2158366</v>
      </c>
      <c r="C924" s="8">
        <v>1</v>
      </c>
      <c r="D924" s="8">
        <v>920999078</v>
      </c>
      <c r="E924" s="8" t="str">
        <f t="shared" ref="E924:E930" si="72">CONCATENATE(D924,22)</f>
        <v>92099907822</v>
      </c>
      <c r="F924" s="8" t="s">
        <v>2499</v>
      </c>
      <c r="G924" s="8">
        <v>1</v>
      </c>
      <c r="H924" s="8">
        <v>20250401</v>
      </c>
      <c r="I924" s="8" t="str">
        <f t="shared" si="69"/>
        <v>4/1/2025</v>
      </c>
      <c r="J924" s="8">
        <v>20220101</v>
      </c>
      <c r="K924" s="8" t="str">
        <f t="shared" si="70"/>
        <v>1/1/2022</v>
      </c>
      <c r="L924" s="8" t="s">
        <v>56</v>
      </c>
      <c r="M924" s="8">
        <v>20</v>
      </c>
      <c r="N924" s="8">
        <v>20</v>
      </c>
      <c r="O924" s="6" t="s">
        <v>3947</v>
      </c>
    </row>
    <row r="925" spans="1:16" ht="15" customHeight="1" x14ac:dyDescent="0.2">
      <c r="A925" s="7" t="s">
        <v>3907</v>
      </c>
      <c r="B925" s="7">
        <v>2158366</v>
      </c>
      <c r="C925" s="8">
        <v>1</v>
      </c>
      <c r="D925" s="8">
        <v>920999078</v>
      </c>
      <c r="E925" s="8" t="str">
        <f t="shared" si="72"/>
        <v>92099907822</v>
      </c>
      <c r="F925" s="8" t="s">
        <v>2499</v>
      </c>
      <c r="G925" s="8">
        <v>1</v>
      </c>
      <c r="H925" s="8">
        <v>20250301</v>
      </c>
      <c r="I925" s="8" t="str">
        <f t="shared" si="69"/>
        <v>3/1/2025</v>
      </c>
      <c r="J925" s="8">
        <v>20220101</v>
      </c>
      <c r="K925" s="8" t="str">
        <f t="shared" si="70"/>
        <v>1/1/2022</v>
      </c>
      <c r="L925" s="8" t="s">
        <v>56</v>
      </c>
      <c r="M925" s="8">
        <v>20</v>
      </c>
      <c r="N925" s="8">
        <v>20</v>
      </c>
      <c r="O925" s="6" t="s">
        <v>3947</v>
      </c>
    </row>
    <row r="926" spans="1:16" ht="15" customHeight="1" x14ac:dyDescent="0.2">
      <c r="A926" s="7" t="s">
        <v>3907</v>
      </c>
      <c r="B926" s="7">
        <v>2158366</v>
      </c>
      <c r="C926" s="8">
        <v>1</v>
      </c>
      <c r="D926" s="8">
        <v>921559912</v>
      </c>
      <c r="E926" s="8" t="str">
        <f t="shared" si="72"/>
        <v>92155991222</v>
      </c>
      <c r="F926" s="8" t="s">
        <v>2509</v>
      </c>
      <c r="G926" s="8">
        <v>1</v>
      </c>
      <c r="H926" s="8">
        <v>20250401</v>
      </c>
      <c r="I926" s="8" t="str">
        <f t="shared" si="69"/>
        <v>4/1/2025</v>
      </c>
      <c r="J926" s="8">
        <v>20210401</v>
      </c>
      <c r="K926" s="8" t="str">
        <f t="shared" si="70"/>
        <v>4/1/2021</v>
      </c>
      <c r="L926" s="8" t="s">
        <v>56</v>
      </c>
      <c r="M926" s="8">
        <v>20</v>
      </c>
      <c r="N926" s="8">
        <v>20</v>
      </c>
      <c r="O926" s="6" t="s">
        <v>3947</v>
      </c>
    </row>
    <row r="927" spans="1:16" ht="15" customHeight="1" x14ac:dyDescent="0.2">
      <c r="A927" s="7" t="s">
        <v>3907</v>
      </c>
      <c r="B927" s="7">
        <v>2158366</v>
      </c>
      <c r="C927" s="8">
        <v>1</v>
      </c>
      <c r="D927" s="8">
        <v>921271341</v>
      </c>
      <c r="E927" s="8" t="str">
        <f t="shared" si="72"/>
        <v>92127134122</v>
      </c>
      <c r="F927" s="8" t="s">
        <v>2501</v>
      </c>
      <c r="G927" s="8">
        <v>1</v>
      </c>
      <c r="H927" s="8">
        <v>20250401</v>
      </c>
      <c r="I927" s="8" t="str">
        <f t="shared" si="69"/>
        <v>4/1/2025</v>
      </c>
      <c r="J927" s="8">
        <v>20240901</v>
      </c>
      <c r="K927" s="8" t="str">
        <f t="shared" si="70"/>
        <v>9/1/2024</v>
      </c>
      <c r="L927" s="8" t="s">
        <v>56</v>
      </c>
      <c r="M927" s="8">
        <v>25</v>
      </c>
      <c r="N927" s="8">
        <v>25</v>
      </c>
      <c r="O927" s="6" t="s">
        <v>3947</v>
      </c>
    </row>
    <row r="928" spans="1:16" ht="15" customHeight="1" x14ac:dyDescent="0.2">
      <c r="A928" s="7" t="s">
        <v>3907</v>
      </c>
      <c r="B928" s="7">
        <v>2158366</v>
      </c>
      <c r="C928" s="8">
        <v>1</v>
      </c>
      <c r="D928" s="8">
        <v>921396977</v>
      </c>
      <c r="E928" s="8" t="str">
        <f t="shared" si="72"/>
        <v>92139697722</v>
      </c>
      <c r="F928" s="8" t="s">
        <v>2505</v>
      </c>
      <c r="G928" s="8">
        <v>1</v>
      </c>
      <c r="H928" s="8">
        <v>20250401</v>
      </c>
      <c r="I928" s="8" t="str">
        <f t="shared" si="69"/>
        <v>4/1/2025</v>
      </c>
      <c r="J928" s="8">
        <v>20240501</v>
      </c>
      <c r="K928" s="8" t="str">
        <f t="shared" si="70"/>
        <v>5/1/2024</v>
      </c>
      <c r="L928" s="8" t="s">
        <v>56</v>
      </c>
      <c r="M928" s="8">
        <v>25</v>
      </c>
      <c r="N928" s="8">
        <v>25</v>
      </c>
      <c r="O928" s="6" t="s">
        <v>3947</v>
      </c>
    </row>
    <row r="929" spans="1:37" ht="15" customHeight="1" x14ac:dyDescent="0.2">
      <c r="A929" s="7" t="s">
        <v>3907</v>
      </c>
      <c r="B929" s="7">
        <v>2158366</v>
      </c>
      <c r="C929" s="8">
        <v>1</v>
      </c>
      <c r="D929" s="8">
        <v>921737830</v>
      </c>
      <c r="E929" s="8" t="str">
        <f t="shared" si="72"/>
        <v>92173783022</v>
      </c>
      <c r="F929" s="8" t="s">
        <v>2513</v>
      </c>
      <c r="G929" s="8">
        <v>1</v>
      </c>
      <c r="H929" s="8">
        <v>20250401</v>
      </c>
      <c r="I929" s="8" t="str">
        <f t="shared" si="69"/>
        <v>4/1/2025</v>
      </c>
      <c r="J929" s="8">
        <v>20240901</v>
      </c>
      <c r="K929" s="8" t="str">
        <f t="shared" si="70"/>
        <v>9/1/2024</v>
      </c>
      <c r="L929" s="8" t="s">
        <v>56</v>
      </c>
      <c r="M929" s="8">
        <v>25</v>
      </c>
      <c r="N929" s="8">
        <v>25</v>
      </c>
      <c r="O929" s="6" t="s">
        <v>3947</v>
      </c>
    </row>
    <row r="930" spans="1:37" ht="15" customHeight="1" x14ac:dyDescent="0.2">
      <c r="A930" s="7" t="s">
        <v>3907</v>
      </c>
      <c r="B930" s="7">
        <v>2158366</v>
      </c>
      <c r="C930" s="8">
        <v>1</v>
      </c>
      <c r="D930" s="8">
        <v>921749969</v>
      </c>
      <c r="E930" s="8" t="str">
        <f t="shared" si="72"/>
        <v>92174996922</v>
      </c>
      <c r="F930" s="8" t="s">
        <v>2515</v>
      </c>
      <c r="G930" s="8">
        <v>1</v>
      </c>
      <c r="H930" s="8">
        <v>20250401</v>
      </c>
      <c r="I930" s="8" t="str">
        <f t="shared" si="69"/>
        <v>4/1/2025</v>
      </c>
      <c r="J930" s="8">
        <v>20250101</v>
      </c>
      <c r="K930" s="8" t="str">
        <f t="shared" si="70"/>
        <v>1/1/2025</v>
      </c>
      <c r="L930" s="8" t="s">
        <v>56</v>
      </c>
      <c r="M930" s="8">
        <v>25</v>
      </c>
      <c r="N930" s="8">
        <v>25</v>
      </c>
      <c r="O930" s="6" t="s">
        <v>3947</v>
      </c>
    </row>
    <row r="931" spans="1:37" ht="15" customHeight="1" x14ac:dyDescent="0.3">
      <c r="A931" s="7" t="s">
        <v>3907</v>
      </c>
      <c r="B931" s="7">
        <v>2158366</v>
      </c>
      <c r="C931" s="8">
        <v>1</v>
      </c>
      <c r="D931" s="8">
        <v>890561923</v>
      </c>
      <c r="E931" s="8" t="str">
        <f t="shared" ref="E931:E936" si="73">CONCATENATE(D931,44)</f>
        <v>89056192344</v>
      </c>
      <c r="F931" s="8" t="s">
        <v>2494</v>
      </c>
      <c r="G931" s="8">
        <v>1</v>
      </c>
      <c r="H931" s="8">
        <v>20250301</v>
      </c>
      <c r="I931" s="8" t="str">
        <f t="shared" si="69"/>
        <v>3/1/2025</v>
      </c>
      <c r="J931" s="8">
        <v>20150301</v>
      </c>
      <c r="K931" s="8" t="str">
        <f t="shared" si="70"/>
        <v>3/1/2015</v>
      </c>
      <c r="L931" s="8" t="s">
        <v>65</v>
      </c>
      <c r="M931" s="8">
        <v>25</v>
      </c>
      <c r="N931" s="8">
        <v>25</v>
      </c>
      <c r="O931" s="14" t="s">
        <v>3948</v>
      </c>
    </row>
    <row r="932" spans="1:37" ht="15" customHeight="1" x14ac:dyDescent="0.3">
      <c r="A932" s="7" t="s">
        <v>3907</v>
      </c>
      <c r="B932" s="7">
        <v>2158366</v>
      </c>
      <c r="C932" s="8">
        <v>1</v>
      </c>
      <c r="D932" s="8">
        <v>920991180</v>
      </c>
      <c r="E932" s="8" t="str">
        <f t="shared" si="73"/>
        <v>92099118044</v>
      </c>
      <c r="F932" s="8" t="s">
        <v>2497</v>
      </c>
      <c r="G932" s="8">
        <v>1</v>
      </c>
      <c r="H932" s="8">
        <v>20250401</v>
      </c>
      <c r="I932" s="8" t="str">
        <f t="shared" si="69"/>
        <v>4/1/2025</v>
      </c>
      <c r="J932" s="8">
        <v>20150101</v>
      </c>
      <c r="K932" s="8" t="str">
        <f t="shared" si="70"/>
        <v>1/1/2015</v>
      </c>
      <c r="L932" s="8" t="s">
        <v>65</v>
      </c>
      <c r="M932" s="8">
        <v>25</v>
      </c>
      <c r="N932" s="8">
        <v>25</v>
      </c>
      <c r="O932" s="14" t="s">
        <v>3948</v>
      </c>
    </row>
    <row r="933" spans="1:37" ht="15" customHeight="1" x14ac:dyDescent="0.3">
      <c r="A933" s="7" t="s">
        <v>3907</v>
      </c>
      <c r="B933" s="7">
        <v>2158366</v>
      </c>
      <c r="C933" s="8">
        <v>1</v>
      </c>
      <c r="D933" s="8">
        <v>921682677</v>
      </c>
      <c r="E933" s="8" t="str">
        <f t="shared" si="73"/>
        <v>92168267744</v>
      </c>
      <c r="F933" s="8" t="s">
        <v>2511</v>
      </c>
      <c r="G933" s="8">
        <v>1</v>
      </c>
      <c r="H933" s="8">
        <v>20250401</v>
      </c>
      <c r="I933" s="8" t="str">
        <f t="shared" si="69"/>
        <v>4/1/2025</v>
      </c>
      <c r="J933" s="8">
        <v>20231201</v>
      </c>
      <c r="K933" s="8" t="str">
        <f t="shared" si="70"/>
        <v>12/1/2023</v>
      </c>
      <c r="L933" s="8" t="s">
        <v>65</v>
      </c>
      <c r="M933" s="8">
        <v>25</v>
      </c>
      <c r="N933" s="8">
        <v>25</v>
      </c>
      <c r="O933" s="14" t="s">
        <v>3948</v>
      </c>
    </row>
    <row r="934" spans="1:37" ht="15" customHeight="1" x14ac:dyDescent="0.3">
      <c r="A934" s="7" t="s">
        <v>3907</v>
      </c>
      <c r="B934" s="7">
        <v>2158366</v>
      </c>
      <c r="C934" s="8">
        <v>1</v>
      </c>
      <c r="D934" s="8">
        <v>921779144</v>
      </c>
      <c r="E934" s="8" t="str">
        <f t="shared" si="73"/>
        <v>92177914444</v>
      </c>
      <c r="F934" s="8" t="s">
        <v>2517</v>
      </c>
      <c r="G934" s="8">
        <v>1</v>
      </c>
      <c r="H934" s="8">
        <v>20250501</v>
      </c>
      <c r="I934" s="8" t="str">
        <f t="shared" si="69"/>
        <v>5/1/2025</v>
      </c>
      <c r="J934" s="8">
        <v>20250401</v>
      </c>
      <c r="K934" s="8" t="str">
        <f t="shared" si="70"/>
        <v>4/1/2025</v>
      </c>
      <c r="L934" s="8" t="s">
        <v>65</v>
      </c>
      <c r="M934" s="8">
        <v>30</v>
      </c>
      <c r="N934" s="8">
        <v>30</v>
      </c>
      <c r="O934" s="14" t="s">
        <v>3948</v>
      </c>
    </row>
    <row r="935" spans="1:37" ht="15" customHeight="1" x14ac:dyDescent="0.3">
      <c r="A935" s="7" t="s">
        <v>3907</v>
      </c>
      <c r="B935" s="7">
        <v>2158366</v>
      </c>
      <c r="C935" s="8">
        <v>2</v>
      </c>
      <c r="D935" s="8">
        <v>921369740</v>
      </c>
      <c r="E935" s="8" t="str">
        <f t="shared" si="73"/>
        <v>92136974044</v>
      </c>
      <c r="F935" s="8" t="s">
        <v>2503</v>
      </c>
      <c r="G935" s="8">
        <v>1</v>
      </c>
      <c r="H935" s="8">
        <v>20250401</v>
      </c>
      <c r="I935" s="8" t="str">
        <f t="shared" si="69"/>
        <v>4/1/2025</v>
      </c>
      <c r="J935" s="8">
        <v>20250101</v>
      </c>
      <c r="K935" s="8" t="str">
        <f t="shared" si="70"/>
        <v>1/1/2025</v>
      </c>
      <c r="L935" s="8" t="s">
        <v>65</v>
      </c>
      <c r="M935" s="8">
        <v>30</v>
      </c>
      <c r="N935" s="8">
        <v>60</v>
      </c>
      <c r="O935" s="14" t="s">
        <v>3948</v>
      </c>
      <c r="P935" s="6" t="s">
        <v>3952</v>
      </c>
    </row>
    <row r="936" spans="1:37" ht="15" customHeight="1" x14ac:dyDescent="0.3">
      <c r="A936" s="7" t="s">
        <v>3907</v>
      </c>
      <c r="B936" s="7">
        <v>2158366</v>
      </c>
      <c r="C936" s="8">
        <v>2</v>
      </c>
      <c r="D936" s="8">
        <v>921369740</v>
      </c>
      <c r="E936" s="8" t="str">
        <f t="shared" si="73"/>
        <v>92136974044</v>
      </c>
      <c r="F936" s="8" t="s">
        <v>2503</v>
      </c>
      <c r="G936" s="8">
        <v>1</v>
      </c>
      <c r="H936" s="8">
        <v>20250301</v>
      </c>
      <c r="I936" s="8" t="str">
        <f t="shared" si="69"/>
        <v>3/1/2025</v>
      </c>
      <c r="J936" s="8">
        <v>20250101</v>
      </c>
      <c r="K936" s="8" t="str">
        <f t="shared" si="70"/>
        <v>1/1/2025</v>
      </c>
      <c r="L936" s="8" t="s">
        <v>65</v>
      </c>
      <c r="M936" s="8">
        <v>30</v>
      </c>
      <c r="N936" s="8">
        <v>60</v>
      </c>
      <c r="O936" s="14" t="s">
        <v>3948</v>
      </c>
      <c r="P936" s="6" t="s">
        <v>3952</v>
      </c>
    </row>
    <row r="937" spans="1:37" ht="15" customHeight="1" x14ac:dyDescent="0.2">
      <c r="A937" s="7" t="s">
        <v>3907</v>
      </c>
      <c r="B937" s="7">
        <v>2158366</v>
      </c>
      <c r="C937" s="8">
        <v>1</v>
      </c>
      <c r="D937" s="8">
        <v>921514651</v>
      </c>
      <c r="E937" s="8" t="str">
        <f>CONCATENATE(D937,55)</f>
        <v>92151465155</v>
      </c>
      <c r="F937" s="8" t="s">
        <v>2507</v>
      </c>
      <c r="G937" s="8">
        <v>1</v>
      </c>
      <c r="H937" s="8">
        <v>20250401</v>
      </c>
      <c r="I937" s="8" t="str">
        <f t="shared" si="69"/>
        <v>4/1/2025</v>
      </c>
      <c r="J937" s="8">
        <v>20200301</v>
      </c>
      <c r="K937" s="8" t="str">
        <f t="shared" si="70"/>
        <v>3/1/2020</v>
      </c>
      <c r="L937" s="8" t="s">
        <v>138</v>
      </c>
      <c r="M937" s="8">
        <v>20</v>
      </c>
      <c r="N937" s="8">
        <v>20</v>
      </c>
      <c r="O937" s="6" t="s">
        <v>3946</v>
      </c>
    </row>
    <row r="938" spans="1:37" ht="15" customHeight="1" x14ac:dyDescent="0.2">
      <c r="A938" s="7" t="s">
        <v>3907</v>
      </c>
      <c r="B938" s="7">
        <v>2158366</v>
      </c>
      <c r="D938" s="8">
        <v>957189032</v>
      </c>
      <c r="E938" s="8" t="str">
        <f>CONCATENATE(D938,7)</f>
        <v>9571890327</v>
      </c>
      <c r="F938" s="8" t="s">
        <v>2532</v>
      </c>
      <c r="G938" s="8">
        <v>46.76</v>
      </c>
      <c r="H938" s="8">
        <v>20250401</v>
      </c>
      <c r="I938" s="8" t="str">
        <f t="shared" si="69"/>
        <v>4/1/2025</v>
      </c>
      <c r="J938" s="8">
        <v>20241201</v>
      </c>
      <c r="K938" s="8" t="str">
        <f t="shared" si="70"/>
        <v>12/1/2024</v>
      </c>
      <c r="L938" s="8" t="s">
        <v>398</v>
      </c>
      <c r="M938" s="8">
        <v>0.1</v>
      </c>
      <c r="N938" s="8">
        <v>4.68</v>
      </c>
      <c r="O938" s="6" t="s">
        <v>3942</v>
      </c>
    </row>
    <row r="939" spans="1:37" ht="15" customHeight="1" x14ac:dyDescent="0.2">
      <c r="A939" s="7" t="s">
        <v>3907</v>
      </c>
      <c r="B939" s="7">
        <v>2158366</v>
      </c>
      <c r="D939" s="8">
        <v>957054078</v>
      </c>
      <c r="E939" s="8" t="str">
        <f>CONCATENATE(D939,8)</f>
        <v>9570540788</v>
      </c>
      <c r="F939" s="8" t="s">
        <v>2490</v>
      </c>
      <c r="G939" s="8">
        <v>356.09</v>
      </c>
      <c r="H939" s="8">
        <v>20250315</v>
      </c>
      <c r="I939" s="8" t="str">
        <f t="shared" si="69"/>
        <v>3/15/2025</v>
      </c>
      <c r="J939" s="8">
        <v>20250115</v>
      </c>
      <c r="K939" s="8" t="str">
        <f t="shared" si="70"/>
        <v>1/15/2025</v>
      </c>
      <c r="L939" s="8" t="s">
        <v>924</v>
      </c>
      <c r="M939" s="8">
        <v>0.05</v>
      </c>
      <c r="N939" s="8">
        <v>17.8</v>
      </c>
      <c r="O939" s="6" t="s">
        <v>3939</v>
      </c>
    </row>
    <row r="940" spans="1:37" ht="15" customHeight="1" x14ac:dyDescent="0.2">
      <c r="A940" s="7" t="s">
        <v>3907</v>
      </c>
      <c r="B940" s="7">
        <v>2158366</v>
      </c>
      <c r="D940" s="8">
        <v>957054078</v>
      </c>
      <c r="E940" s="8" t="str">
        <f>CONCATENATE(D940,8)</f>
        <v>9570540788</v>
      </c>
      <c r="F940" s="8" t="s">
        <v>2490</v>
      </c>
      <c r="G940" s="8">
        <v>356.09</v>
      </c>
      <c r="H940" s="8">
        <v>20250215</v>
      </c>
      <c r="I940" s="8" t="str">
        <f t="shared" si="69"/>
        <v>2/15/2025</v>
      </c>
      <c r="J940" s="8">
        <v>20250115</v>
      </c>
      <c r="K940" s="8" t="str">
        <f t="shared" si="70"/>
        <v>1/15/2025</v>
      </c>
      <c r="L940" s="8" t="s">
        <v>924</v>
      </c>
      <c r="M940" s="8">
        <v>0.05</v>
      </c>
      <c r="N940" s="8">
        <v>17.8</v>
      </c>
      <c r="O940" s="6" t="s">
        <v>3939</v>
      </c>
    </row>
    <row r="941" spans="1:37" ht="15" customHeight="1" x14ac:dyDescent="0.2">
      <c r="A941" s="7" t="s">
        <v>3907</v>
      </c>
      <c r="B941" s="7">
        <v>2158366</v>
      </c>
      <c r="C941" s="6">
        <v>-1</v>
      </c>
      <c r="D941" s="8">
        <v>957054078</v>
      </c>
      <c r="E941" s="8" t="str">
        <f>CONCATENATE(D941,8)</f>
        <v>9570540788</v>
      </c>
      <c r="F941" s="8" t="s">
        <v>2490</v>
      </c>
      <c r="G941" s="6">
        <v>-356.09</v>
      </c>
      <c r="H941" s="8">
        <v>20250315</v>
      </c>
      <c r="I941" s="8" t="str">
        <f t="shared" si="69"/>
        <v>3/15/2025</v>
      </c>
      <c r="J941" s="8">
        <v>20250115</v>
      </c>
      <c r="K941" s="8" t="str">
        <f t="shared" si="70"/>
        <v>1/15/2025</v>
      </c>
      <c r="L941" s="8" t="s">
        <v>924</v>
      </c>
      <c r="M941" s="8">
        <v>0.05</v>
      </c>
      <c r="N941" s="8">
        <v>-17.8</v>
      </c>
      <c r="O941" s="6" t="s">
        <v>3939</v>
      </c>
    </row>
    <row r="942" spans="1:37" ht="15" customHeight="1" x14ac:dyDescent="0.2">
      <c r="A942" s="7" t="s">
        <v>3907</v>
      </c>
      <c r="B942" s="7">
        <v>2158366</v>
      </c>
      <c r="C942" s="6">
        <v>-1</v>
      </c>
      <c r="D942" s="8">
        <v>957054078</v>
      </c>
      <c r="E942" s="8" t="str">
        <f>CONCATENATE(D942,8)</f>
        <v>9570540788</v>
      </c>
      <c r="F942" s="8" t="s">
        <v>2490</v>
      </c>
      <c r="G942" s="6">
        <v>-356.09</v>
      </c>
      <c r="H942" s="8">
        <v>20250215</v>
      </c>
      <c r="I942" s="8" t="str">
        <f t="shared" si="69"/>
        <v>2/15/2025</v>
      </c>
      <c r="J942" s="8">
        <v>20250115</v>
      </c>
      <c r="K942" s="8" t="str">
        <f t="shared" si="70"/>
        <v>1/15/2025</v>
      </c>
      <c r="L942" s="8" t="s">
        <v>924</v>
      </c>
      <c r="M942" s="8">
        <v>0.05</v>
      </c>
      <c r="N942" s="8">
        <v>-17.8</v>
      </c>
      <c r="O942" s="6" t="s">
        <v>3939</v>
      </c>
    </row>
    <row r="943" spans="1:37" ht="15" customHeight="1" x14ac:dyDescent="0.2">
      <c r="A943" s="7" t="s">
        <v>3907</v>
      </c>
      <c r="B943" s="7">
        <v>2158366</v>
      </c>
      <c r="D943" s="8">
        <v>957183257</v>
      </c>
      <c r="E943" s="8" t="str">
        <f>CONCATENATE(D943,9)</f>
        <v>9571832579</v>
      </c>
      <c r="F943" s="8" t="s">
        <v>2527</v>
      </c>
      <c r="G943" s="8">
        <v>147.68</v>
      </c>
      <c r="H943" s="8">
        <v>20250301</v>
      </c>
      <c r="I943" s="8" t="str">
        <f t="shared" si="69"/>
        <v>3/1/2025</v>
      </c>
      <c r="J943" s="8">
        <v>20240901</v>
      </c>
      <c r="K943" s="8" t="str">
        <f t="shared" si="70"/>
        <v>9/1/2024</v>
      </c>
      <c r="L943" s="8" t="s">
        <v>980</v>
      </c>
      <c r="M943" s="8">
        <v>0.18</v>
      </c>
      <c r="N943" s="8">
        <v>26.58</v>
      </c>
      <c r="O943" s="6" t="s">
        <v>3944</v>
      </c>
    </row>
    <row r="944" spans="1:37" ht="15" customHeight="1" x14ac:dyDescent="0.2">
      <c r="A944" s="7" t="s">
        <v>3907</v>
      </c>
      <c r="B944" s="7">
        <v>2158366</v>
      </c>
      <c r="C944" s="15">
        <v>1</v>
      </c>
      <c r="D944" s="15">
        <v>807676876</v>
      </c>
      <c r="E944" s="8" t="str">
        <f>CONCATENATE(D943,"PDP")</f>
        <v>957183257PDP</v>
      </c>
      <c r="F944" s="15" t="s">
        <v>2490</v>
      </c>
      <c r="G944" s="15">
        <v>58.58</v>
      </c>
      <c r="H944" s="15">
        <v>20250301</v>
      </c>
      <c r="I944" s="8" t="str">
        <f t="shared" si="69"/>
        <v>3/1/2025</v>
      </c>
      <c r="J944" s="15">
        <v>20250201</v>
      </c>
      <c r="K944" s="8" t="str">
        <f t="shared" si="70"/>
        <v>2/1/2025</v>
      </c>
      <c r="L944" s="15" t="s">
        <v>673</v>
      </c>
      <c r="N944" s="15">
        <v>58.58</v>
      </c>
      <c r="O944" s="12" t="s">
        <v>3951</v>
      </c>
      <c r="AK944" s="12"/>
    </row>
    <row r="945" spans="1:36" ht="15" customHeight="1" x14ac:dyDescent="0.2">
      <c r="A945" s="7" t="s">
        <v>3921</v>
      </c>
      <c r="B945" s="7">
        <v>16683808</v>
      </c>
      <c r="C945" s="8">
        <v>2</v>
      </c>
      <c r="D945" s="8">
        <v>921752064</v>
      </c>
      <c r="E945" s="8" t="str">
        <f>CONCATENATE(D945,22)</f>
        <v>92175206422</v>
      </c>
      <c r="F945" s="8" t="s">
        <v>3386</v>
      </c>
      <c r="G945" s="8">
        <v>1</v>
      </c>
      <c r="H945" s="8">
        <v>20250401</v>
      </c>
      <c r="I945" s="8" t="str">
        <f t="shared" si="69"/>
        <v>4/1/2025</v>
      </c>
      <c r="J945" s="8">
        <v>20250101</v>
      </c>
      <c r="K945" s="8" t="str">
        <f t="shared" si="70"/>
        <v>1/1/2025</v>
      </c>
      <c r="L945" s="8" t="s">
        <v>56</v>
      </c>
      <c r="M945" s="8">
        <v>25</v>
      </c>
      <c r="N945" s="8">
        <v>50</v>
      </c>
      <c r="O945" s="6" t="s">
        <v>3947</v>
      </c>
      <c r="P945" s="6" t="s">
        <v>3952</v>
      </c>
    </row>
    <row r="946" spans="1:36" ht="15" customHeight="1" x14ac:dyDescent="0.2">
      <c r="A946" s="7" t="s">
        <v>3921</v>
      </c>
      <c r="B946" s="7">
        <v>16683808</v>
      </c>
      <c r="C946" s="8">
        <v>1</v>
      </c>
      <c r="D946" s="8">
        <v>921619207</v>
      </c>
      <c r="E946" s="8" t="str">
        <f>CONCATENATE(D946,33)</f>
        <v>92161920733</v>
      </c>
      <c r="F946" s="8" t="s">
        <v>3384</v>
      </c>
      <c r="G946" s="8">
        <v>1</v>
      </c>
      <c r="H946" s="8">
        <v>20250401</v>
      </c>
      <c r="I946" s="8" t="str">
        <f t="shared" si="69"/>
        <v>4/1/2025</v>
      </c>
      <c r="J946" s="8">
        <v>20250101</v>
      </c>
      <c r="K946" s="8" t="str">
        <f t="shared" si="70"/>
        <v>1/1/2025</v>
      </c>
      <c r="L946" s="8" t="s">
        <v>198</v>
      </c>
      <c r="M946" s="8">
        <v>20</v>
      </c>
      <c r="N946" s="8">
        <v>20</v>
      </c>
      <c r="O946" s="6" t="s">
        <v>3950</v>
      </c>
    </row>
    <row r="947" spans="1:36" ht="15" customHeight="1" x14ac:dyDescent="0.2">
      <c r="A947" s="7" t="s">
        <v>3921</v>
      </c>
      <c r="B947" s="7">
        <v>16683808</v>
      </c>
      <c r="C947" s="8">
        <v>1</v>
      </c>
      <c r="D947" s="8">
        <v>921754649</v>
      </c>
      <c r="E947" s="8" t="str">
        <f>CONCATENATE(D947,33)</f>
        <v>92175464933</v>
      </c>
      <c r="F947" s="8" t="s">
        <v>3388</v>
      </c>
      <c r="G947" s="8">
        <v>1</v>
      </c>
      <c r="H947" s="8">
        <v>20250401</v>
      </c>
      <c r="I947" s="8" t="str">
        <f t="shared" si="69"/>
        <v>4/1/2025</v>
      </c>
      <c r="J947" s="8">
        <v>20250101</v>
      </c>
      <c r="K947" s="8" t="str">
        <f t="shared" si="70"/>
        <v>1/1/2025</v>
      </c>
      <c r="L947" s="8" t="s">
        <v>198</v>
      </c>
      <c r="M947" s="8">
        <v>20</v>
      </c>
      <c r="N947" s="8">
        <v>20</v>
      </c>
      <c r="O947" s="6" t="s">
        <v>3950</v>
      </c>
    </row>
    <row r="948" spans="1:36" ht="15" customHeight="1" x14ac:dyDescent="0.2">
      <c r="A948" s="7" t="s">
        <v>3921</v>
      </c>
      <c r="B948" s="7">
        <v>16683808</v>
      </c>
      <c r="C948" s="8">
        <v>1</v>
      </c>
      <c r="D948" s="8">
        <v>921758795</v>
      </c>
      <c r="E948" s="8" t="str">
        <f>CONCATENATE(D948,33)</f>
        <v>92175879533</v>
      </c>
      <c r="F948" s="8" t="s">
        <v>3390</v>
      </c>
      <c r="G948" s="8">
        <v>1</v>
      </c>
      <c r="H948" s="8">
        <v>20250401</v>
      </c>
      <c r="I948" s="8" t="str">
        <f t="shared" si="69"/>
        <v>4/1/2025</v>
      </c>
      <c r="J948" s="8">
        <v>20250101</v>
      </c>
      <c r="K948" s="8" t="str">
        <f t="shared" si="70"/>
        <v>1/1/2025</v>
      </c>
      <c r="L948" s="8" t="s">
        <v>198</v>
      </c>
      <c r="M948" s="8">
        <v>20</v>
      </c>
      <c r="N948" s="8">
        <v>20</v>
      </c>
      <c r="O948" s="6" t="s">
        <v>3950</v>
      </c>
    </row>
    <row r="949" spans="1:36" ht="15" customHeight="1" x14ac:dyDescent="0.2">
      <c r="A949" s="7" t="s">
        <v>3921</v>
      </c>
      <c r="B949" s="7">
        <v>16683808</v>
      </c>
      <c r="C949" s="8">
        <v>1</v>
      </c>
      <c r="D949" s="8">
        <v>921763571</v>
      </c>
      <c r="E949" s="8" t="str">
        <f>CONCATENATE(D949,33)</f>
        <v>92176357133</v>
      </c>
      <c r="F949" s="8" t="s">
        <v>3392</v>
      </c>
      <c r="G949" s="8">
        <v>1</v>
      </c>
      <c r="H949" s="8">
        <v>20250401</v>
      </c>
      <c r="I949" s="8" t="str">
        <f t="shared" si="69"/>
        <v>4/1/2025</v>
      </c>
      <c r="J949" s="8">
        <v>20250101</v>
      </c>
      <c r="K949" s="8" t="str">
        <f t="shared" si="70"/>
        <v>1/1/2025</v>
      </c>
      <c r="L949" s="8" t="s">
        <v>198</v>
      </c>
      <c r="M949" s="8">
        <v>20</v>
      </c>
      <c r="N949" s="8">
        <v>20</v>
      </c>
      <c r="O949" s="6" t="s">
        <v>3950</v>
      </c>
    </row>
    <row r="950" spans="1:36" ht="15" customHeight="1" x14ac:dyDescent="0.3">
      <c r="A950" s="10" t="s">
        <v>3923</v>
      </c>
      <c r="B950" s="10">
        <v>20212926</v>
      </c>
      <c r="C950" s="11">
        <v>5</v>
      </c>
      <c r="D950" s="11">
        <v>921710459</v>
      </c>
      <c r="E950" s="8" t="str">
        <f>CONCATENATE(D950,44)</f>
        <v>92171045944</v>
      </c>
      <c r="F950" s="11" t="s">
        <v>3408</v>
      </c>
      <c r="G950" s="8">
        <v>1</v>
      </c>
      <c r="H950" s="11">
        <v>20250401</v>
      </c>
      <c r="I950" s="8" t="str">
        <f t="shared" si="69"/>
        <v>4/1/2025</v>
      </c>
      <c r="J950" s="11">
        <v>20241001</v>
      </c>
      <c r="K950" s="8" t="str">
        <f t="shared" si="70"/>
        <v>10/1/2024</v>
      </c>
      <c r="L950" s="11" t="s">
        <v>65</v>
      </c>
      <c r="M950" s="11">
        <v>30</v>
      </c>
      <c r="N950" s="11">
        <v>150</v>
      </c>
      <c r="O950" s="14" t="s">
        <v>3948</v>
      </c>
      <c r="P950" s="6" t="s">
        <v>3955</v>
      </c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</row>
    <row r="951" spans="1:36" ht="15" customHeight="1" x14ac:dyDescent="0.2">
      <c r="A951" s="7" t="s">
        <v>3895</v>
      </c>
      <c r="B951" s="7">
        <v>1706194</v>
      </c>
      <c r="C951" s="8">
        <v>1</v>
      </c>
      <c r="D951" s="8">
        <v>920723118</v>
      </c>
      <c r="E951" s="8" t="str">
        <f t="shared" ref="E951:E962" si="74">CONCATENATE(D951,22)</f>
        <v>92072311822</v>
      </c>
      <c r="F951" s="8" t="s">
        <v>641</v>
      </c>
      <c r="G951" s="8">
        <v>1</v>
      </c>
      <c r="H951" s="8">
        <v>20250401</v>
      </c>
      <c r="I951" s="8" t="str">
        <f t="shared" si="69"/>
        <v>4/1/2025</v>
      </c>
      <c r="J951" s="8">
        <v>20140101</v>
      </c>
      <c r="K951" s="8" t="str">
        <f t="shared" si="70"/>
        <v>1/1/2014</v>
      </c>
      <c r="L951" s="8" t="s">
        <v>56</v>
      </c>
      <c r="M951" s="8">
        <v>20</v>
      </c>
      <c r="N951" s="8">
        <v>20</v>
      </c>
      <c r="O951" s="6" t="s">
        <v>3947</v>
      </c>
    </row>
    <row r="952" spans="1:36" ht="15" customHeight="1" x14ac:dyDescent="0.2">
      <c r="A952" s="7" t="s">
        <v>3929</v>
      </c>
      <c r="B952" s="7">
        <v>14177521</v>
      </c>
      <c r="C952" s="8">
        <v>1</v>
      </c>
      <c r="D952" s="8">
        <v>921316205</v>
      </c>
      <c r="E952" s="8" t="str">
        <f t="shared" si="74"/>
        <v>92131620522</v>
      </c>
      <c r="F952" s="8" t="s">
        <v>3518</v>
      </c>
      <c r="G952" s="8">
        <v>1</v>
      </c>
      <c r="H952" s="8">
        <v>20250401</v>
      </c>
      <c r="I952" s="8" t="str">
        <f t="shared" si="69"/>
        <v>4/1/2025</v>
      </c>
      <c r="J952" s="8">
        <v>20200101</v>
      </c>
      <c r="K952" s="8" t="str">
        <f t="shared" si="70"/>
        <v>1/1/2020</v>
      </c>
      <c r="L952" s="8" t="s">
        <v>56</v>
      </c>
      <c r="M952" s="8">
        <v>20</v>
      </c>
      <c r="N952" s="8">
        <v>20</v>
      </c>
      <c r="O952" s="6" t="s">
        <v>3947</v>
      </c>
    </row>
    <row r="953" spans="1:36" ht="15" customHeight="1" x14ac:dyDescent="0.2">
      <c r="A953" s="7" t="s">
        <v>3929</v>
      </c>
      <c r="B953" s="7">
        <v>14177521</v>
      </c>
      <c r="C953" s="8">
        <v>1</v>
      </c>
      <c r="D953" s="8">
        <v>921634283</v>
      </c>
      <c r="E953" s="8" t="str">
        <f t="shared" si="74"/>
        <v>92163428322</v>
      </c>
      <c r="F953" s="8" t="s">
        <v>3536</v>
      </c>
      <c r="G953" s="8">
        <v>1</v>
      </c>
      <c r="H953" s="8">
        <v>20250401</v>
      </c>
      <c r="I953" s="8" t="str">
        <f t="shared" si="69"/>
        <v>4/1/2025</v>
      </c>
      <c r="J953" s="8">
        <v>20230101</v>
      </c>
      <c r="K953" s="8" t="str">
        <f t="shared" si="70"/>
        <v>1/1/2023</v>
      </c>
      <c r="L953" s="8" t="s">
        <v>56</v>
      </c>
      <c r="M953" s="8">
        <v>20</v>
      </c>
      <c r="N953" s="8">
        <v>20</v>
      </c>
      <c r="O953" s="6" t="s">
        <v>3947</v>
      </c>
    </row>
    <row r="954" spans="1:36" ht="15" customHeight="1" x14ac:dyDescent="0.2">
      <c r="A954" s="7" t="s">
        <v>3929</v>
      </c>
      <c r="B954" s="7">
        <v>14177521</v>
      </c>
      <c r="C954" s="8">
        <v>1</v>
      </c>
      <c r="D954" s="8">
        <v>921684783</v>
      </c>
      <c r="E954" s="8" t="str">
        <f t="shared" si="74"/>
        <v>92168478322</v>
      </c>
      <c r="F954" s="8" t="s">
        <v>3539</v>
      </c>
      <c r="G954" s="8">
        <v>1</v>
      </c>
      <c r="H954" s="8">
        <v>20250401</v>
      </c>
      <c r="I954" s="8" t="str">
        <f t="shared" si="69"/>
        <v>4/1/2025</v>
      </c>
      <c r="J954" s="8">
        <v>20240101</v>
      </c>
      <c r="K954" s="8" t="str">
        <f t="shared" si="70"/>
        <v>1/1/2024</v>
      </c>
      <c r="L954" s="8" t="s">
        <v>56</v>
      </c>
      <c r="M954" s="8">
        <v>20</v>
      </c>
      <c r="N954" s="8">
        <v>20</v>
      </c>
      <c r="O954" s="6" t="s">
        <v>3947</v>
      </c>
    </row>
    <row r="955" spans="1:36" ht="15" customHeight="1" x14ac:dyDescent="0.2">
      <c r="A955" s="7" t="s">
        <v>3929</v>
      </c>
      <c r="B955" s="7">
        <v>14177521</v>
      </c>
      <c r="C955" s="8">
        <v>2</v>
      </c>
      <c r="D955" s="8">
        <v>921351845</v>
      </c>
      <c r="E955" s="8" t="str">
        <f t="shared" si="74"/>
        <v>92135184522</v>
      </c>
      <c r="F955" s="8" t="s">
        <v>3520</v>
      </c>
      <c r="G955" s="8">
        <v>1</v>
      </c>
      <c r="H955" s="8">
        <v>20250401</v>
      </c>
      <c r="I955" s="8" t="str">
        <f t="shared" si="69"/>
        <v>4/1/2025</v>
      </c>
      <c r="J955" s="8">
        <v>20240101</v>
      </c>
      <c r="K955" s="8" t="str">
        <f t="shared" si="70"/>
        <v>1/1/2024</v>
      </c>
      <c r="L955" s="8" t="s">
        <v>56</v>
      </c>
      <c r="M955" s="8">
        <v>20</v>
      </c>
      <c r="N955" s="8">
        <v>40</v>
      </c>
      <c r="O955" s="6" t="s">
        <v>3947</v>
      </c>
      <c r="P955" s="6" t="s">
        <v>3952</v>
      </c>
    </row>
    <row r="956" spans="1:36" ht="15" customHeight="1" x14ac:dyDescent="0.2">
      <c r="A956" s="7" t="s">
        <v>3929</v>
      </c>
      <c r="B956" s="7">
        <v>14177521</v>
      </c>
      <c r="C956" s="8">
        <v>2</v>
      </c>
      <c r="D956" s="8">
        <v>921351845</v>
      </c>
      <c r="E956" s="8" t="str">
        <f t="shared" si="74"/>
        <v>92135184522</v>
      </c>
      <c r="F956" s="8" t="s">
        <v>3520</v>
      </c>
      <c r="G956" s="8">
        <v>1</v>
      </c>
      <c r="H956" s="8">
        <v>20250301</v>
      </c>
      <c r="I956" s="8" t="str">
        <f t="shared" si="69"/>
        <v>3/1/2025</v>
      </c>
      <c r="J956" s="8">
        <v>20240101</v>
      </c>
      <c r="K956" s="8" t="str">
        <f t="shared" si="70"/>
        <v>1/1/2024</v>
      </c>
      <c r="L956" s="8" t="s">
        <v>56</v>
      </c>
      <c r="M956" s="8">
        <v>20</v>
      </c>
      <c r="N956" s="8">
        <v>40</v>
      </c>
      <c r="O956" s="6" t="s">
        <v>3947</v>
      </c>
      <c r="P956" s="6" t="s">
        <v>3952</v>
      </c>
    </row>
    <row r="957" spans="1:36" ht="15" customHeight="1" x14ac:dyDescent="0.2">
      <c r="A957" s="7" t="s">
        <v>3929</v>
      </c>
      <c r="B957" s="7">
        <v>14177521</v>
      </c>
      <c r="C957" s="8">
        <v>1</v>
      </c>
      <c r="D957" s="8">
        <v>920752891</v>
      </c>
      <c r="E957" s="8" t="str">
        <f t="shared" si="74"/>
        <v>92075289122</v>
      </c>
      <c r="F957" s="8" t="s">
        <v>3503</v>
      </c>
      <c r="G957" s="8">
        <v>1</v>
      </c>
      <c r="H957" s="8">
        <v>20250401</v>
      </c>
      <c r="I957" s="8" t="str">
        <f t="shared" si="69"/>
        <v>4/1/2025</v>
      </c>
      <c r="J957" s="8">
        <v>20250101</v>
      </c>
      <c r="K957" s="8" t="str">
        <f t="shared" si="70"/>
        <v>1/1/2025</v>
      </c>
      <c r="L957" s="8" t="s">
        <v>56</v>
      </c>
      <c r="M957" s="8">
        <v>25</v>
      </c>
      <c r="N957" s="8">
        <v>25</v>
      </c>
      <c r="O957" s="6" t="s">
        <v>3947</v>
      </c>
    </row>
    <row r="958" spans="1:36" ht="15" customHeight="1" x14ac:dyDescent="0.2">
      <c r="A958" s="7" t="s">
        <v>3929</v>
      </c>
      <c r="B958" s="7">
        <v>14177521</v>
      </c>
      <c r="C958" s="8">
        <v>1</v>
      </c>
      <c r="D958" s="8">
        <v>920945535</v>
      </c>
      <c r="E958" s="8" t="str">
        <f t="shared" si="74"/>
        <v>92094553522</v>
      </c>
      <c r="F958" s="8" t="s">
        <v>3508</v>
      </c>
      <c r="G958" s="8">
        <v>1</v>
      </c>
      <c r="H958" s="8">
        <v>20250401</v>
      </c>
      <c r="I958" s="8" t="str">
        <f t="shared" si="69"/>
        <v>4/1/2025</v>
      </c>
      <c r="J958" s="8">
        <v>20250101</v>
      </c>
      <c r="K958" s="8" t="str">
        <f t="shared" si="70"/>
        <v>1/1/2025</v>
      </c>
      <c r="L958" s="8" t="s">
        <v>56</v>
      </c>
      <c r="M958" s="8">
        <v>25</v>
      </c>
      <c r="N958" s="8">
        <v>25</v>
      </c>
      <c r="O958" s="6" t="s">
        <v>3947</v>
      </c>
    </row>
    <row r="959" spans="1:36" ht="15" customHeight="1" x14ac:dyDescent="0.2">
      <c r="A959" s="7" t="s">
        <v>3929</v>
      </c>
      <c r="B959" s="7">
        <v>14177521</v>
      </c>
      <c r="C959" s="8">
        <v>1</v>
      </c>
      <c r="D959" s="8">
        <v>920963250</v>
      </c>
      <c r="E959" s="8" t="str">
        <f t="shared" si="74"/>
        <v>92096325022</v>
      </c>
      <c r="F959" s="8" t="s">
        <v>3510</v>
      </c>
      <c r="G959" s="8">
        <v>1</v>
      </c>
      <c r="H959" s="8">
        <v>20250301</v>
      </c>
      <c r="I959" s="8" t="str">
        <f t="shared" si="69"/>
        <v>3/1/2025</v>
      </c>
      <c r="J959" s="8">
        <v>20250101</v>
      </c>
      <c r="K959" s="8" t="str">
        <f t="shared" si="70"/>
        <v>1/1/2025</v>
      </c>
      <c r="L959" s="8" t="s">
        <v>56</v>
      </c>
      <c r="M959" s="8">
        <v>25</v>
      </c>
      <c r="N959" s="8">
        <v>25</v>
      </c>
      <c r="O959" s="6" t="s">
        <v>3947</v>
      </c>
    </row>
    <row r="960" spans="1:36" ht="15" customHeight="1" x14ac:dyDescent="0.2">
      <c r="A960" s="7" t="s">
        <v>3929</v>
      </c>
      <c r="B960" s="7">
        <v>14177521</v>
      </c>
      <c r="C960" s="8">
        <v>1</v>
      </c>
      <c r="D960" s="8">
        <v>921498446</v>
      </c>
      <c r="E960" s="8" t="str">
        <f t="shared" si="74"/>
        <v>92149844622</v>
      </c>
      <c r="F960" s="8" t="s">
        <v>3524</v>
      </c>
      <c r="G960" s="8">
        <v>1</v>
      </c>
      <c r="H960" s="8">
        <v>20250401</v>
      </c>
      <c r="I960" s="8" t="str">
        <f t="shared" si="69"/>
        <v>4/1/2025</v>
      </c>
      <c r="J960" s="8">
        <v>20250301</v>
      </c>
      <c r="K960" s="8" t="str">
        <f t="shared" si="70"/>
        <v>3/1/2025</v>
      </c>
      <c r="L960" s="8" t="s">
        <v>56</v>
      </c>
      <c r="M960" s="8">
        <v>25</v>
      </c>
      <c r="N960" s="8">
        <v>25</v>
      </c>
      <c r="O960" s="6" t="s">
        <v>3947</v>
      </c>
    </row>
    <row r="961" spans="1:37" ht="15" customHeight="1" x14ac:dyDescent="0.2">
      <c r="A961" s="7" t="s">
        <v>3929</v>
      </c>
      <c r="B961" s="7">
        <v>14177521</v>
      </c>
      <c r="C961" s="8">
        <v>1</v>
      </c>
      <c r="D961" s="8">
        <v>921538499</v>
      </c>
      <c r="E961" s="8" t="str">
        <f t="shared" si="74"/>
        <v>92153849922</v>
      </c>
      <c r="F961" s="8" t="s">
        <v>3528</v>
      </c>
      <c r="G961" s="8">
        <v>1</v>
      </c>
      <c r="H961" s="8">
        <v>20250401</v>
      </c>
      <c r="I961" s="8" t="str">
        <f t="shared" si="69"/>
        <v>4/1/2025</v>
      </c>
      <c r="J961" s="8">
        <v>20250101</v>
      </c>
      <c r="K961" s="8" t="str">
        <f t="shared" si="70"/>
        <v>1/1/2025</v>
      </c>
      <c r="L961" s="8" t="s">
        <v>56</v>
      </c>
      <c r="M961" s="8">
        <v>25</v>
      </c>
      <c r="N961" s="8">
        <v>25</v>
      </c>
      <c r="O961" s="6" t="s">
        <v>3947</v>
      </c>
    </row>
    <row r="962" spans="1:37" ht="15" customHeight="1" x14ac:dyDescent="0.2">
      <c r="A962" s="7" t="s">
        <v>3929</v>
      </c>
      <c r="B962" s="7">
        <v>14177521</v>
      </c>
      <c r="C962" s="8">
        <v>2</v>
      </c>
      <c r="D962" s="8">
        <v>920827391</v>
      </c>
      <c r="E962" s="8" t="str">
        <f t="shared" si="74"/>
        <v>92082739122</v>
      </c>
      <c r="F962" s="8" t="s">
        <v>3506</v>
      </c>
      <c r="G962" s="8">
        <v>1</v>
      </c>
      <c r="H962" s="8">
        <v>20250401</v>
      </c>
      <c r="I962" s="8" t="str">
        <f t="shared" si="69"/>
        <v>4/1/2025</v>
      </c>
      <c r="J962" s="8">
        <v>20250101</v>
      </c>
      <c r="K962" s="8" t="str">
        <f t="shared" si="70"/>
        <v>1/1/2025</v>
      </c>
      <c r="L962" s="8" t="s">
        <v>56</v>
      </c>
      <c r="M962" s="8">
        <v>25</v>
      </c>
      <c r="N962" s="8">
        <v>50</v>
      </c>
      <c r="O962" s="6" t="s">
        <v>3947</v>
      </c>
      <c r="P962" s="6" t="s">
        <v>3952</v>
      </c>
    </row>
    <row r="963" spans="1:37" ht="15" customHeight="1" x14ac:dyDescent="0.2">
      <c r="A963" s="7" t="s">
        <v>3929</v>
      </c>
      <c r="B963" s="7">
        <v>14177521</v>
      </c>
      <c r="C963" s="8">
        <v>1</v>
      </c>
      <c r="D963" s="8">
        <v>921055011</v>
      </c>
      <c r="E963" s="8" t="str">
        <f>CONCATENATE(D963,33)</f>
        <v>92105501133</v>
      </c>
      <c r="F963" s="8" t="s">
        <v>3513</v>
      </c>
      <c r="G963" s="8">
        <v>1</v>
      </c>
      <c r="H963" s="8">
        <v>20250401</v>
      </c>
      <c r="I963" s="8" t="str">
        <f t="shared" ref="I963:I1026" si="75">TEXT(DATE(LEFT(H963,4), MID(H963,5,2), RIGHT(H963,2)), "M/d/yyyy")</f>
        <v>4/1/2025</v>
      </c>
      <c r="J963" s="8">
        <v>20230101</v>
      </c>
      <c r="K963" s="8" t="str">
        <f t="shared" ref="K963:K1026" si="76">TEXT(DATE(LEFT(J963,4), MID(J963,5,2), RIGHT(J963,2)), "M/d/yyyy")</f>
        <v>1/1/2023</v>
      </c>
      <c r="L963" s="8" t="s">
        <v>198</v>
      </c>
      <c r="M963" s="8">
        <v>15</v>
      </c>
      <c r="N963" s="8">
        <v>15</v>
      </c>
      <c r="O963" s="6" t="s">
        <v>3950</v>
      </c>
      <c r="AK963" s="12"/>
    </row>
    <row r="964" spans="1:37" ht="15" customHeight="1" x14ac:dyDescent="0.2">
      <c r="A964" s="7" t="s">
        <v>3929</v>
      </c>
      <c r="B964" s="7">
        <v>14177521</v>
      </c>
      <c r="C964" s="8">
        <v>1</v>
      </c>
      <c r="D964" s="8">
        <v>921055011</v>
      </c>
      <c r="E964" s="8" t="str">
        <f>CONCATENATE(D964,33)</f>
        <v>92105501133</v>
      </c>
      <c r="F964" s="8" t="s">
        <v>3513</v>
      </c>
      <c r="G964" s="8">
        <v>1</v>
      </c>
      <c r="H964" s="8">
        <v>20250301</v>
      </c>
      <c r="I964" s="8" t="str">
        <f t="shared" si="75"/>
        <v>3/1/2025</v>
      </c>
      <c r="J964" s="8">
        <v>20230101</v>
      </c>
      <c r="K964" s="8" t="str">
        <f t="shared" si="76"/>
        <v>1/1/2023</v>
      </c>
      <c r="L964" s="8" t="s">
        <v>198</v>
      </c>
      <c r="M964" s="8">
        <v>15</v>
      </c>
      <c r="N964" s="8">
        <v>15</v>
      </c>
      <c r="O964" s="6" t="s">
        <v>3950</v>
      </c>
    </row>
    <row r="965" spans="1:37" ht="15" customHeight="1" x14ac:dyDescent="0.2">
      <c r="A965" s="7" t="s">
        <v>3929</v>
      </c>
      <c r="B965" s="7">
        <v>14177521</v>
      </c>
      <c r="C965" s="8">
        <v>1</v>
      </c>
      <c r="D965" s="8">
        <v>921200779</v>
      </c>
      <c r="E965" s="8" t="str">
        <f>CONCATENATE(D965,33)</f>
        <v>92120077933</v>
      </c>
      <c r="F965" s="8" t="s">
        <v>3515</v>
      </c>
      <c r="G965" s="8">
        <v>1</v>
      </c>
      <c r="H965" s="8">
        <v>20250401</v>
      </c>
      <c r="I965" s="8" t="str">
        <f t="shared" si="75"/>
        <v>4/1/2025</v>
      </c>
      <c r="J965" s="8">
        <v>20240101</v>
      </c>
      <c r="K965" s="8" t="str">
        <f t="shared" si="76"/>
        <v>1/1/2024</v>
      </c>
      <c r="L965" s="8" t="s">
        <v>198</v>
      </c>
      <c r="M965" s="8">
        <v>15</v>
      </c>
      <c r="N965" s="8">
        <v>15</v>
      </c>
      <c r="O965" s="6" t="s">
        <v>3950</v>
      </c>
    </row>
    <row r="966" spans="1:37" ht="15" customHeight="1" x14ac:dyDescent="0.2">
      <c r="A966" s="7" t="s">
        <v>3929</v>
      </c>
      <c r="B966" s="7">
        <v>14177521</v>
      </c>
      <c r="C966" s="8">
        <v>1</v>
      </c>
      <c r="D966" s="8">
        <v>921498605</v>
      </c>
      <c r="E966" s="8" t="str">
        <f>CONCATENATE(D966,33)</f>
        <v>92149860533</v>
      </c>
      <c r="F966" s="8" t="s">
        <v>3526</v>
      </c>
      <c r="G966" s="8">
        <v>1</v>
      </c>
      <c r="H966" s="8">
        <v>20250401</v>
      </c>
      <c r="I966" s="8" t="str">
        <f t="shared" si="75"/>
        <v>4/1/2025</v>
      </c>
      <c r="J966" s="8">
        <v>20230101</v>
      </c>
      <c r="K966" s="8" t="str">
        <f t="shared" si="76"/>
        <v>1/1/2023</v>
      </c>
      <c r="L966" s="8" t="s">
        <v>198</v>
      </c>
      <c r="M966" s="8">
        <v>15</v>
      </c>
      <c r="N966" s="8">
        <v>15</v>
      </c>
      <c r="O966" s="6" t="s">
        <v>3950</v>
      </c>
    </row>
    <row r="967" spans="1:37" ht="15" customHeight="1" x14ac:dyDescent="0.2">
      <c r="A967" s="7" t="s">
        <v>3929</v>
      </c>
      <c r="B967" s="7">
        <v>14177521</v>
      </c>
      <c r="C967" s="8">
        <v>1</v>
      </c>
      <c r="D967" s="8">
        <v>921627056</v>
      </c>
      <c r="E967" s="8" t="str">
        <f>CONCATENATE(D967,33)</f>
        <v>92162705633</v>
      </c>
      <c r="F967" s="8" t="s">
        <v>3532</v>
      </c>
      <c r="G967" s="8">
        <v>1</v>
      </c>
      <c r="H967" s="8">
        <v>20250401</v>
      </c>
      <c r="I967" s="8" t="str">
        <f t="shared" si="75"/>
        <v>4/1/2025</v>
      </c>
      <c r="J967" s="8">
        <v>20230101</v>
      </c>
      <c r="K967" s="8" t="str">
        <f t="shared" si="76"/>
        <v>1/1/2023</v>
      </c>
      <c r="L967" s="8" t="s">
        <v>198</v>
      </c>
      <c r="M967" s="8">
        <v>15</v>
      </c>
      <c r="N967" s="8">
        <v>15</v>
      </c>
      <c r="O967" s="6" t="s">
        <v>3950</v>
      </c>
    </row>
    <row r="968" spans="1:37" ht="15" customHeight="1" x14ac:dyDescent="0.3">
      <c r="A968" s="7" t="s">
        <v>3929</v>
      </c>
      <c r="B968" s="7">
        <v>14177521</v>
      </c>
      <c r="C968" s="8">
        <v>1</v>
      </c>
      <c r="D968" s="8">
        <v>890662686</v>
      </c>
      <c r="E968" s="8" t="str">
        <f>CONCATENATE(D968,44)</f>
        <v>89066268644</v>
      </c>
      <c r="F968" s="8" t="s">
        <v>3501</v>
      </c>
      <c r="G968" s="8">
        <v>1</v>
      </c>
      <c r="H968" s="8">
        <v>20250401</v>
      </c>
      <c r="I968" s="8" t="str">
        <f t="shared" si="75"/>
        <v>4/1/2025</v>
      </c>
      <c r="J968" s="8">
        <v>20230101</v>
      </c>
      <c r="K968" s="8" t="str">
        <f t="shared" si="76"/>
        <v>1/1/2023</v>
      </c>
      <c r="L968" s="8" t="s">
        <v>65</v>
      </c>
      <c r="M968" s="8">
        <v>25</v>
      </c>
      <c r="N968" s="8">
        <v>25</v>
      </c>
      <c r="O968" s="14" t="s">
        <v>3948</v>
      </c>
    </row>
    <row r="969" spans="1:37" ht="15" customHeight="1" x14ac:dyDescent="0.3">
      <c r="A969" s="7" t="s">
        <v>3929</v>
      </c>
      <c r="B969" s="7">
        <v>14177521</v>
      </c>
      <c r="C969" s="8">
        <v>1</v>
      </c>
      <c r="D969" s="8">
        <v>921494779</v>
      </c>
      <c r="E969" s="8" t="str">
        <f>CONCATENATE(D969,44)</f>
        <v>92149477944</v>
      </c>
      <c r="F969" s="8" t="s">
        <v>3522</v>
      </c>
      <c r="G969" s="8">
        <v>1</v>
      </c>
      <c r="H969" s="8">
        <v>20250401</v>
      </c>
      <c r="I969" s="8" t="str">
        <f t="shared" si="75"/>
        <v>4/1/2025</v>
      </c>
      <c r="J969" s="8">
        <v>20230101</v>
      </c>
      <c r="K969" s="8" t="str">
        <f t="shared" si="76"/>
        <v>1/1/2023</v>
      </c>
      <c r="L969" s="8" t="s">
        <v>65</v>
      </c>
      <c r="M969" s="8">
        <v>25</v>
      </c>
      <c r="N969" s="8">
        <v>25</v>
      </c>
      <c r="O969" s="14" t="s">
        <v>3948</v>
      </c>
    </row>
    <row r="970" spans="1:37" ht="15" customHeight="1" x14ac:dyDescent="0.3">
      <c r="A970" s="7" t="s">
        <v>3929</v>
      </c>
      <c r="B970" s="7">
        <v>14177521</v>
      </c>
      <c r="C970" s="8">
        <v>1</v>
      </c>
      <c r="D970" s="8">
        <v>921576096</v>
      </c>
      <c r="E970" s="8" t="str">
        <f>CONCATENATE(D970,44)</f>
        <v>92157609644</v>
      </c>
      <c r="F970" s="8" t="s">
        <v>3530</v>
      </c>
      <c r="G970" s="8">
        <v>1</v>
      </c>
      <c r="H970" s="8">
        <v>20250401</v>
      </c>
      <c r="I970" s="8" t="str">
        <f t="shared" si="75"/>
        <v>4/1/2025</v>
      </c>
      <c r="J970" s="8">
        <v>20210801</v>
      </c>
      <c r="K970" s="8" t="str">
        <f t="shared" si="76"/>
        <v>8/1/2021</v>
      </c>
      <c r="L970" s="8" t="s">
        <v>65</v>
      </c>
      <c r="M970" s="8">
        <v>25</v>
      </c>
      <c r="N970" s="8">
        <v>25</v>
      </c>
      <c r="O970" s="14" t="s">
        <v>3948</v>
      </c>
    </row>
    <row r="971" spans="1:37" ht="15" customHeight="1" x14ac:dyDescent="0.3">
      <c r="A971" s="7" t="s">
        <v>3929</v>
      </c>
      <c r="B971" s="7">
        <v>14177521</v>
      </c>
      <c r="C971" s="8">
        <v>1</v>
      </c>
      <c r="D971" s="8">
        <v>921633094</v>
      </c>
      <c r="E971" s="8" t="str">
        <f>CONCATENATE(D971,44)</f>
        <v>92163309444</v>
      </c>
      <c r="F971" s="8" t="s">
        <v>3534</v>
      </c>
      <c r="G971" s="8">
        <v>1</v>
      </c>
      <c r="H971" s="8">
        <v>20250401</v>
      </c>
      <c r="I971" s="8" t="str">
        <f t="shared" si="75"/>
        <v>4/1/2025</v>
      </c>
      <c r="J971" s="8">
        <v>20230101</v>
      </c>
      <c r="K971" s="8" t="str">
        <f t="shared" si="76"/>
        <v>1/1/2023</v>
      </c>
      <c r="L971" s="8" t="s">
        <v>65</v>
      </c>
      <c r="M971" s="8">
        <v>25</v>
      </c>
      <c r="N971" s="8">
        <v>25</v>
      </c>
      <c r="O971" s="14" t="s">
        <v>3948</v>
      </c>
    </row>
    <row r="972" spans="1:37" ht="15" customHeight="1" x14ac:dyDescent="0.3">
      <c r="A972" s="7" t="s">
        <v>3929</v>
      </c>
      <c r="B972" s="7">
        <v>14177521</v>
      </c>
      <c r="C972" s="8">
        <v>4</v>
      </c>
      <c r="D972" s="8">
        <v>890261732</v>
      </c>
      <c r="E972" s="8" t="str">
        <f>CONCATENATE(D972,44)</f>
        <v>89026173244</v>
      </c>
      <c r="F972" s="8" t="s">
        <v>3498</v>
      </c>
      <c r="G972" s="8">
        <v>1</v>
      </c>
      <c r="H972" s="8">
        <v>20250401</v>
      </c>
      <c r="I972" s="8" t="str">
        <f t="shared" si="75"/>
        <v>4/1/2025</v>
      </c>
      <c r="J972" s="8">
        <v>20220101</v>
      </c>
      <c r="K972" s="8" t="str">
        <f t="shared" si="76"/>
        <v>1/1/2022</v>
      </c>
      <c r="L972" s="8" t="s">
        <v>65</v>
      </c>
      <c r="M972" s="8">
        <v>25</v>
      </c>
      <c r="N972" s="8">
        <v>100</v>
      </c>
      <c r="O972" s="14" t="s">
        <v>3948</v>
      </c>
      <c r="P972" s="6" t="s">
        <v>3954</v>
      </c>
    </row>
    <row r="973" spans="1:37" ht="15" customHeight="1" x14ac:dyDescent="0.2">
      <c r="A973" s="7" t="s">
        <v>3925</v>
      </c>
      <c r="B973" s="7">
        <v>6375605</v>
      </c>
      <c r="C973" s="8">
        <v>1</v>
      </c>
      <c r="D973" s="8">
        <v>921727262</v>
      </c>
      <c r="E973" s="8" t="str">
        <f>CONCATENATE(D973,22)</f>
        <v>92172726222</v>
      </c>
      <c r="F973" s="8" t="s">
        <v>3433</v>
      </c>
      <c r="G973" s="8">
        <v>1</v>
      </c>
      <c r="H973" s="8">
        <v>20250301</v>
      </c>
      <c r="I973" s="8" t="str">
        <f t="shared" si="75"/>
        <v>3/1/2025</v>
      </c>
      <c r="J973" s="8">
        <v>20240701</v>
      </c>
      <c r="K973" s="8" t="str">
        <f t="shared" si="76"/>
        <v>7/1/2024</v>
      </c>
      <c r="L973" s="8" t="s">
        <v>56</v>
      </c>
      <c r="M973" s="8">
        <v>25</v>
      </c>
      <c r="N973" s="8">
        <v>25</v>
      </c>
      <c r="O973" s="6" t="s">
        <v>3947</v>
      </c>
    </row>
    <row r="974" spans="1:37" ht="15" customHeight="1" x14ac:dyDescent="0.2">
      <c r="A974" s="7" t="s">
        <v>3925</v>
      </c>
      <c r="B974" s="7">
        <v>6375605</v>
      </c>
      <c r="D974" s="8">
        <v>957199488</v>
      </c>
      <c r="E974" s="8" t="str">
        <f>CONCATENATE(D974,8)</f>
        <v>9571994888</v>
      </c>
      <c r="F974" s="8" t="s">
        <v>3443</v>
      </c>
      <c r="G974" s="8">
        <v>318.23</v>
      </c>
      <c r="H974" s="8">
        <v>20250301</v>
      </c>
      <c r="I974" s="8" t="str">
        <f t="shared" si="75"/>
        <v>3/1/2025</v>
      </c>
      <c r="J974" s="8">
        <v>20250101</v>
      </c>
      <c r="K974" s="8" t="str">
        <f t="shared" si="76"/>
        <v>1/1/2025</v>
      </c>
      <c r="L974" s="8" t="s">
        <v>924</v>
      </c>
      <c r="M974" s="8">
        <v>0.05</v>
      </c>
      <c r="N974" s="8">
        <v>15.91</v>
      </c>
      <c r="O974" s="6" t="s">
        <v>3939</v>
      </c>
    </row>
    <row r="975" spans="1:37" ht="15" customHeight="1" x14ac:dyDescent="0.2">
      <c r="A975" s="7" t="s">
        <v>3925</v>
      </c>
      <c r="B975" s="7">
        <v>6375605</v>
      </c>
      <c r="D975" s="8">
        <v>957199602</v>
      </c>
      <c r="E975" s="8" t="str">
        <f>CONCATENATE(D975,9)</f>
        <v>9571996029</v>
      </c>
      <c r="F975" s="8" t="s">
        <v>3451</v>
      </c>
      <c r="G975" s="8">
        <v>153.65</v>
      </c>
      <c r="H975" s="8">
        <v>20250301</v>
      </c>
      <c r="I975" s="8" t="str">
        <f t="shared" si="75"/>
        <v>3/1/2025</v>
      </c>
      <c r="J975" s="8">
        <v>20250101</v>
      </c>
      <c r="K975" s="8" t="str">
        <f t="shared" si="76"/>
        <v>1/1/2025</v>
      </c>
      <c r="L975" s="8" t="s">
        <v>980</v>
      </c>
      <c r="M975" s="8">
        <v>0.18</v>
      </c>
      <c r="N975" s="8">
        <v>27.66</v>
      </c>
      <c r="O975" s="6" t="s">
        <v>3944</v>
      </c>
    </row>
    <row r="976" spans="1:37" ht="15" customHeight="1" x14ac:dyDescent="0.2">
      <c r="A976" s="7" t="s">
        <v>3925</v>
      </c>
      <c r="B976" s="7">
        <v>6375605</v>
      </c>
      <c r="D976" s="8">
        <v>957095574</v>
      </c>
      <c r="E976" s="8" t="str">
        <f>CONCATENATE(D976,9)</f>
        <v>9570955749</v>
      </c>
      <c r="F976" s="8" t="s">
        <v>3440</v>
      </c>
      <c r="G976" s="8">
        <v>158.80000000000001</v>
      </c>
      <c r="H976" s="8">
        <v>20250301</v>
      </c>
      <c r="I976" s="8" t="str">
        <f t="shared" si="75"/>
        <v>3/1/2025</v>
      </c>
      <c r="J976" s="8">
        <v>20250101</v>
      </c>
      <c r="K976" s="8" t="str">
        <f t="shared" si="76"/>
        <v>1/1/2025</v>
      </c>
      <c r="L976" s="8" t="s">
        <v>980</v>
      </c>
      <c r="M976" s="8">
        <v>0.18</v>
      </c>
      <c r="N976" s="8">
        <v>28.58</v>
      </c>
      <c r="O976" s="6" t="s">
        <v>3944</v>
      </c>
    </row>
    <row r="977" spans="1:37" ht="15" customHeight="1" x14ac:dyDescent="0.2">
      <c r="A977" s="7" t="s">
        <v>3925</v>
      </c>
      <c r="B977" s="7">
        <v>6375605</v>
      </c>
      <c r="D977" s="8">
        <v>957054077</v>
      </c>
      <c r="E977" s="8" t="str">
        <f>CONCATENATE(D977,9)</f>
        <v>9570540779</v>
      </c>
      <c r="F977" s="8" t="s">
        <v>3436</v>
      </c>
      <c r="G977" s="8">
        <v>159.13</v>
      </c>
      <c r="H977" s="8">
        <v>20250301</v>
      </c>
      <c r="I977" s="8" t="str">
        <f t="shared" si="75"/>
        <v>3/1/2025</v>
      </c>
      <c r="J977" s="8">
        <v>20250101</v>
      </c>
      <c r="K977" s="8" t="str">
        <f t="shared" si="76"/>
        <v>1/1/2025</v>
      </c>
      <c r="L977" s="8" t="s">
        <v>980</v>
      </c>
      <c r="M977" s="8">
        <v>0.18</v>
      </c>
      <c r="N977" s="8">
        <v>28.64</v>
      </c>
      <c r="O977" s="6" t="s">
        <v>3944</v>
      </c>
    </row>
    <row r="978" spans="1:37" ht="15" customHeight="1" x14ac:dyDescent="0.2">
      <c r="A978" s="7" t="s">
        <v>3925</v>
      </c>
      <c r="B978" s="7">
        <v>6375605</v>
      </c>
      <c r="D978" s="8">
        <v>957199518</v>
      </c>
      <c r="E978" s="8" t="str">
        <f>CONCATENATE(D978,0)</f>
        <v>9571995180</v>
      </c>
      <c r="F978" s="8" t="s">
        <v>3447</v>
      </c>
      <c r="G978" s="8">
        <v>246.51</v>
      </c>
      <c r="H978" s="8">
        <v>20250301</v>
      </c>
      <c r="I978" s="8" t="str">
        <f t="shared" si="75"/>
        <v>3/1/2025</v>
      </c>
      <c r="J978" s="8">
        <v>20250101</v>
      </c>
      <c r="K978" s="8" t="str">
        <f t="shared" si="76"/>
        <v>1/1/2025</v>
      </c>
      <c r="L978" s="8" t="s">
        <v>959</v>
      </c>
      <c r="M978" s="8">
        <v>0.09</v>
      </c>
      <c r="N978" s="8">
        <v>22.19</v>
      </c>
      <c r="O978" s="12" t="s">
        <v>3941</v>
      </c>
    </row>
    <row r="979" spans="1:37" ht="15" customHeight="1" x14ac:dyDescent="0.2">
      <c r="A979" s="7" t="s">
        <v>3915</v>
      </c>
      <c r="B979" s="9" t="s">
        <v>3937</v>
      </c>
      <c r="C979" s="8">
        <v>1</v>
      </c>
      <c r="D979" s="8">
        <v>921162486</v>
      </c>
      <c r="E979" s="8" t="str">
        <f t="shared" ref="E979:E1003" si="77">CONCATENATE(D979,22)</f>
        <v>92116248622</v>
      </c>
      <c r="F979" s="8" t="s">
        <v>2961</v>
      </c>
      <c r="G979" s="8">
        <v>1</v>
      </c>
      <c r="H979" s="8">
        <v>20250401</v>
      </c>
      <c r="I979" s="8" t="str">
        <f t="shared" si="75"/>
        <v>4/1/2025</v>
      </c>
      <c r="J979" s="8">
        <v>20150701</v>
      </c>
      <c r="K979" s="8" t="str">
        <f t="shared" si="76"/>
        <v>7/1/2015</v>
      </c>
      <c r="L979" s="8" t="s">
        <v>56</v>
      </c>
      <c r="M979" s="8">
        <v>20</v>
      </c>
      <c r="N979" s="8">
        <v>20</v>
      </c>
      <c r="O979" s="6" t="s">
        <v>3947</v>
      </c>
    </row>
    <row r="980" spans="1:37" s="13" customFormat="1" ht="15" customHeight="1" x14ac:dyDescent="0.2">
      <c r="A980" s="7" t="s">
        <v>3915</v>
      </c>
      <c r="B980" s="9" t="s">
        <v>3937</v>
      </c>
      <c r="C980" s="8">
        <v>1</v>
      </c>
      <c r="D980" s="8">
        <v>890119738</v>
      </c>
      <c r="E980" s="8" t="str">
        <f t="shared" si="77"/>
        <v>89011973822</v>
      </c>
      <c r="F980" s="8" t="s">
        <v>2959</v>
      </c>
      <c r="G980" s="8">
        <v>1</v>
      </c>
      <c r="H980" s="8">
        <v>20250401</v>
      </c>
      <c r="I980" s="8" t="str">
        <f t="shared" si="75"/>
        <v>4/1/2025</v>
      </c>
      <c r="J980" s="8">
        <v>20250201</v>
      </c>
      <c r="K980" s="8" t="str">
        <f t="shared" si="76"/>
        <v>2/1/2025</v>
      </c>
      <c r="L980" s="8" t="s">
        <v>56</v>
      </c>
      <c r="M980" s="8">
        <v>25</v>
      </c>
      <c r="N980" s="8">
        <v>25</v>
      </c>
      <c r="O980" s="6" t="s">
        <v>3947</v>
      </c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</row>
    <row r="981" spans="1:37" s="13" customFormat="1" ht="15" customHeight="1" x14ac:dyDescent="0.2">
      <c r="A981" s="7" t="s">
        <v>3915</v>
      </c>
      <c r="B981" s="9" t="s">
        <v>3937</v>
      </c>
      <c r="C981" s="8">
        <v>1</v>
      </c>
      <c r="D981" s="8">
        <v>921611622</v>
      </c>
      <c r="E981" s="8" t="str">
        <f t="shared" si="77"/>
        <v>92161162222</v>
      </c>
      <c r="F981" s="8" t="s">
        <v>2964</v>
      </c>
      <c r="G981" s="8">
        <v>1</v>
      </c>
      <c r="H981" s="8">
        <v>20250401</v>
      </c>
      <c r="I981" s="8" t="str">
        <f t="shared" si="75"/>
        <v>4/1/2025</v>
      </c>
      <c r="J981" s="8">
        <v>20250101</v>
      </c>
      <c r="K981" s="8" t="str">
        <f t="shared" si="76"/>
        <v>1/1/2025</v>
      </c>
      <c r="L981" s="8" t="s">
        <v>56</v>
      </c>
      <c r="M981" s="8">
        <v>25</v>
      </c>
      <c r="N981" s="8">
        <v>25</v>
      </c>
      <c r="O981" s="6" t="s">
        <v>3947</v>
      </c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</row>
    <row r="982" spans="1:37" s="13" customFormat="1" ht="15" customHeight="1" x14ac:dyDescent="0.2">
      <c r="A982" s="7" t="s">
        <v>3915</v>
      </c>
      <c r="B982" s="9" t="s">
        <v>3937</v>
      </c>
      <c r="C982" s="8">
        <v>1</v>
      </c>
      <c r="D982" s="8">
        <v>921762696</v>
      </c>
      <c r="E982" s="8" t="str">
        <f t="shared" si="77"/>
        <v>92176269622</v>
      </c>
      <c r="F982" s="8" t="s">
        <v>2968</v>
      </c>
      <c r="G982" s="8">
        <v>1</v>
      </c>
      <c r="H982" s="8">
        <v>20250401</v>
      </c>
      <c r="I982" s="8" t="str">
        <f t="shared" si="75"/>
        <v>4/1/2025</v>
      </c>
      <c r="J982" s="8">
        <v>20250101</v>
      </c>
      <c r="K982" s="8" t="str">
        <f t="shared" si="76"/>
        <v>1/1/2025</v>
      </c>
      <c r="L982" s="8" t="s">
        <v>56</v>
      </c>
      <c r="M982" s="8">
        <v>25</v>
      </c>
      <c r="N982" s="8">
        <v>25</v>
      </c>
      <c r="O982" s="6" t="s">
        <v>3947</v>
      </c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</row>
    <row r="983" spans="1:37" s="13" customFormat="1" ht="15" customHeight="1" x14ac:dyDescent="0.2">
      <c r="A983" s="7" t="s">
        <v>3915</v>
      </c>
      <c r="B983" s="9" t="s">
        <v>3937</v>
      </c>
      <c r="C983" s="8">
        <v>1</v>
      </c>
      <c r="D983" s="8">
        <v>921765149</v>
      </c>
      <c r="E983" s="8" t="str">
        <f t="shared" si="77"/>
        <v>92176514922</v>
      </c>
      <c r="F983" s="8" t="s">
        <v>2970</v>
      </c>
      <c r="G983" s="8">
        <v>1</v>
      </c>
      <c r="H983" s="8">
        <v>20250401</v>
      </c>
      <c r="I983" s="8" t="str">
        <f t="shared" si="75"/>
        <v>4/1/2025</v>
      </c>
      <c r="J983" s="8">
        <v>20250101</v>
      </c>
      <c r="K983" s="8" t="str">
        <f t="shared" si="76"/>
        <v>1/1/2025</v>
      </c>
      <c r="L983" s="8" t="s">
        <v>56</v>
      </c>
      <c r="M983" s="8">
        <v>25</v>
      </c>
      <c r="N983" s="8">
        <v>25</v>
      </c>
      <c r="O983" s="6" t="s">
        <v>3947</v>
      </c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</row>
    <row r="984" spans="1:37" s="12" customFormat="1" ht="15" customHeight="1" x14ac:dyDescent="0.2">
      <c r="A984" s="7" t="s">
        <v>3915</v>
      </c>
      <c r="B984" s="9" t="s">
        <v>3937</v>
      </c>
      <c r="C984" s="8">
        <v>1</v>
      </c>
      <c r="D984" s="8">
        <v>921772109</v>
      </c>
      <c r="E984" s="8" t="str">
        <f t="shared" si="77"/>
        <v>92177210922</v>
      </c>
      <c r="F984" s="8" t="s">
        <v>2974</v>
      </c>
      <c r="G984" s="8">
        <v>1</v>
      </c>
      <c r="H984" s="8">
        <v>20250401</v>
      </c>
      <c r="I984" s="8" t="str">
        <f t="shared" si="75"/>
        <v>4/1/2025</v>
      </c>
      <c r="J984" s="8">
        <v>20250201</v>
      </c>
      <c r="K984" s="8" t="str">
        <f t="shared" si="76"/>
        <v>2/1/2025</v>
      </c>
      <c r="L984" s="8" t="s">
        <v>56</v>
      </c>
      <c r="M984" s="8">
        <v>25</v>
      </c>
      <c r="N984" s="8">
        <v>25</v>
      </c>
      <c r="O984" s="6" t="s">
        <v>3947</v>
      </c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</row>
    <row r="985" spans="1:37" s="12" customFormat="1" ht="15" customHeight="1" x14ac:dyDescent="0.2">
      <c r="A985" s="7" t="s">
        <v>3915</v>
      </c>
      <c r="B985" s="9" t="s">
        <v>3937</v>
      </c>
      <c r="C985" s="8">
        <v>1</v>
      </c>
      <c r="D985" s="8">
        <v>921772139</v>
      </c>
      <c r="E985" s="8" t="str">
        <f t="shared" si="77"/>
        <v>92177213922</v>
      </c>
      <c r="F985" s="8" t="s">
        <v>2976</v>
      </c>
      <c r="G985" s="8">
        <v>1</v>
      </c>
      <c r="H985" s="8">
        <v>20250401</v>
      </c>
      <c r="I985" s="8" t="str">
        <f t="shared" si="75"/>
        <v>4/1/2025</v>
      </c>
      <c r="J985" s="8">
        <v>20250201</v>
      </c>
      <c r="K985" s="8" t="str">
        <f t="shared" si="76"/>
        <v>2/1/2025</v>
      </c>
      <c r="L985" s="8" t="s">
        <v>56</v>
      </c>
      <c r="M985" s="8">
        <v>25</v>
      </c>
      <c r="N985" s="8">
        <v>25</v>
      </c>
      <c r="O985" s="6" t="s">
        <v>3947</v>
      </c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</row>
    <row r="986" spans="1:37" s="12" customFormat="1" ht="15" customHeight="1" x14ac:dyDescent="0.2">
      <c r="A986" s="7" t="s">
        <v>3915</v>
      </c>
      <c r="B986" s="9" t="s">
        <v>3937</v>
      </c>
      <c r="C986" s="8">
        <v>1</v>
      </c>
      <c r="D986" s="8">
        <v>921772932</v>
      </c>
      <c r="E986" s="8" t="str">
        <f t="shared" si="77"/>
        <v>92177293222</v>
      </c>
      <c r="F986" s="8" t="s">
        <v>2978</v>
      </c>
      <c r="G986" s="8">
        <v>1</v>
      </c>
      <c r="H986" s="8">
        <v>20250401</v>
      </c>
      <c r="I986" s="8" t="str">
        <f t="shared" si="75"/>
        <v>4/1/2025</v>
      </c>
      <c r="J986" s="8">
        <v>20250201</v>
      </c>
      <c r="K986" s="8" t="str">
        <f t="shared" si="76"/>
        <v>2/1/2025</v>
      </c>
      <c r="L986" s="8" t="s">
        <v>56</v>
      </c>
      <c r="M986" s="8">
        <v>25</v>
      </c>
      <c r="N986" s="8">
        <v>25</v>
      </c>
      <c r="O986" s="6" t="s">
        <v>3947</v>
      </c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</row>
    <row r="987" spans="1:37" s="12" customFormat="1" ht="15" customHeight="1" x14ac:dyDescent="0.2">
      <c r="A987" s="7" t="s">
        <v>3915</v>
      </c>
      <c r="B987" s="9" t="s">
        <v>3937</v>
      </c>
      <c r="C987" s="8">
        <v>1</v>
      </c>
      <c r="D987" s="8">
        <v>921775596</v>
      </c>
      <c r="E987" s="8" t="str">
        <f t="shared" si="77"/>
        <v>92177559622</v>
      </c>
      <c r="F987" s="8" t="s">
        <v>2980</v>
      </c>
      <c r="G987" s="8">
        <v>1</v>
      </c>
      <c r="H987" s="8">
        <v>20250401</v>
      </c>
      <c r="I987" s="8" t="str">
        <f t="shared" si="75"/>
        <v>4/1/2025</v>
      </c>
      <c r="J987" s="8">
        <v>20250201</v>
      </c>
      <c r="K987" s="8" t="str">
        <f t="shared" si="76"/>
        <v>2/1/2025</v>
      </c>
      <c r="L987" s="8" t="s">
        <v>56</v>
      </c>
      <c r="M987" s="8">
        <v>25</v>
      </c>
      <c r="N987" s="8">
        <v>25</v>
      </c>
      <c r="O987" s="6" t="s">
        <v>3947</v>
      </c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</row>
    <row r="988" spans="1:37" s="12" customFormat="1" ht="15" customHeight="1" x14ac:dyDescent="0.2">
      <c r="A988" s="7" t="s">
        <v>3915</v>
      </c>
      <c r="B988" s="9" t="s">
        <v>3937</v>
      </c>
      <c r="C988" s="8">
        <v>1</v>
      </c>
      <c r="D988" s="8">
        <v>921775834</v>
      </c>
      <c r="E988" s="8" t="str">
        <f t="shared" si="77"/>
        <v>92177583422</v>
      </c>
      <c r="F988" s="8" t="s">
        <v>2982</v>
      </c>
      <c r="G988" s="8">
        <v>1</v>
      </c>
      <c r="H988" s="8">
        <v>20250401</v>
      </c>
      <c r="I988" s="8" t="str">
        <f t="shared" si="75"/>
        <v>4/1/2025</v>
      </c>
      <c r="J988" s="8">
        <v>20250201</v>
      </c>
      <c r="K988" s="8" t="str">
        <f t="shared" si="76"/>
        <v>2/1/2025</v>
      </c>
      <c r="L988" s="8" t="s">
        <v>56</v>
      </c>
      <c r="M988" s="8">
        <v>25</v>
      </c>
      <c r="N988" s="8">
        <v>25</v>
      </c>
      <c r="O988" s="6" t="s">
        <v>3947</v>
      </c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</row>
    <row r="989" spans="1:37" s="12" customFormat="1" ht="15" customHeight="1" x14ac:dyDescent="0.2">
      <c r="A989" s="7" t="s">
        <v>3915</v>
      </c>
      <c r="B989" s="9" t="s">
        <v>3937</v>
      </c>
      <c r="C989" s="8">
        <v>1</v>
      </c>
      <c r="D989" s="8">
        <v>921776028</v>
      </c>
      <c r="E989" s="8" t="str">
        <f t="shared" si="77"/>
        <v>92177602822</v>
      </c>
      <c r="F989" s="8" t="s">
        <v>2984</v>
      </c>
      <c r="G989" s="8">
        <v>1</v>
      </c>
      <c r="H989" s="8">
        <v>20250401</v>
      </c>
      <c r="I989" s="8" t="str">
        <f t="shared" si="75"/>
        <v>4/1/2025</v>
      </c>
      <c r="J989" s="8">
        <v>20250201</v>
      </c>
      <c r="K989" s="8" t="str">
        <f t="shared" si="76"/>
        <v>2/1/2025</v>
      </c>
      <c r="L989" s="8" t="s">
        <v>56</v>
      </c>
      <c r="M989" s="8">
        <v>25</v>
      </c>
      <c r="N989" s="8">
        <v>25</v>
      </c>
      <c r="O989" s="6" t="s">
        <v>3947</v>
      </c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</row>
    <row r="990" spans="1:37" s="12" customFormat="1" ht="15" customHeight="1" x14ac:dyDescent="0.2">
      <c r="A990" s="7" t="s">
        <v>3915</v>
      </c>
      <c r="B990" s="9" t="s">
        <v>3937</v>
      </c>
      <c r="C990" s="8">
        <v>1</v>
      </c>
      <c r="D990" s="8">
        <v>921777125</v>
      </c>
      <c r="E990" s="8" t="str">
        <f t="shared" si="77"/>
        <v>92177712522</v>
      </c>
      <c r="F990" s="8" t="s">
        <v>2986</v>
      </c>
      <c r="G990" s="8">
        <v>1</v>
      </c>
      <c r="H990" s="8">
        <v>20250401</v>
      </c>
      <c r="I990" s="8" t="str">
        <f t="shared" si="75"/>
        <v>4/1/2025</v>
      </c>
      <c r="J990" s="8">
        <v>20250201</v>
      </c>
      <c r="K990" s="8" t="str">
        <f t="shared" si="76"/>
        <v>2/1/2025</v>
      </c>
      <c r="L990" s="8" t="s">
        <v>56</v>
      </c>
      <c r="M990" s="8">
        <v>25</v>
      </c>
      <c r="N990" s="8">
        <v>25</v>
      </c>
      <c r="O990" s="6" t="s">
        <v>3947</v>
      </c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</row>
    <row r="991" spans="1:37" s="12" customFormat="1" ht="15" customHeight="1" x14ac:dyDescent="0.2">
      <c r="A991" s="7" t="s">
        <v>3915</v>
      </c>
      <c r="B991" s="9" t="s">
        <v>3937</v>
      </c>
      <c r="C991" s="8">
        <v>1</v>
      </c>
      <c r="D991" s="8">
        <v>921777125</v>
      </c>
      <c r="E991" s="8" t="str">
        <f t="shared" si="77"/>
        <v>92177712522</v>
      </c>
      <c r="F991" s="8" t="s">
        <v>2986</v>
      </c>
      <c r="G991" s="8">
        <v>1</v>
      </c>
      <c r="H991" s="8">
        <v>20250301</v>
      </c>
      <c r="I991" s="8" t="str">
        <f t="shared" si="75"/>
        <v>3/1/2025</v>
      </c>
      <c r="J991" s="8">
        <v>20250201</v>
      </c>
      <c r="K991" s="8" t="str">
        <f t="shared" si="76"/>
        <v>2/1/2025</v>
      </c>
      <c r="L991" s="8" t="s">
        <v>56</v>
      </c>
      <c r="M991" s="8">
        <v>25</v>
      </c>
      <c r="N991" s="8">
        <v>25</v>
      </c>
      <c r="O991" s="6" t="s">
        <v>3947</v>
      </c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</row>
    <row r="992" spans="1:37" s="12" customFormat="1" ht="15" customHeight="1" x14ac:dyDescent="0.2">
      <c r="A992" s="7" t="s">
        <v>3915</v>
      </c>
      <c r="B992" s="9" t="s">
        <v>3937</v>
      </c>
      <c r="C992" s="8">
        <v>1</v>
      </c>
      <c r="D992" s="8">
        <v>921777536</v>
      </c>
      <c r="E992" s="8" t="str">
        <f t="shared" si="77"/>
        <v>92177753622</v>
      </c>
      <c r="F992" s="8" t="s">
        <v>2988</v>
      </c>
      <c r="G992" s="8">
        <v>1</v>
      </c>
      <c r="H992" s="8">
        <v>20250301</v>
      </c>
      <c r="I992" s="8" t="str">
        <f t="shared" si="75"/>
        <v>3/1/2025</v>
      </c>
      <c r="J992" s="8">
        <v>20250201</v>
      </c>
      <c r="K992" s="8" t="str">
        <f t="shared" si="76"/>
        <v>2/1/2025</v>
      </c>
      <c r="L992" s="8" t="s">
        <v>56</v>
      </c>
      <c r="M992" s="8">
        <v>25</v>
      </c>
      <c r="N992" s="8">
        <v>25</v>
      </c>
      <c r="O992" s="6" t="s">
        <v>3947</v>
      </c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</row>
    <row r="993" spans="1:16" ht="15" customHeight="1" x14ac:dyDescent="0.2">
      <c r="A993" s="7" t="s">
        <v>3915</v>
      </c>
      <c r="B993" s="9" t="s">
        <v>3937</v>
      </c>
      <c r="C993" s="8">
        <v>1</v>
      </c>
      <c r="D993" s="8">
        <v>921777700</v>
      </c>
      <c r="E993" s="8" t="str">
        <f t="shared" si="77"/>
        <v>92177770022</v>
      </c>
      <c r="F993" s="8" t="s">
        <v>2990</v>
      </c>
      <c r="G993" s="8">
        <v>1</v>
      </c>
      <c r="H993" s="8">
        <v>20250401</v>
      </c>
      <c r="I993" s="8" t="str">
        <f t="shared" si="75"/>
        <v>4/1/2025</v>
      </c>
      <c r="J993" s="8">
        <v>20250201</v>
      </c>
      <c r="K993" s="8" t="str">
        <f t="shared" si="76"/>
        <v>2/1/2025</v>
      </c>
      <c r="L993" s="8" t="s">
        <v>56</v>
      </c>
      <c r="M993" s="8">
        <v>25</v>
      </c>
      <c r="N993" s="8">
        <v>25</v>
      </c>
      <c r="O993" s="6" t="s">
        <v>3947</v>
      </c>
    </row>
    <row r="994" spans="1:16" ht="15" customHeight="1" x14ac:dyDescent="0.2">
      <c r="A994" s="7" t="s">
        <v>3915</v>
      </c>
      <c r="B994" s="9" t="s">
        <v>3937</v>
      </c>
      <c r="C994" s="8">
        <v>1</v>
      </c>
      <c r="D994" s="8">
        <v>921777700</v>
      </c>
      <c r="E994" s="8" t="str">
        <f t="shared" si="77"/>
        <v>92177770022</v>
      </c>
      <c r="F994" s="8" t="s">
        <v>2990</v>
      </c>
      <c r="G994" s="8">
        <v>1</v>
      </c>
      <c r="H994" s="8">
        <v>20250301</v>
      </c>
      <c r="I994" s="8" t="str">
        <f t="shared" si="75"/>
        <v>3/1/2025</v>
      </c>
      <c r="J994" s="8">
        <v>20250201</v>
      </c>
      <c r="K994" s="8" t="str">
        <f t="shared" si="76"/>
        <v>2/1/2025</v>
      </c>
      <c r="L994" s="8" t="s">
        <v>56</v>
      </c>
      <c r="M994" s="8">
        <v>25</v>
      </c>
      <c r="N994" s="8">
        <v>25</v>
      </c>
      <c r="O994" s="6" t="s">
        <v>3947</v>
      </c>
    </row>
    <row r="995" spans="1:16" ht="15" customHeight="1" x14ac:dyDescent="0.2">
      <c r="A995" s="7" t="s">
        <v>3915</v>
      </c>
      <c r="B995" s="9" t="s">
        <v>3937</v>
      </c>
      <c r="C995" s="8">
        <v>1</v>
      </c>
      <c r="D995" s="8">
        <v>921778425</v>
      </c>
      <c r="E995" s="8" t="str">
        <f t="shared" si="77"/>
        <v>92177842522</v>
      </c>
      <c r="F995" s="8" t="s">
        <v>2992</v>
      </c>
      <c r="G995" s="8">
        <v>1</v>
      </c>
      <c r="H995" s="8">
        <v>20250301</v>
      </c>
      <c r="I995" s="8" t="str">
        <f t="shared" si="75"/>
        <v>3/1/2025</v>
      </c>
      <c r="J995" s="8">
        <v>20250201</v>
      </c>
      <c r="K995" s="8" t="str">
        <f t="shared" si="76"/>
        <v>2/1/2025</v>
      </c>
      <c r="L995" s="8" t="s">
        <v>56</v>
      </c>
      <c r="M995" s="8">
        <v>25</v>
      </c>
      <c r="N995" s="8">
        <v>25</v>
      </c>
      <c r="O995" s="6" t="s">
        <v>3947</v>
      </c>
    </row>
    <row r="996" spans="1:16" ht="15" customHeight="1" x14ac:dyDescent="0.2">
      <c r="A996" s="7" t="s">
        <v>3915</v>
      </c>
      <c r="B996" s="9" t="s">
        <v>3937</v>
      </c>
      <c r="C996" s="8">
        <v>1</v>
      </c>
      <c r="D996" s="8">
        <v>921779167</v>
      </c>
      <c r="E996" s="8" t="str">
        <f t="shared" si="77"/>
        <v>92177916722</v>
      </c>
      <c r="F996" s="8" t="s">
        <v>2996</v>
      </c>
      <c r="G996" s="8">
        <v>1</v>
      </c>
      <c r="H996" s="8">
        <v>20250401</v>
      </c>
      <c r="I996" s="8" t="str">
        <f t="shared" si="75"/>
        <v>4/1/2025</v>
      </c>
      <c r="J996" s="8">
        <v>20250301</v>
      </c>
      <c r="K996" s="8" t="str">
        <f t="shared" si="76"/>
        <v>3/1/2025</v>
      </c>
      <c r="L996" s="8" t="s">
        <v>56</v>
      </c>
      <c r="M996" s="8">
        <v>25</v>
      </c>
      <c r="N996" s="8">
        <v>25</v>
      </c>
      <c r="O996" s="6" t="s">
        <v>3947</v>
      </c>
    </row>
    <row r="997" spans="1:16" ht="15" customHeight="1" x14ac:dyDescent="0.2">
      <c r="A997" s="7" t="s">
        <v>3915</v>
      </c>
      <c r="B997" s="9" t="s">
        <v>3937</v>
      </c>
      <c r="C997" s="8">
        <v>1</v>
      </c>
      <c r="D997" s="8">
        <v>921779277</v>
      </c>
      <c r="E997" s="8" t="str">
        <f t="shared" si="77"/>
        <v>92177927722</v>
      </c>
      <c r="F997" s="8" t="s">
        <v>2998</v>
      </c>
      <c r="G997" s="8">
        <v>1</v>
      </c>
      <c r="H997" s="8">
        <v>20250401</v>
      </c>
      <c r="I997" s="8" t="str">
        <f t="shared" si="75"/>
        <v>4/1/2025</v>
      </c>
      <c r="J997" s="8">
        <v>20250301</v>
      </c>
      <c r="K997" s="8" t="str">
        <f t="shared" si="76"/>
        <v>3/1/2025</v>
      </c>
      <c r="L997" s="8" t="s">
        <v>56</v>
      </c>
      <c r="M997" s="8">
        <v>25</v>
      </c>
      <c r="N997" s="8">
        <v>25</v>
      </c>
      <c r="O997" s="6" t="s">
        <v>3947</v>
      </c>
    </row>
    <row r="998" spans="1:16" ht="15" customHeight="1" x14ac:dyDescent="0.2">
      <c r="A998" s="7" t="s">
        <v>3915</v>
      </c>
      <c r="B998" s="9" t="s">
        <v>3937</v>
      </c>
      <c r="C998" s="8">
        <v>1</v>
      </c>
      <c r="D998" s="8">
        <v>921779942</v>
      </c>
      <c r="E998" s="8" t="str">
        <f t="shared" si="77"/>
        <v>92177994222</v>
      </c>
      <c r="F998" s="8" t="s">
        <v>3000</v>
      </c>
      <c r="G998" s="8">
        <v>1</v>
      </c>
      <c r="H998" s="8">
        <v>20250401</v>
      </c>
      <c r="I998" s="8" t="str">
        <f t="shared" si="75"/>
        <v>4/1/2025</v>
      </c>
      <c r="J998" s="8">
        <v>20250301</v>
      </c>
      <c r="K998" s="8" t="str">
        <f t="shared" si="76"/>
        <v>3/1/2025</v>
      </c>
      <c r="L998" s="8" t="s">
        <v>56</v>
      </c>
      <c r="M998" s="8">
        <v>25</v>
      </c>
      <c r="N998" s="8">
        <v>25</v>
      </c>
      <c r="O998" s="6" t="s">
        <v>3947</v>
      </c>
    </row>
    <row r="999" spans="1:16" ht="15" customHeight="1" x14ac:dyDescent="0.2">
      <c r="A999" s="7" t="s">
        <v>3915</v>
      </c>
      <c r="B999" s="9" t="s">
        <v>3937</v>
      </c>
      <c r="C999" s="8">
        <v>2</v>
      </c>
      <c r="D999" s="8">
        <v>921760611</v>
      </c>
      <c r="E999" s="8" t="str">
        <f t="shared" si="77"/>
        <v>92176061122</v>
      </c>
      <c r="F999" s="8" t="s">
        <v>2966</v>
      </c>
      <c r="G999" s="8">
        <v>1</v>
      </c>
      <c r="H999" s="8">
        <v>20250401</v>
      </c>
      <c r="I999" s="8" t="str">
        <f t="shared" si="75"/>
        <v>4/1/2025</v>
      </c>
      <c r="J999" s="8">
        <v>20250101</v>
      </c>
      <c r="K999" s="8" t="str">
        <f t="shared" si="76"/>
        <v>1/1/2025</v>
      </c>
      <c r="L999" s="8" t="s">
        <v>56</v>
      </c>
      <c r="M999" s="8">
        <v>25</v>
      </c>
      <c r="N999" s="8">
        <v>50</v>
      </c>
      <c r="O999" s="6" t="s">
        <v>3947</v>
      </c>
      <c r="P999" s="6" t="s">
        <v>3952</v>
      </c>
    </row>
    <row r="1000" spans="1:16" ht="15" customHeight="1" x14ac:dyDescent="0.2">
      <c r="A1000" s="7" t="s">
        <v>3915</v>
      </c>
      <c r="B1000" s="9" t="s">
        <v>3937</v>
      </c>
      <c r="C1000" s="8">
        <v>2</v>
      </c>
      <c r="D1000" s="8">
        <v>921769307</v>
      </c>
      <c r="E1000" s="8" t="str">
        <f t="shared" si="77"/>
        <v>92176930722</v>
      </c>
      <c r="F1000" s="8" t="s">
        <v>2972</v>
      </c>
      <c r="G1000" s="8">
        <v>1</v>
      </c>
      <c r="H1000" s="8">
        <v>20250301</v>
      </c>
      <c r="I1000" s="8" t="str">
        <f t="shared" si="75"/>
        <v>3/1/2025</v>
      </c>
      <c r="J1000" s="8">
        <v>20250101</v>
      </c>
      <c r="K1000" s="8" t="str">
        <f t="shared" si="76"/>
        <v>1/1/2025</v>
      </c>
      <c r="L1000" s="8" t="s">
        <v>56</v>
      </c>
      <c r="M1000" s="8">
        <v>25</v>
      </c>
      <c r="N1000" s="8">
        <v>50</v>
      </c>
      <c r="O1000" s="6" t="s">
        <v>3947</v>
      </c>
      <c r="P1000" s="6" t="s">
        <v>3952</v>
      </c>
    </row>
    <row r="1001" spans="1:16" ht="15" customHeight="1" x14ac:dyDescent="0.2">
      <c r="A1001" s="7" t="s">
        <v>3915</v>
      </c>
      <c r="B1001" s="9" t="s">
        <v>3937</v>
      </c>
      <c r="C1001" s="8">
        <v>2</v>
      </c>
      <c r="D1001" s="8">
        <v>921778830</v>
      </c>
      <c r="E1001" s="8" t="str">
        <f t="shared" si="77"/>
        <v>92177883022</v>
      </c>
      <c r="F1001" s="8" t="s">
        <v>2994</v>
      </c>
      <c r="G1001" s="8">
        <v>1</v>
      </c>
      <c r="H1001" s="8">
        <v>20250401</v>
      </c>
      <c r="I1001" s="8" t="str">
        <f t="shared" si="75"/>
        <v>4/1/2025</v>
      </c>
      <c r="J1001" s="8">
        <v>20250301</v>
      </c>
      <c r="K1001" s="8" t="str">
        <f t="shared" si="76"/>
        <v>3/1/2025</v>
      </c>
      <c r="L1001" s="8" t="s">
        <v>56</v>
      </c>
      <c r="M1001" s="8">
        <v>25</v>
      </c>
      <c r="N1001" s="8">
        <v>50</v>
      </c>
      <c r="O1001" s="6" t="s">
        <v>3947</v>
      </c>
      <c r="P1001" s="6" t="s">
        <v>3952</v>
      </c>
    </row>
    <row r="1002" spans="1:16" ht="15" customHeight="1" x14ac:dyDescent="0.2">
      <c r="A1002" s="7" t="s">
        <v>3915</v>
      </c>
      <c r="B1002" s="9" t="s">
        <v>3937</v>
      </c>
      <c r="C1002" s="8">
        <v>3</v>
      </c>
      <c r="D1002" s="8">
        <v>921779972</v>
      </c>
      <c r="E1002" s="8" t="str">
        <f t="shared" si="77"/>
        <v>92177997222</v>
      </c>
      <c r="F1002" s="8" t="s">
        <v>3002</v>
      </c>
      <c r="G1002" s="8">
        <v>1</v>
      </c>
      <c r="H1002" s="8">
        <v>20250401</v>
      </c>
      <c r="I1002" s="8" t="str">
        <f t="shared" si="75"/>
        <v>4/1/2025</v>
      </c>
      <c r="J1002" s="8">
        <v>20250301</v>
      </c>
      <c r="K1002" s="8" t="str">
        <f t="shared" si="76"/>
        <v>3/1/2025</v>
      </c>
      <c r="L1002" s="8" t="s">
        <v>56</v>
      </c>
      <c r="M1002" s="8">
        <v>25</v>
      </c>
      <c r="N1002" s="8">
        <v>75</v>
      </c>
      <c r="O1002" s="6" t="s">
        <v>3947</v>
      </c>
      <c r="P1002" s="6" t="s">
        <v>3953</v>
      </c>
    </row>
    <row r="1003" spans="1:16" ht="15" customHeight="1" x14ac:dyDescent="0.2">
      <c r="A1003" s="7" t="s">
        <v>3915</v>
      </c>
      <c r="B1003" s="9" t="s">
        <v>3937</v>
      </c>
      <c r="C1003" s="8">
        <v>5</v>
      </c>
      <c r="D1003" s="8">
        <v>921769307</v>
      </c>
      <c r="E1003" s="8" t="str">
        <f t="shared" si="77"/>
        <v>92176930722</v>
      </c>
      <c r="F1003" s="8" t="s">
        <v>2972</v>
      </c>
      <c r="G1003" s="8">
        <v>1</v>
      </c>
      <c r="H1003" s="8">
        <v>20250401</v>
      </c>
      <c r="I1003" s="8" t="str">
        <f t="shared" si="75"/>
        <v>4/1/2025</v>
      </c>
      <c r="J1003" s="8">
        <v>20250101</v>
      </c>
      <c r="K1003" s="8" t="str">
        <f t="shared" si="76"/>
        <v>1/1/2025</v>
      </c>
      <c r="L1003" s="8" t="s">
        <v>56</v>
      </c>
      <c r="M1003" s="8">
        <v>25</v>
      </c>
      <c r="N1003" s="8">
        <v>125</v>
      </c>
      <c r="O1003" s="6" t="s">
        <v>3947</v>
      </c>
      <c r="P1003" s="6" t="s">
        <v>3955</v>
      </c>
    </row>
    <row r="1004" spans="1:16" ht="15" customHeight="1" x14ac:dyDescent="0.2">
      <c r="A1004" s="7" t="s">
        <v>3915</v>
      </c>
      <c r="B1004" s="9" t="s">
        <v>3937</v>
      </c>
      <c r="D1004" s="8">
        <v>921162486</v>
      </c>
      <c r="E1004" s="8" t="str">
        <f>CONCATENATE(1,D1004)</f>
        <v>1921162486</v>
      </c>
      <c r="F1004" s="8" t="s">
        <v>2961</v>
      </c>
      <c r="G1004" s="8">
        <v>29.08</v>
      </c>
      <c r="H1004" s="8">
        <v>20250401</v>
      </c>
      <c r="I1004" s="8" t="str">
        <f t="shared" si="75"/>
        <v>4/1/2025</v>
      </c>
      <c r="J1004" s="8">
        <v>20250301</v>
      </c>
      <c r="K1004" s="8" t="str">
        <f t="shared" si="76"/>
        <v>3/1/2025</v>
      </c>
      <c r="L1004" s="8" t="s">
        <v>116</v>
      </c>
      <c r="M1004" s="8">
        <v>0.06</v>
      </c>
      <c r="N1004" s="8">
        <v>1.74</v>
      </c>
      <c r="O1004" s="6" t="s">
        <v>3938</v>
      </c>
    </row>
    <row r="1005" spans="1:16" ht="15" customHeight="1" x14ac:dyDescent="0.2">
      <c r="A1005" s="7" t="s">
        <v>3915</v>
      </c>
      <c r="B1005" s="9" t="s">
        <v>3937</v>
      </c>
      <c r="D1005" s="8">
        <v>957183756</v>
      </c>
      <c r="E1005" s="8" t="str">
        <f t="shared" ref="E1005:E1015" si="78">CONCATENATE(D1005,7)</f>
        <v>9571837567</v>
      </c>
      <c r="F1005" s="8" t="s">
        <v>3010</v>
      </c>
      <c r="G1005" s="8">
        <v>147.19</v>
      </c>
      <c r="H1005" s="8">
        <v>20250301</v>
      </c>
      <c r="I1005" s="8" t="str">
        <f t="shared" si="75"/>
        <v>3/1/2025</v>
      </c>
      <c r="J1005" s="8">
        <v>20241101</v>
      </c>
      <c r="K1005" s="8" t="str">
        <f t="shared" si="76"/>
        <v>11/1/2024</v>
      </c>
      <c r="L1005" s="8" t="s">
        <v>398</v>
      </c>
      <c r="M1005" s="8">
        <v>0.1</v>
      </c>
      <c r="N1005" s="8">
        <v>14.72</v>
      </c>
      <c r="O1005" s="6" t="s">
        <v>3942</v>
      </c>
    </row>
    <row r="1006" spans="1:16" ht="15" customHeight="1" x14ac:dyDescent="0.2">
      <c r="A1006" s="7" t="s">
        <v>3915</v>
      </c>
      <c r="B1006" s="9" t="s">
        <v>3937</v>
      </c>
      <c r="D1006" s="8">
        <v>957197523</v>
      </c>
      <c r="E1006" s="8" t="str">
        <f t="shared" si="78"/>
        <v>9571975237</v>
      </c>
      <c r="F1006" s="8" t="s">
        <v>3058</v>
      </c>
      <c r="G1006" s="8">
        <v>157.41999999999999</v>
      </c>
      <c r="H1006" s="8">
        <v>20250301</v>
      </c>
      <c r="I1006" s="8" t="str">
        <f t="shared" si="75"/>
        <v>3/1/2025</v>
      </c>
      <c r="J1006" s="8">
        <v>20250101</v>
      </c>
      <c r="K1006" s="8" t="str">
        <f t="shared" si="76"/>
        <v>1/1/2025</v>
      </c>
      <c r="L1006" s="8" t="s">
        <v>398</v>
      </c>
      <c r="M1006" s="8">
        <v>0.1</v>
      </c>
      <c r="N1006" s="8">
        <v>15.74</v>
      </c>
      <c r="O1006" s="6" t="s">
        <v>3942</v>
      </c>
    </row>
    <row r="1007" spans="1:16" ht="15" customHeight="1" x14ac:dyDescent="0.2">
      <c r="A1007" s="7" t="s">
        <v>3915</v>
      </c>
      <c r="B1007" s="9" t="s">
        <v>3937</v>
      </c>
      <c r="D1007" s="8">
        <v>957184688</v>
      </c>
      <c r="E1007" s="8" t="str">
        <f t="shared" si="78"/>
        <v>9571846887</v>
      </c>
      <c r="F1007" s="8" t="s">
        <v>3014</v>
      </c>
      <c r="G1007" s="8">
        <v>159.58000000000001</v>
      </c>
      <c r="H1007" s="8">
        <v>20250301</v>
      </c>
      <c r="I1007" s="8" t="str">
        <f t="shared" si="75"/>
        <v>3/1/2025</v>
      </c>
      <c r="J1007" s="8">
        <v>20241001</v>
      </c>
      <c r="K1007" s="8" t="str">
        <f t="shared" si="76"/>
        <v>10/1/2024</v>
      </c>
      <c r="L1007" s="8" t="s">
        <v>398</v>
      </c>
      <c r="M1007" s="8">
        <v>0.1</v>
      </c>
      <c r="N1007" s="8">
        <v>15.96</v>
      </c>
      <c r="O1007" s="6" t="s">
        <v>3942</v>
      </c>
    </row>
    <row r="1008" spans="1:16" ht="15" customHeight="1" x14ac:dyDescent="0.2">
      <c r="A1008" s="7" t="s">
        <v>3915</v>
      </c>
      <c r="B1008" s="9" t="s">
        <v>3937</v>
      </c>
      <c r="D1008" s="8">
        <v>957182456</v>
      </c>
      <c r="E1008" s="8" t="str">
        <f t="shared" si="78"/>
        <v>9571824567</v>
      </c>
      <c r="F1008" s="8" t="s">
        <v>3008</v>
      </c>
      <c r="G1008" s="8">
        <v>170.27</v>
      </c>
      <c r="H1008" s="8">
        <v>20250301</v>
      </c>
      <c r="I1008" s="8" t="str">
        <f t="shared" si="75"/>
        <v>3/1/2025</v>
      </c>
      <c r="J1008" s="8">
        <v>20240901</v>
      </c>
      <c r="K1008" s="8" t="str">
        <f t="shared" si="76"/>
        <v>9/1/2024</v>
      </c>
      <c r="L1008" s="8" t="s">
        <v>398</v>
      </c>
      <c r="M1008" s="8">
        <v>0.1</v>
      </c>
      <c r="N1008" s="8">
        <v>17.03</v>
      </c>
      <c r="O1008" s="6" t="s">
        <v>3942</v>
      </c>
    </row>
    <row r="1009" spans="1:37" ht="15" customHeight="1" x14ac:dyDescent="0.2">
      <c r="A1009" s="7" t="s">
        <v>3915</v>
      </c>
      <c r="B1009" s="9" t="s">
        <v>3937</v>
      </c>
      <c r="D1009" s="8">
        <v>957186406</v>
      </c>
      <c r="E1009" s="8" t="str">
        <f t="shared" si="78"/>
        <v>9571864067</v>
      </c>
      <c r="F1009" s="8" t="s">
        <v>3022</v>
      </c>
      <c r="G1009" s="8">
        <v>177.31</v>
      </c>
      <c r="H1009" s="8">
        <v>20250301</v>
      </c>
      <c r="I1009" s="8" t="str">
        <f t="shared" si="75"/>
        <v>3/1/2025</v>
      </c>
      <c r="J1009" s="8">
        <v>20250101</v>
      </c>
      <c r="K1009" s="8" t="str">
        <f t="shared" si="76"/>
        <v>1/1/2025</v>
      </c>
      <c r="L1009" s="8" t="s">
        <v>398</v>
      </c>
      <c r="M1009" s="8">
        <v>0.1</v>
      </c>
      <c r="N1009" s="8">
        <v>17.73</v>
      </c>
      <c r="O1009" s="6" t="s">
        <v>3942</v>
      </c>
    </row>
    <row r="1010" spans="1:37" ht="15" customHeight="1" x14ac:dyDescent="0.2">
      <c r="A1010" s="7" t="s">
        <v>3915</v>
      </c>
      <c r="B1010" s="9" t="s">
        <v>3937</v>
      </c>
      <c r="D1010" s="8">
        <v>957186775</v>
      </c>
      <c r="E1010" s="8" t="str">
        <f t="shared" si="78"/>
        <v>9571867757</v>
      </c>
      <c r="F1010" s="8" t="s">
        <v>3026</v>
      </c>
      <c r="G1010" s="8">
        <v>177.31</v>
      </c>
      <c r="H1010" s="8">
        <v>20250301</v>
      </c>
      <c r="I1010" s="8" t="str">
        <f t="shared" si="75"/>
        <v>3/1/2025</v>
      </c>
      <c r="J1010" s="8">
        <v>20250101</v>
      </c>
      <c r="K1010" s="8" t="str">
        <f t="shared" si="76"/>
        <v>1/1/2025</v>
      </c>
      <c r="L1010" s="8" t="s">
        <v>398</v>
      </c>
      <c r="M1010" s="8">
        <v>0.1</v>
      </c>
      <c r="N1010" s="8">
        <v>17.73</v>
      </c>
      <c r="O1010" s="6" t="s">
        <v>3942</v>
      </c>
    </row>
    <row r="1011" spans="1:37" ht="15" customHeight="1" x14ac:dyDescent="0.2">
      <c r="A1011" s="7" t="s">
        <v>3915</v>
      </c>
      <c r="B1011" s="9" t="s">
        <v>3937</v>
      </c>
      <c r="D1011" s="8">
        <v>957199091</v>
      </c>
      <c r="E1011" s="8" t="str">
        <f t="shared" si="78"/>
        <v>9571990917</v>
      </c>
      <c r="F1011" s="8" t="s">
        <v>3062</v>
      </c>
      <c r="G1011" s="8">
        <v>208.62</v>
      </c>
      <c r="H1011" s="8">
        <v>20250301</v>
      </c>
      <c r="I1011" s="8" t="str">
        <f t="shared" si="75"/>
        <v>3/1/2025</v>
      </c>
      <c r="J1011" s="8">
        <v>20250101</v>
      </c>
      <c r="K1011" s="8" t="str">
        <f t="shared" si="76"/>
        <v>1/1/2025</v>
      </c>
      <c r="L1011" s="8" t="s">
        <v>398</v>
      </c>
      <c r="M1011" s="8">
        <v>0.1</v>
      </c>
      <c r="N1011" s="8">
        <v>20.86</v>
      </c>
      <c r="O1011" s="6" t="s">
        <v>3942</v>
      </c>
    </row>
    <row r="1012" spans="1:37" ht="15" customHeight="1" x14ac:dyDescent="0.2">
      <c r="A1012" s="7" t="s">
        <v>3915</v>
      </c>
      <c r="B1012" s="9" t="s">
        <v>3937</v>
      </c>
      <c r="D1012" s="8">
        <v>957185301</v>
      </c>
      <c r="E1012" s="8" t="str">
        <f t="shared" si="78"/>
        <v>9571853017</v>
      </c>
      <c r="F1012" s="8" t="s">
        <v>3018</v>
      </c>
      <c r="G1012" s="8">
        <v>223.86</v>
      </c>
      <c r="H1012" s="8">
        <v>20250326</v>
      </c>
      <c r="I1012" s="8" t="str">
        <f t="shared" si="75"/>
        <v>3/26/2025</v>
      </c>
      <c r="J1012" s="8">
        <v>20240926</v>
      </c>
      <c r="K1012" s="8" t="str">
        <f t="shared" si="76"/>
        <v>9/26/2024</v>
      </c>
      <c r="L1012" s="8" t="s">
        <v>398</v>
      </c>
      <c r="M1012" s="8">
        <v>0.1</v>
      </c>
      <c r="N1012" s="8">
        <v>22.39</v>
      </c>
      <c r="O1012" s="6" t="s">
        <v>3942</v>
      </c>
    </row>
    <row r="1013" spans="1:37" ht="15" customHeight="1" x14ac:dyDescent="0.2">
      <c r="A1013" s="7" t="s">
        <v>3915</v>
      </c>
      <c r="B1013" s="9" t="s">
        <v>3937</v>
      </c>
      <c r="D1013" s="8">
        <v>957196432</v>
      </c>
      <c r="E1013" s="8" t="str">
        <f t="shared" si="78"/>
        <v>9571964327</v>
      </c>
      <c r="F1013" s="8" t="s">
        <v>3050</v>
      </c>
      <c r="G1013" s="8">
        <v>232.64</v>
      </c>
      <c r="H1013" s="8">
        <v>20250301</v>
      </c>
      <c r="I1013" s="8" t="str">
        <f t="shared" si="75"/>
        <v>3/1/2025</v>
      </c>
      <c r="J1013" s="8">
        <v>20250101</v>
      </c>
      <c r="K1013" s="8" t="str">
        <f t="shared" si="76"/>
        <v>1/1/2025</v>
      </c>
      <c r="L1013" s="8" t="s">
        <v>398</v>
      </c>
      <c r="M1013" s="8">
        <v>0.1</v>
      </c>
      <c r="N1013" s="8">
        <v>23.26</v>
      </c>
      <c r="O1013" s="6" t="s">
        <v>3942</v>
      </c>
    </row>
    <row r="1014" spans="1:37" ht="15" customHeight="1" x14ac:dyDescent="0.2">
      <c r="A1014" s="7" t="s">
        <v>3915</v>
      </c>
      <c r="B1014" s="9" t="s">
        <v>3937</v>
      </c>
      <c r="D1014" s="8">
        <v>957191665</v>
      </c>
      <c r="E1014" s="8" t="str">
        <f t="shared" si="78"/>
        <v>9571916657</v>
      </c>
      <c r="F1014" s="8" t="s">
        <v>3038</v>
      </c>
      <c r="G1014" s="8">
        <v>258.02</v>
      </c>
      <c r="H1014" s="8">
        <v>20250301</v>
      </c>
      <c r="I1014" s="8" t="str">
        <f t="shared" si="75"/>
        <v>3/1/2025</v>
      </c>
      <c r="J1014" s="8">
        <v>20250101</v>
      </c>
      <c r="K1014" s="8" t="str">
        <f t="shared" si="76"/>
        <v>1/1/2025</v>
      </c>
      <c r="L1014" s="8" t="s">
        <v>398</v>
      </c>
      <c r="M1014" s="8">
        <v>0.1</v>
      </c>
      <c r="N1014" s="8">
        <v>25.8</v>
      </c>
      <c r="O1014" s="6" t="s">
        <v>3942</v>
      </c>
    </row>
    <row r="1015" spans="1:37" ht="15" customHeight="1" x14ac:dyDescent="0.2">
      <c r="A1015" s="7" t="s">
        <v>3915</v>
      </c>
      <c r="B1015" s="9" t="s">
        <v>3937</v>
      </c>
      <c r="D1015" s="8">
        <v>957187801</v>
      </c>
      <c r="E1015" s="8" t="str">
        <f t="shared" si="78"/>
        <v>9571878017</v>
      </c>
      <c r="F1015" s="8" t="s">
        <v>3028</v>
      </c>
      <c r="G1015" s="8">
        <v>277.44</v>
      </c>
      <c r="H1015" s="8">
        <v>20250319</v>
      </c>
      <c r="I1015" s="8" t="str">
        <f t="shared" si="75"/>
        <v>3/19/2025</v>
      </c>
      <c r="J1015" s="8">
        <v>20241019</v>
      </c>
      <c r="K1015" s="8" t="str">
        <f t="shared" si="76"/>
        <v>10/19/2024</v>
      </c>
      <c r="L1015" s="8" t="s">
        <v>398</v>
      </c>
      <c r="M1015" s="8">
        <v>0.1</v>
      </c>
      <c r="N1015" s="8">
        <v>27.74</v>
      </c>
      <c r="O1015" s="6" t="s">
        <v>3942</v>
      </c>
    </row>
    <row r="1016" spans="1:37" ht="15" customHeight="1" x14ac:dyDescent="0.2">
      <c r="A1016" s="7" t="s">
        <v>3915</v>
      </c>
      <c r="B1016" s="9" t="s">
        <v>3937</v>
      </c>
      <c r="D1016" s="8">
        <v>957193999</v>
      </c>
      <c r="E1016" s="8" t="str">
        <f>CONCATENATE(D1016,8)</f>
        <v>9571939998</v>
      </c>
      <c r="F1016" s="8" t="s">
        <v>3046</v>
      </c>
      <c r="G1016" s="8">
        <v>268.64</v>
      </c>
      <c r="H1016" s="8">
        <v>20250401</v>
      </c>
      <c r="I1016" s="8" t="str">
        <f t="shared" si="75"/>
        <v>4/1/2025</v>
      </c>
      <c r="J1016" s="8">
        <v>20250101</v>
      </c>
      <c r="K1016" s="8" t="str">
        <f t="shared" si="76"/>
        <v>1/1/2025</v>
      </c>
      <c r="L1016" s="8" t="s">
        <v>924</v>
      </c>
      <c r="M1016" s="8">
        <v>0.05</v>
      </c>
      <c r="N1016" s="8">
        <v>13.43</v>
      </c>
      <c r="O1016" s="6" t="s">
        <v>3939</v>
      </c>
    </row>
    <row r="1017" spans="1:37" ht="15" customHeight="1" x14ac:dyDescent="0.2">
      <c r="A1017" s="7" t="s">
        <v>3915</v>
      </c>
      <c r="B1017" s="9" t="s">
        <v>3937</v>
      </c>
      <c r="D1017" s="8">
        <v>957192877</v>
      </c>
      <c r="E1017" s="8" t="str">
        <f>CONCATENATE(D1017,8)</f>
        <v>9571928778</v>
      </c>
      <c r="F1017" s="8" t="s">
        <v>3042</v>
      </c>
      <c r="G1017" s="8">
        <v>296.16000000000003</v>
      </c>
      <c r="H1017" s="8">
        <v>20250301</v>
      </c>
      <c r="I1017" s="8" t="str">
        <f t="shared" si="75"/>
        <v>3/1/2025</v>
      </c>
      <c r="J1017" s="8">
        <v>20250101</v>
      </c>
      <c r="K1017" s="8" t="str">
        <f t="shared" si="76"/>
        <v>1/1/2025</v>
      </c>
      <c r="L1017" s="8" t="s">
        <v>924</v>
      </c>
      <c r="M1017" s="8">
        <v>0.05</v>
      </c>
      <c r="N1017" s="8">
        <v>14.81</v>
      </c>
      <c r="O1017" s="6" t="s">
        <v>3939</v>
      </c>
    </row>
    <row r="1018" spans="1:37" ht="15" customHeight="1" x14ac:dyDescent="0.2">
      <c r="A1018" s="7" t="s">
        <v>3915</v>
      </c>
      <c r="B1018" s="9" t="s">
        <v>3937</v>
      </c>
      <c r="D1018" s="8">
        <v>957197466</v>
      </c>
      <c r="E1018" s="8" t="str">
        <f>CONCATENATE(D1018,8)</f>
        <v>9571974668</v>
      </c>
      <c r="F1018" s="8" t="s">
        <v>3054</v>
      </c>
      <c r="G1018" s="8">
        <v>331.74</v>
      </c>
      <c r="H1018" s="8">
        <v>20250401</v>
      </c>
      <c r="I1018" s="8" t="str">
        <f t="shared" si="75"/>
        <v>4/1/2025</v>
      </c>
      <c r="J1018" s="8">
        <v>20250101</v>
      </c>
      <c r="K1018" s="8" t="str">
        <f t="shared" si="76"/>
        <v>1/1/2025</v>
      </c>
      <c r="L1018" s="8" t="s">
        <v>924</v>
      </c>
      <c r="M1018" s="8">
        <v>0.05</v>
      </c>
      <c r="N1018" s="8">
        <v>16.59</v>
      </c>
      <c r="O1018" s="6" t="s">
        <v>3939</v>
      </c>
    </row>
    <row r="1019" spans="1:37" ht="15" customHeight="1" x14ac:dyDescent="0.2">
      <c r="A1019" s="7" t="s">
        <v>3915</v>
      </c>
      <c r="B1019" s="9" t="s">
        <v>3937</v>
      </c>
      <c r="D1019" s="8">
        <v>957178893</v>
      </c>
      <c r="E1019" s="8" t="str">
        <f>CONCATENATE(D1019,9)</f>
        <v>9571788939</v>
      </c>
      <c r="F1019" s="8" t="s">
        <v>3004</v>
      </c>
      <c r="G1019" s="8">
        <v>115.64</v>
      </c>
      <c r="H1019" s="8">
        <v>20250301</v>
      </c>
      <c r="I1019" s="8" t="str">
        <f t="shared" si="75"/>
        <v>3/1/2025</v>
      </c>
      <c r="J1019" s="8">
        <v>20240701</v>
      </c>
      <c r="K1019" s="8" t="str">
        <f t="shared" si="76"/>
        <v>7/1/2024</v>
      </c>
      <c r="L1019" s="8" t="s">
        <v>980</v>
      </c>
      <c r="M1019" s="8">
        <v>0.18</v>
      </c>
      <c r="N1019" s="8">
        <v>20.82</v>
      </c>
      <c r="O1019" s="6" t="s">
        <v>3944</v>
      </c>
    </row>
    <row r="1020" spans="1:37" ht="15" customHeight="1" x14ac:dyDescent="0.2">
      <c r="A1020" s="7" t="s">
        <v>3915</v>
      </c>
      <c r="B1020" s="9" t="s">
        <v>3937</v>
      </c>
      <c r="D1020" s="8">
        <v>957181213</v>
      </c>
      <c r="E1020" s="8" t="str">
        <f>CONCATENATE(D1020,9)</f>
        <v>9571812139</v>
      </c>
      <c r="F1020" s="8" t="s">
        <v>3006</v>
      </c>
      <c r="G1020" s="8">
        <v>115.64</v>
      </c>
      <c r="H1020" s="8">
        <v>20250301</v>
      </c>
      <c r="I1020" s="8" t="str">
        <f t="shared" si="75"/>
        <v>3/1/2025</v>
      </c>
      <c r="J1020" s="8">
        <v>20240901</v>
      </c>
      <c r="K1020" s="8" t="str">
        <f t="shared" si="76"/>
        <v>9/1/2024</v>
      </c>
      <c r="L1020" s="8" t="s">
        <v>980</v>
      </c>
      <c r="M1020" s="8">
        <v>0.18</v>
      </c>
      <c r="N1020" s="8">
        <v>20.82</v>
      </c>
      <c r="O1020" s="6" t="s">
        <v>3944</v>
      </c>
    </row>
    <row r="1021" spans="1:37" ht="15" customHeight="1" x14ac:dyDescent="0.2">
      <c r="A1021" s="7" t="s">
        <v>3915</v>
      </c>
      <c r="B1021" s="9" t="s">
        <v>3937</v>
      </c>
      <c r="D1021" s="8">
        <v>957188465</v>
      </c>
      <c r="E1021" s="8" t="str">
        <f>CONCATENATE(D1021,9)</f>
        <v>9571884659</v>
      </c>
      <c r="F1021" s="8" t="s">
        <v>3034</v>
      </c>
      <c r="G1021" s="8">
        <v>127.19</v>
      </c>
      <c r="H1021" s="8">
        <v>20250301</v>
      </c>
      <c r="I1021" s="8" t="str">
        <f t="shared" si="75"/>
        <v>3/1/2025</v>
      </c>
      <c r="J1021" s="8">
        <v>20250101</v>
      </c>
      <c r="K1021" s="8" t="str">
        <f t="shared" si="76"/>
        <v>1/1/2025</v>
      </c>
      <c r="L1021" s="8" t="s">
        <v>980</v>
      </c>
      <c r="M1021" s="8">
        <v>0.18</v>
      </c>
      <c r="N1021" s="8">
        <v>22.89</v>
      </c>
      <c r="O1021" s="6" t="s">
        <v>3944</v>
      </c>
    </row>
    <row r="1022" spans="1:37" ht="15" customHeight="1" x14ac:dyDescent="0.2">
      <c r="A1022" s="7" t="s">
        <v>3894</v>
      </c>
      <c r="B1022" s="7">
        <v>19206583</v>
      </c>
      <c r="C1022" s="8">
        <v>1</v>
      </c>
      <c r="D1022" s="8">
        <v>921611719</v>
      </c>
      <c r="E1022" s="8" t="str">
        <f t="shared" ref="E1022:E1053" si="79">CONCATENATE(D1022,33)</f>
        <v>92161171933</v>
      </c>
      <c r="F1022" s="8" t="s">
        <v>635</v>
      </c>
      <c r="G1022" s="8">
        <v>1</v>
      </c>
      <c r="H1022" s="8">
        <v>20250401</v>
      </c>
      <c r="I1022" s="8" t="str">
        <f t="shared" si="75"/>
        <v>4/1/2025</v>
      </c>
      <c r="J1022" s="8">
        <v>20220301</v>
      </c>
      <c r="K1022" s="8" t="str">
        <f t="shared" si="76"/>
        <v>3/1/2022</v>
      </c>
      <c r="L1022" s="8" t="s">
        <v>198</v>
      </c>
      <c r="M1022" s="8">
        <v>15</v>
      </c>
      <c r="N1022" s="8">
        <v>15</v>
      </c>
      <c r="O1022" s="6" t="s">
        <v>3950</v>
      </c>
    </row>
    <row r="1023" spans="1:37" ht="15" customHeight="1" x14ac:dyDescent="0.2">
      <c r="A1023" s="7" t="s">
        <v>3911</v>
      </c>
      <c r="B1023" s="7">
        <v>20220688</v>
      </c>
      <c r="C1023" s="8">
        <v>1</v>
      </c>
      <c r="D1023" s="8">
        <v>921686738</v>
      </c>
      <c r="E1023" s="8" t="str">
        <f t="shared" si="79"/>
        <v>92168673833</v>
      </c>
      <c r="F1023" s="8" t="s">
        <v>2733</v>
      </c>
      <c r="G1023" s="8">
        <v>1</v>
      </c>
      <c r="H1023" s="8">
        <v>20250401</v>
      </c>
      <c r="I1023" s="8" t="str">
        <f t="shared" si="75"/>
        <v>4/1/2025</v>
      </c>
      <c r="J1023" s="8">
        <v>20240101</v>
      </c>
      <c r="K1023" s="8" t="str">
        <f t="shared" si="76"/>
        <v>1/1/2024</v>
      </c>
      <c r="L1023" s="8" t="s">
        <v>198</v>
      </c>
      <c r="M1023" s="8">
        <v>15</v>
      </c>
      <c r="N1023" s="8">
        <v>15</v>
      </c>
      <c r="O1023" s="6" t="s">
        <v>3950</v>
      </c>
      <c r="AK1023" s="12"/>
    </row>
    <row r="1024" spans="1:37" ht="15" customHeight="1" x14ac:dyDescent="0.2">
      <c r="A1024" s="7" t="s">
        <v>3911</v>
      </c>
      <c r="B1024" s="7">
        <v>20220688</v>
      </c>
      <c r="C1024" s="8">
        <v>1</v>
      </c>
      <c r="D1024" s="8">
        <v>921700565</v>
      </c>
      <c r="E1024" s="8" t="str">
        <f t="shared" si="79"/>
        <v>92170056533</v>
      </c>
      <c r="F1024" s="8" t="s">
        <v>2739</v>
      </c>
      <c r="G1024" s="8">
        <v>1</v>
      </c>
      <c r="H1024" s="8">
        <v>20250401</v>
      </c>
      <c r="I1024" s="8" t="str">
        <f t="shared" si="75"/>
        <v>4/1/2025</v>
      </c>
      <c r="J1024" s="8">
        <v>20240201</v>
      </c>
      <c r="K1024" s="8" t="str">
        <f t="shared" si="76"/>
        <v>2/1/2024</v>
      </c>
      <c r="L1024" s="8" t="s">
        <v>198</v>
      </c>
      <c r="M1024" s="8">
        <v>15</v>
      </c>
      <c r="N1024" s="8">
        <v>15</v>
      </c>
      <c r="O1024" s="6" t="s">
        <v>3950</v>
      </c>
      <c r="AK1024" s="12"/>
    </row>
    <row r="1025" spans="1:16" ht="15" customHeight="1" x14ac:dyDescent="0.2">
      <c r="A1025" s="7" t="s">
        <v>3911</v>
      </c>
      <c r="B1025" s="7">
        <v>20220688</v>
      </c>
      <c r="C1025" s="8">
        <v>2</v>
      </c>
      <c r="D1025" s="8">
        <v>921698942</v>
      </c>
      <c r="E1025" s="8" t="str">
        <f t="shared" si="79"/>
        <v>92169894233</v>
      </c>
      <c r="F1025" s="8" t="s">
        <v>2737</v>
      </c>
      <c r="G1025" s="8">
        <v>1</v>
      </c>
      <c r="H1025" s="8">
        <v>20250401</v>
      </c>
      <c r="I1025" s="8" t="str">
        <f t="shared" si="75"/>
        <v>4/1/2025</v>
      </c>
      <c r="J1025" s="8">
        <v>20240101</v>
      </c>
      <c r="K1025" s="8" t="str">
        <f t="shared" si="76"/>
        <v>1/1/2024</v>
      </c>
      <c r="L1025" s="8" t="s">
        <v>198</v>
      </c>
      <c r="M1025" s="8">
        <v>15</v>
      </c>
      <c r="N1025" s="8">
        <v>30</v>
      </c>
      <c r="O1025" s="6" t="s">
        <v>3950</v>
      </c>
      <c r="P1025" s="6" t="s">
        <v>3952</v>
      </c>
    </row>
    <row r="1026" spans="1:16" ht="15" customHeight="1" x14ac:dyDescent="0.2">
      <c r="A1026" s="7" t="s">
        <v>3911</v>
      </c>
      <c r="B1026" s="7">
        <v>20220688</v>
      </c>
      <c r="C1026" s="8">
        <v>2</v>
      </c>
      <c r="D1026" s="8">
        <v>921702794</v>
      </c>
      <c r="E1026" s="8" t="str">
        <f t="shared" si="79"/>
        <v>92170279433</v>
      </c>
      <c r="F1026" s="8" t="s">
        <v>2741</v>
      </c>
      <c r="G1026" s="8">
        <v>1</v>
      </c>
      <c r="H1026" s="8">
        <v>20250401</v>
      </c>
      <c r="I1026" s="8" t="str">
        <f t="shared" si="75"/>
        <v>4/1/2025</v>
      </c>
      <c r="J1026" s="8">
        <v>20240201</v>
      </c>
      <c r="K1026" s="8" t="str">
        <f t="shared" si="76"/>
        <v>2/1/2024</v>
      </c>
      <c r="L1026" s="8" t="s">
        <v>198</v>
      </c>
      <c r="M1026" s="8">
        <v>15</v>
      </c>
      <c r="N1026" s="8">
        <v>30</v>
      </c>
      <c r="O1026" s="6" t="s">
        <v>3950</v>
      </c>
      <c r="P1026" s="6" t="s">
        <v>3952</v>
      </c>
    </row>
    <row r="1027" spans="1:16" ht="15" customHeight="1" x14ac:dyDescent="0.2">
      <c r="A1027" s="7" t="s">
        <v>3911</v>
      </c>
      <c r="B1027" s="7">
        <v>20220688</v>
      </c>
      <c r="C1027" s="8">
        <v>1</v>
      </c>
      <c r="D1027" s="8">
        <v>920829671</v>
      </c>
      <c r="E1027" s="8" t="str">
        <f t="shared" si="79"/>
        <v>92082967133</v>
      </c>
      <c r="F1027" s="8" t="s">
        <v>2718</v>
      </c>
      <c r="G1027" s="8">
        <v>1</v>
      </c>
      <c r="H1027" s="8">
        <v>20250401</v>
      </c>
      <c r="I1027" s="8" t="str">
        <f t="shared" ref="I1027:I1090" si="80">TEXT(DATE(LEFT(H1027,4), MID(H1027,5,2), RIGHT(H1027,2)), "M/d/yyyy")</f>
        <v>4/1/2025</v>
      </c>
      <c r="J1027" s="8">
        <v>20250101</v>
      </c>
      <c r="K1027" s="8" t="str">
        <f t="shared" ref="K1027:K1090" si="81">TEXT(DATE(LEFT(J1027,4), MID(J1027,5,2), RIGHT(J1027,2)), "M/d/yyyy")</f>
        <v>1/1/2025</v>
      </c>
      <c r="L1027" s="8" t="s">
        <v>198</v>
      </c>
      <c r="M1027" s="8">
        <v>20</v>
      </c>
      <c r="N1027" s="8">
        <v>20</v>
      </c>
      <c r="O1027" s="6" t="s">
        <v>3950</v>
      </c>
    </row>
    <row r="1028" spans="1:16" ht="15" customHeight="1" x14ac:dyDescent="0.2">
      <c r="A1028" s="7" t="s">
        <v>3911</v>
      </c>
      <c r="B1028" s="7">
        <v>20220688</v>
      </c>
      <c r="C1028" s="8">
        <v>1</v>
      </c>
      <c r="D1028" s="8">
        <v>921610346</v>
      </c>
      <c r="E1028" s="8" t="str">
        <f t="shared" si="79"/>
        <v>92161034633</v>
      </c>
      <c r="F1028" s="8" t="s">
        <v>2721</v>
      </c>
      <c r="G1028" s="8">
        <v>1</v>
      </c>
      <c r="H1028" s="8">
        <v>20250401</v>
      </c>
      <c r="I1028" s="8" t="str">
        <f t="shared" si="80"/>
        <v>4/1/2025</v>
      </c>
      <c r="J1028" s="8">
        <v>20250101</v>
      </c>
      <c r="K1028" s="8" t="str">
        <f t="shared" si="81"/>
        <v>1/1/2025</v>
      </c>
      <c r="L1028" s="8" t="s">
        <v>198</v>
      </c>
      <c r="M1028" s="8">
        <v>20</v>
      </c>
      <c r="N1028" s="8">
        <v>20</v>
      </c>
      <c r="O1028" s="6" t="s">
        <v>3950</v>
      </c>
    </row>
    <row r="1029" spans="1:16" ht="15" customHeight="1" x14ac:dyDescent="0.2">
      <c r="A1029" s="7" t="s">
        <v>3911</v>
      </c>
      <c r="B1029" s="7">
        <v>20220688</v>
      </c>
      <c r="C1029" s="8">
        <v>1</v>
      </c>
      <c r="D1029" s="8">
        <v>921641771</v>
      </c>
      <c r="E1029" s="8" t="str">
        <f t="shared" si="79"/>
        <v>92164177133</v>
      </c>
      <c r="F1029" s="8" t="s">
        <v>2723</v>
      </c>
      <c r="G1029" s="8">
        <v>1</v>
      </c>
      <c r="H1029" s="8">
        <v>20250401</v>
      </c>
      <c r="I1029" s="8" t="str">
        <f t="shared" si="80"/>
        <v>4/1/2025</v>
      </c>
      <c r="J1029" s="8">
        <v>20250101</v>
      </c>
      <c r="K1029" s="8" t="str">
        <f t="shared" si="81"/>
        <v>1/1/2025</v>
      </c>
      <c r="L1029" s="8" t="s">
        <v>198</v>
      </c>
      <c r="M1029" s="8">
        <v>20</v>
      </c>
      <c r="N1029" s="8">
        <v>20</v>
      </c>
      <c r="O1029" s="6" t="s">
        <v>3950</v>
      </c>
    </row>
    <row r="1030" spans="1:16" ht="15" customHeight="1" x14ac:dyDescent="0.2">
      <c r="A1030" s="7" t="s">
        <v>3911</v>
      </c>
      <c r="B1030" s="7">
        <v>20220688</v>
      </c>
      <c r="C1030" s="8">
        <v>1</v>
      </c>
      <c r="D1030" s="8">
        <v>921653564</v>
      </c>
      <c r="E1030" s="8" t="str">
        <f t="shared" si="79"/>
        <v>92165356433</v>
      </c>
      <c r="F1030" s="8" t="s">
        <v>2725</v>
      </c>
      <c r="G1030" s="8">
        <v>1</v>
      </c>
      <c r="H1030" s="8">
        <v>20250401</v>
      </c>
      <c r="I1030" s="8" t="str">
        <f t="shared" si="80"/>
        <v>4/1/2025</v>
      </c>
      <c r="J1030" s="8">
        <v>20250101</v>
      </c>
      <c r="K1030" s="8" t="str">
        <f t="shared" si="81"/>
        <v>1/1/2025</v>
      </c>
      <c r="L1030" s="8" t="s">
        <v>198</v>
      </c>
      <c r="M1030" s="8">
        <v>20</v>
      </c>
      <c r="N1030" s="8">
        <v>20</v>
      </c>
      <c r="O1030" s="6" t="s">
        <v>3950</v>
      </c>
    </row>
    <row r="1031" spans="1:16" ht="15" customHeight="1" x14ac:dyDescent="0.2">
      <c r="A1031" s="7" t="s">
        <v>3911</v>
      </c>
      <c r="B1031" s="7">
        <v>20220688</v>
      </c>
      <c r="C1031" s="8">
        <v>1</v>
      </c>
      <c r="D1031" s="8">
        <v>921657856</v>
      </c>
      <c r="E1031" s="8" t="str">
        <f t="shared" si="79"/>
        <v>92165785633</v>
      </c>
      <c r="F1031" s="8" t="s">
        <v>2727</v>
      </c>
      <c r="G1031" s="8">
        <v>1</v>
      </c>
      <c r="H1031" s="8">
        <v>20250401</v>
      </c>
      <c r="I1031" s="8" t="str">
        <f t="shared" si="80"/>
        <v>4/1/2025</v>
      </c>
      <c r="J1031" s="8">
        <v>20250101</v>
      </c>
      <c r="K1031" s="8" t="str">
        <f t="shared" si="81"/>
        <v>1/1/2025</v>
      </c>
      <c r="L1031" s="8" t="s">
        <v>198</v>
      </c>
      <c r="M1031" s="8">
        <v>20</v>
      </c>
      <c r="N1031" s="8">
        <v>20</v>
      </c>
      <c r="O1031" s="6" t="s">
        <v>3950</v>
      </c>
    </row>
    <row r="1032" spans="1:16" ht="15" customHeight="1" x14ac:dyDescent="0.2">
      <c r="A1032" s="7" t="s">
        <v>3911</v>
      </c>
      <c r="B1032" s="7">
        <v>20220688</v>
      </c>
      <c r="C1032" s="8">
        <v>1</v>
      </c>
      <c r="D1032" s="8">
        <v>921678765</v>
      </c>
      <c r="E1032" s="8" t="str">
        <f t="shared" si="79"/>
        <v>92167876533</v>
      </c>
      <c r="F1032" s="8" t="s">
        <v>2731</v>
      </c>
      <c r="G1032" s="8">
        <v>1</v>
      </c>
      <c r="H1032" s="8">
        <v>20250401</v>
      </c>
      <c r="I1032" s="8" t="str">
        <f t="shared" si="80"/>
        <v>4/1/2025</v>
      </c>
      <c r="J1032" s="8">
        <v>20250201</v>
      </c>
      <c r="K1032" s="8" t="str">
        <f t="shared" si="81"/>
        <v>2/1/2025</v>
      </c>
      <c r="L1032" s="8" t="s">
        <v>198</v>
      </c>
      <c r="M1032" s="8">
        <v>20</v>
      </c>
      <c r="N1032" s="8">
        <v>20</v>
      </c>
      <c r="O1032" s="6" t="s">
        <v>3950</v>
      </c>
    </row>
    <row r="1033" spans="1:16" ht="15" customHeight="1" x14ac:dyDescent="0.2">
      <c r="A1033" s="7" t="s">
        <v>3911</v>
      </c>
      <c r="B1033" s="7">
        <v>20220688</v>
      </c>
      <c r="C1033" s="8">
        <v>1</v>
      </c>
      <c r="D1033" s="8">
        <v>921722560</v>
      </c>
      <c r="E1033" s="8" t="str">
        <f t="shared" si="79"/>
        <v>92172256033</v>
      </c>
      <c r="F1033" s="8" t="s">
        <v>2747</v>
      </c>
      <c r="G1033" s="8">
        <v>1</v>
      </c>
      <c r="H1033" s="8">
        <v>20250401</v>
      </c>
      <c r="I1033" s="8" t="str">
        <f t="shared" si="80"/>
        <v>4/1/2025</v>
      </c>
      <c r="J1033" s="8">
        <v>20240501</v>
      </c>
      <c r="K1033" s="8" t="str">
        <f t="shared" si="81"/>
        <v>5/1/2024</v>
      </c>
      <c r="L1033" s="8" t="s">
        <v>198</v>
      </c>
      <c r="M1033" s="8">
        <v>20</v>
      </c>
      <c r="N1033" s="8">
        <v>20</v>
      </c>
      <c r="O1033" s="6" t="s">
        <v>3950</v>
      </c>
    </row>
    <row r="1034" spans="1:16" ht="15" customHeight="1" x14ac:dyDescent="0.2">
      <c r="A1034" s="7" t="s">
        <v>3911</v>
      </c>
      <c r="B1034" s="7">
        <v>20220688</v>
      </c>
      <c r="C1034" s="8">
        <v>1</v>
      </c>
      <c r="D1034" s="8">
        <v>921736153</v>
      </c>
      <c r="E1034" s="8" t="str">
        <f t="shared" si="79"/>
        <v>92173615333</v>
      </c>
      <c r="F1034" s="8" t="s">
        <v>2755</v>
      </c>
      <c r="G1034" s="8">
        <v>1</v>
      </c>
      <c r="H1034" s="8">
        <v>20250401</v>
      </c>
      <c r="I1034" s="8" t="str">
        <f t="shared" si="80"/>
        <v>4/1/2025</v>
      </c>
      <c r="J1034" s="8">
        <v>20240901</v>
      </c>
      <c r="K1034" s="8" t="str">
        <f t="shared" si="81"/>
        <v>9/1/2024</v>
      </c>
      <c r="L1034" s="8" t="s">
        <v>198</v>
      </c>
      <c r="M1034" s="8">
        <v>20</v>
      </c>
      <c r="N1034" s="8">
        <v>20</v>
      </c>
      <c r="O1034" s="6" t="s">
        <v>3950</v>
      </c>
    </row>
    <row r="1035" spans="1:16" ht="15" customHeight="1" x14ac:dyDescent="0.2">
      <c r="A1035" s="7" t="s">
        <v>3911</v>
      </c>
      <c r="B1035" s="7">
        <v>20220688</v>
      </c>
      <c r="C1035" s="8">
        <v>1</v>
      </c>
      <c r="D1035" s="8">
        <v>921736429</v>
      </c>
      <c r="E1035" s="8" t="str">
        <f t="shared" si="79"/>
        <v>92173642933</v>
      </c>
      <c r="F1035" s="8" t="s">
        <v>2757</v>
      </c>
      <c r="G1035" s="8">
        <v>1</v>
      </c>
      <c r="H1035" s="8">
        <v>20250401</v>
      </c>
      <c r="I1035" s="8" t="str">
        <f t="shared" si="80"/>
        <v>4/1/2025</v>
      </c>
      <c r="J1035" s="8">
        <v>20240901</v>
      </c>
      <c r="K1035" s="8" t="str">
        <f t="shared" si="81"/>
        <v>9/1/2024</v>
      </c>
      <c r="L1035" s="8" t="s">
        <v>198</v>
      </c>
      <c r="M1035" s="8">
        <v>20</v>
      </c>
      <c r="N1035" s="8">
        <v>20</v>
      </c>
      <c r="O1035" s="6" t="s">
        <v>3950</v>
      </c>
    </row>
    <row r="1036" spans="1:16" ht="15" customHeight="1" x14ac:dyDescent="0.2">
      <c r="A1036" s="7" t="s">
        <v>3911</v>
      </c>
      <c r="B1036" s="7">
        <v>20220688</v>
      </c>
      <c r="C1036" s="8">
        <v>1</v>
      </c>
      <c r="D1036" s="8">
        <v>921738851</v>
      </c>
      <c r="E1036" s="8" t="str">
        <f t="shared" si="79"/>
        <v>92173885133</v>
      </c>
      <c r="F1036" s="8" t="s">
        <v>2761</v>
      </c>
      <c r="G1036" s="8">
        <v>1</v>
      </c>
      <c r="H1036" s="8">
        <v>20250401</v>
      </c>
      <c r="I1036" s="8" t="str">
        <f t="shared" si="80"/>
        <v>4/1/2025</v>
      </c>
      <c r="J1036" s="8">
        <v>20241001</v>
      </c>
      <c r="K1036" s="8" t="str">
        <f t="shared" si="81"/>
        <v>10/1/2024</v>
      </c>
      <c r="L1036" s="8" t="s">
        <v>198</v>
      </c>
      <c r="M1036" s="8">
        <v>20</v>
      </c>
      <c r="N1036" s="8">
        <v>20</v>
      </c>
      <c r="O1036" s="6" t="s">
        <v>3950</v>
      </c>
    </row>
    <row r="1037" spans="1:16" ht="15" customHeight="1" x14ac:dyDescent="0.2">
      <c r="A1037" s="7" t="s">
        <v>3911</v>
      </c>
      <c r="B1037" s="7">
        <v>20220688</v>
      </c>
      <c r="C1037" s="8">
        <v>1</v>
      </c>
      <c r="D1037" s="8">
        <v>921745105</v>
      </c>
      <c r="E1037" s="8" t="str">
        <f t="shared" si="79"/>
        <v>92174510533</v>
      </c>
      <c r="F1037" s="8" t="s">
        <v>2777</v>
      </c>
      <c r="G1037" s="8">
        <v>1</v>
      </c>
      <c r="H1037" s="8">
        <v>20250401</v>
      </c>
      <c r="I1037" s="8" t="str">
        <f t="shared" si="80"/>
        <v>4/1/2025</v>
      </c>
      <c r="J1037" s="8">
        <v>20250101</v>
      </c>
      <c r="K1037" s="8" t="str">
        <f t="shared" si="81"/>
        <v>1/1/2025</v>
      </c>
      <c r="L1037" s="8" t="s">
        <v>198</v>
      </c>
      <c r="M1037" s="8">
        <v>20</v>
      </c>
      <c r="N1037" s="8">
        <v>20</v>
      </c>
      <c r="O1037" s="6" t="s">
        <v>3950</v>
      </c>
    </row>
    <row r="1038" spans="1:16" ht="15" customHeight="1" x14ac:dyDescent="0.2">
      <c r="A1038" s="7" t="s">
        <v>3911</v>
      </c>
      <c r="B1038" s="7">
        <v>20220688</v>
      </c>
      <c r="C1038" s="8">
        <v>1</v>
      </c>
      <c r="D1038" s="8">
        <v>921746276</v>
      </c>
      <c r="E1038" s="8" t="str">
        <f t="shared" si="79"/>
        <v>92174627633</v>
      </c>
      <c r="F1038" s="8" t="s">
        <v>2779</v>
      </c>
      <c r="G1038" s="8">
        <v>1</v>
      </c>
      <c r="H1038" s="8">
        <v>20250401</v>
      </c>
      <c r="I1038" s="8" t="str">
        <f t="shared" si="80"/>
        <v>4/1/2025</v>
      </c>
      <c r="J1038" s="8">
        <v>20241201</v>
      </c>
      <c r="K1038" s="8" t="str">
        <f t="shared" si="81"/>
        <v>12/1/2024</v>
      </c>
      <c r="L1038" s="8" t="s">
        <v>198</v>
      </c>
      <c r="M1038" s="8">
        <v>20</v>
      </c>
      <c r="N1038" s="8">
        <v>20</v>
      </c>
      <c r="O1038" s="6" t="s">
        <v>3950</v>
      </c>
    </row>
    <row r="1039" spans="1:16" ht="15" customHeight="1" x14ac:dyDescent="0.2">
      <c r="A1039" s="7" t="s">
        <v>3911</v>
      </c>
      <c r="B1039" s="7">
        <v>20220688</v>
      </c>
      <c r="C1039" s="8">
        <v>1</v>
      </c>
      <c r="D1039" s="8">
        <v>921746485</v>
      </c>
      <c r="E1039" s="8" t="str">
        <f t="shared" si="79"/>
        <v>92174648533</v>
      </c>
      <c r="F1039" s="8" t="s">
        <v>2781</v>
      </c>
      <c r="G1039" s="8">
        <v>1</v>
      </c>
      <c r="H1039" s="8">
        <v>20250401</v>
      </c>
      <c r="I1039" s="8" t="str">
        <f t="shared" si="80"/>
        <v>4/1/2025</v>
      </c>
      <c r="J1039" s="8">
        <v>20241201</v>
      </c>
      <c r="K1039" s="8" t="str">
        <f t="shared" si="81"/>
        <v>12/1/2024</v>
      </c>
      <c r="L1039" s="8" t="s">
        <v>198</v>
      </c>
      <c r="M1039" s="8">
        <v>20</v>
      </c>
      <c r="N1039" s="8">
        <v>20</v>
      </c>
      <c r="O1039" s="6" t="s">
        <v>3950</v>
      </c>
    </row>
    <row r="1040" spans="1:16" ht="15" customHeight="1" x14ac:dyDescent="0.2">
      <c r="A1040" s="7" t="s">
        <v>3911</v>
      </c>
      <c r="B1040" s="7">
        <v>20220688</v>
      </c>
      <c r="C1040" s="8">
        <v>1</v>
      </c>
      <c r="D1040" s="8">
        <v>921746677</v>
      </c>
      <c r="E1040" s="8" t="str">
        <f t="shared" si="79"/>
        <v>92174667733</v>
      </c>
      <c r="F1040" s="8" t="s">
        <v>2783</v>
      </c>
      <c r="G1040" s="8">
        <v>1</v>
      </c>
      <c r="H1040" s="8">
        <v>20250401</v>
      </c>
      <c r="I1040" s="8" t="str">
        <f t="shared" si="80"/>
        <v>4/1/2025</v>
      </c>
      <c r="J1040" s="8">
        <v>20250101</v>
      </c>
      <c r="K1040" s="8" t="str">
        <f t="shared" si="81"/>
        <v>1/1/2025</v>
      </c>
      <c r="L1040" s="8" t="s">
        <v>198</v>
      </c>
      <c r="M1040" s="8">
        <v>20</v>
      </c>
      <c r="N1040" s="8">
        <v>20</v>
      </c>
      <c r="O1040" s="6" t="s">
        <v>3950</v>
      </c>
    </row>
    <row r="1041" spans="1:15" ht="15" customHeight="1" x14ac:dyDescent="0.2">
      <c r="A1041" s="7" t="s">
        <v>3911</v>
      </c>
      <c r="B1041" s="7">
        <v>20220688</v>
      </c>
      <c r="C1041" s="8">
        <v>1</v>
      </c>
      <c r="D1041" s="8">
        <v>921746749</v>
      </c>
      <c r="E1041" s="8" t="str">
        <f t="shared" si="79"/>
        <v>92174674933</v>
      </c>
      <c r="F1041" s="8" t="s">
        <v>2785</v>
      </c>
      <c r="G1041" s="8">
        <v>1</v>
      </c>
      <c r="H1041" s="8">
        <v>20250401</v>
      </c>
      <c r="I1041" s="8" t="str">
        <f t="shared" si="80"/>
        <v>4/1/2025</v>
      </c>
      <c r="J1041" s="8">
        <v>20250101</v>
      </c>
      <c r="K1041" s="8" t="str">
        <f t="shared" si="81"/>
        <v>1/1/2025</v>
      </c>
      <c r="L1041" s="8" t="s">
        <v>198</v>
      </c>
      <c r="M1041" s="8">
        <v>20</v>
      </c>
      <c r="N1041" s="8">
        <v>20</v>
      </c>
      <c r="O1041" s="6" t="s">
        <v>3950</v>
      </c>
    </row>
    <row r="1042" spans="1:15" ht="15" customHeight="1" x14ac:dyDescent="0.2">
      <c r="A1042" s="7" t="s">
        <v>3911</v>
      </c>
      <c r="B1042" s="7">
        <v>20220688</v>
      </c>
      <c r="C1042" s="8">
        <v>1</v>
      </c>
      <c r="D1042" s="8">
        <v>921747471</v>
      </c>
      <c r="E1042" s="8" t="str">
        <f t="shared" si="79"/>
        <v>92174747133</v>
      </c>
      <c r="F1042" s="8" t="s">
        <v>2791</v>
      </c>
      <c r="G1042" s="8">
        <v>1</v>
      </c>
      <c r="H1042" s="8">
        <v>20250301</v>
      </c>
      <c r="I1042" s="8" t="str">
        <f t="shared" si="80"/>
        <v>3/1/2025</v>
      </c>
      <c r="J1042" s="8">
        <v>20250101</v>
      </c>
      <c r="K1042" s="8" t="str">
        <f t="shared" si="81"/>
        <v>1/1/2025</v>
      </c>
      <c r="L1042" s="8" t="s">
        <v>198</v>
      </c>
      <c r="M1042" s="8">
        <v>20</v>
      </c>
      <c r="N1042" s="8">
        <v>20</v>
      </c>
      <c r="O1042" s="6" t="s">
        <v>3950</v>
      </c>
    </row>
    <row r="1043" spans="1:15" ht="15" customHeight="1" x14ac:dyDescent="0.2">
      <c r="A1043" s="7" t="s">
        <v>3911</v>
      </c>
      <c r="B1043" s="7">
        <v>20220688</v>
      </c>
      <c r="C1043" s="8">
        <v>1</v>
      </c>
      <c r="D1043" s="8">
        <v>921747764</v>
      </c>
      <c r="E1043" s="8" t="str">
        <f t="shared" si="79"/>
        <v>92174776433</v>
      </c>
      <c r="F1043" s="8" t="s">
        <v>2793</v>
      </c>
      <c r="G1043" s="8">
        <v>1</v>
      </c>
      <c r="H1043" s="8">
        <v>20250401</v>
      </c>
      <c r="I1043" s="8" t="str">
        <f t="shared" si="80"/>
        <v>4/1/2025</v>
      </c>
      <c r="J1043" s="8">
        <v>20250101</v>
      </c>
      <c r="K1043" s="8" t="str">
        <f t="shared" si="81"/>
        <v>1/1/2025</v>
      </c>
      <c r="L1043" s="8" t="s">
        <v>198</v>
      </c>
      <c r="M1043" s="8">
        <v>20</v>
      </c>
      <c r="N1043" s="8">
        <v>20</v>
      </c>
      <c r="O1043" s="6" t="s">
        <v>3950</v>
      </c>
    </row>
    <row r="1044" spans="1:15" ht="15" customHeight="1" x14ac:dyDescent="0.2">
      <c r="A1044" s="7" t="s">
        <v>3911</v>
      </c>
      <c r="B1044" s="7">
        <v>20220688</v>
      </c>
      <c r="C1044" s="8">
        <v>1</v>
      </c>
      <c r="D1044" s="8">
        <v>921747768</v>
      </c>
      <c r="E1044" s="8" t="str">
        <f t="shared" si="79"/>
        <v>92174776833</v>
      </c>
      <c r="F1044" s="8" t="s">
        <v>2795</v>
      </c>
      <c r="G1044" s="8">
        <v>1</v>
      </c>
      <c r="H1044" s="8">
        <v>20250401</v>
      </c>
      <c r="I1044" s="8" t="str">
        <f t="shared" si="80"/>
        <v>4/1/2025</v>
      </c>
      <c r="J1044" s="8">
        <v>20250101</v>
      </c>
      <c r="K1044" s="8" t="str">
        <f t="shared" si="81"/>
        <v>1/1/2025</v>
      </c>
      <c r="L1044" s="8" t="s">
        <v>198</v>
      </c>
      <c r="M1044" s="8">
        <v>20</v>
      </c>
      <c r="N1044" s="8">
        <v>20</v>
      </c>
      <c r="O1044" s="6" t="s">
        <v>3950</v>
      </c>
    </row>
    <row r="1045" spans="1:15" ht="15" customHeight="1" x14ac:dyDescent="0.2">
      <c r="A1045" s="7" t="s">
        <v>3911</v>
      </c>
      <c r="B1045" s="7">
        <v>20220688</v>
      </c>
      <c r="C1045" s="8">
        <v>1</v>
      </c>
      <c r="D1045" s="8">
        <v>921748281</v>
      </c>
      <c r="E1045" s="8" t="str">
        <f t="shared" si="79"/>
        <v>92174828133</v>
      </c>
      <c r="F1045" s="8" t="s">
        <v>2797</v>
      </c>
      <c r="G1045" s="8">
        <v>1</v>
      </c>
      <c r="H1045" s="8">
        <v>20250401</v>
      </c>
      <c r="I1045" s="8" t="str">
        <f t="shared" si="80"/>
        <v>4/1/2025</v>
      </c>
      <c r="J1045" s="8">
        <v>20250101</v>
      </c>
      <c r="K1045" s="8" t="str">
        <f t="shared" si="81"/>
        <v>1/1/2025</v>
      </c>
      <c r="L1045" s="8" t="s">
        <v>198</v>
      </c>
      <c r="M1045" s="8">
        <v>20</v>
      </c>
      <c r="N1045" s="8">
        <v>20</v>
      </c>
      <c r="O1045" s="6" t="s">
        <v>3950</v>
      </c>
    </row>
    <row r="1046" spans="1:15" ht="15" customHeight="1" x14ac:dyDescent="0.2">
      <c r="A1046" s="7" t="s">
        <v>3911</v>
      </c>
      <c r="B1046" s="7">
        <v>20220688</v>
      </c>
      <c r="C1046" s="8">
        <v>1</v>
      </c>
      <c r="D1046" s="8">
        <v>921748537</v>
      </c>
      <c r="E1046" s="8" t="str">
        <f t="shared" si="79"/>
        <v>92174853733</v>
      </c>
      <c r="F1046" s="8" t="s">
        <v>2801</v>
      </c>
      <c r="G1046" s="8">
        <v>1</v>
      </c>
      <c r="H1046" s="8">
        <v>20250401</v>
      </c>
      <c r="I1046" s="8" t="str">
        <f t="shared" si="80"/>
        <v>4/1/2025</v>
      </c>
      <c r="J1046" s="8">
        <v>20241201</v>
      </c>
      <c r="K1046" s="8" t="str">
        <f t="shared" si="81"/>
        <v>12/1/2024</v>
      </c>
      <c r="L1046" s="8" t="s">
        <v>198</v>
      </c>
      <c r="M1046" s="8">
        <v>20</v>
      </c>
      <c r="N1046" s="8">
        <v>20</v>
      </c>
      <c r="O1046" s="6" t="s">
        <v>3950</v>
      </c>
    </row>
    <row r="1047" spans="1:15" ht="15" customHeight="1" x14ac:dyDescent="0.2">
      <c r="A1047" s="7" t="s">
        <v>3911</v>
      </c>
      <c r="B1047" s="7">
        <v>20220688</v>
      </c>
      <c r="C1047" s="8">
        <v>1</v>
      </c>
      <c r="D1047" s="8">
        <v>921748537</v>
      </c>
      <c r="E1047" s="8" t="str">
        <f t="shared" si="79"/>
        <v>92174853733</v>
      </c>
      <c r="F1047" s="8" t="s">
        <v>2801</v>
      </c>
      <c r="G1047" s="8">
        <v>1</v>
      </c>
      <c r="H1047" s="8">
        <v>20250301</v>
      </c>
      <c r="I1047" s="8" t="str">
        <f t="shared" si="80"/>
        <v>3/1/2025</v>
      </c>
      <c r="J1047" s="8">
        <v>20241201</v>
      </c>
      <c r="K1047" s="8" t="str">
        <f t="shared" si="81"/>
        <v>12/1/2024</v>
      </c>
      <c r="L1047" s="8" t="s">
        <v>198</v>
      </c>
      <c r="M1047" s="8">
        <v>20</v>
      </c>
      <c r="N1047" s="8">
        <v>20</v>
      </c>
      <c r="O1047" s="6" t="s">
        <v>3950</v>
      </c>
    </row>
    <row r="1048" spans="1:15" ht="15" customHeight="1" x14ac:dyDescent="0.2">
      <c r="A1048" s="7" t="s">
        <v>3911</v>
      </c>
      <c r="B1048" s="7">
        <v>20220688</v>
      </c>
      <c r="C1048" s="8">
        <v>1</v>
      </c>
      <c r="D1048" s="8">
        <v>921748561</v>
      </c>
      <c r="E1048" s="8" t="str">
        <f t="shared" si="79"/>
        <v>92174856133</v>
      </c>
      <c r="F1048" s="8" t="s">
        <v>2803</v>
      </c>
      <c r="G1048" s="8">
        <v>1</v>
      </c>
      <c r="H1048" s="8">
        <v>20250401</v>
      </c>
      <c r="I1048" s="8" t="str">
        <f t="shared" si="80"/>
        <v>4/1/2025</v>
      </c>
      <c r="J1048" s="8">
        <v>20250101</v>
      </c>
      <c r="K1048" s="8" t="str">
        <f t="shared" si="81"/>
        <v>1/1/2025</v>
      </c>
      <c r="L1048" s="8" t="s">
        <v>198</v>
      </c>
      <c r="M1048" s="8">
        <v>20</v>
      </c>
      <c r="N1048" s="8">
        <v>20</v>
      </c>
      <c r="O1048" s="6" t="s">
        <v>3950</v>
      </c>
    </row>
    <row r="1049" spans="1:15" ht="15" customHeight="1" x14ac:dyDescent="0.2">
      <c r="A1049" s="7" t="s">
        <v>3911</v>
      </c>
      <c r="B1049" s="7">
        <v>20220688</v>
      </c>
      <c r="C1049" s="8">
        <v>1</v>
      </c>
      <c r="D1049" s="8">
        <v>921749087</v>
      </c>
      <c r="E1049" s="8" t="str">
        <f t="shared" si="79"/>
        <v>92174908733</v>
      </c>
      <c r="F1049" s="8" t="s">
        <v>2807</v>
      </c>
      <c r="G1049" s="8">
        <v>1</v>
      </c>
      <c r="H1049" s="8">
        <v>20250401</v>
      </c>
      <c r="I1049" s="8" t="str">
        <f t="shared" si="80"/>
        <v>4/1/2025</v>
      </c>
      <c r="J1049" s="8">
        <v>20241201</v>
      </c>
      <c r="K1049" s="8" t="str">
        <f t="shared" si="81"/>
        <v>12/1/2024</v>
      </c>
      <c r="L1049" s="8" t="s">
        <v>198</v>
      </c>
      <c r="M1049" s="8">
        <v>20</v>
      </c>
      <c r="N1049" s="8">
        <v>20</v>
      </c>
      <c r="O1049" s="6" t="s">
        <v>3950</v>
      </c>
    </row>
    <row r="1050" spans="1:15" ht="15" customHeight="1" x14ac:dyDescent="0.2">
      <c r="A1050" s="7" t="s">
        <v>3911</v>
      </c>
      <c r="B1050" s="7">
        <v>20220688</v>
      </c>
      <c r="C1050" s="8">
        <v>1</v>
      </c>
      <c r="D1050" s="8">
        <v>921749763</v>
      </c>
      <c r="E1050" s="8" t="str">
        <f t="shared" si="79"/>
        <v>92174976333</v>
      </c>
      <c r="F1050" s="8" t="s">
        <v>2809</v>
      </c>
      <c r="G1050" s="8">
        <v>1</v>
      </c>
      <c r="H1050" s="8">
        <v>20250401</v>
      </c>
      <c r="I1050" s="8" t="str">
        <f t="shared" si="80"/>
        <v>4/1/2025</v>
      </c>
      <c r="J1050" s="8">
        <v>20250101</v>
      </c>
      <c r="K1050" s="8" t="str">
        <f t="shared" si="81"/>
        <v>1/1/2025</v>
      </c>
      <c r="L1050" s="8" t="s">
        <v>198</v>
      </c>
      <c r="M1050" s="8">
        <v>20</v>
      </c>
      <c r="N1050" s="8">
        <v>20</v>
      </c>
      <c r="O1050" s="6" t="s">
        <v>3950</v>
      </c>
    </row>
    <row r="1051" spans="1:15" ht="15" customHeight="1" x14ac:dyDescent="0.2">
      <c r="A1051" s="7" t="s">
        <v>3911</v>
      </c>
      <c r="B1051" s="7">
        <v>20220688</v>
      </c>
      <c r="C1051" s="8">
        <v>1</v>
      </c>
      <c r="D1051" s="8">
        <v>921750193</v>
      </c>
      <c r="E1051" s="8" t="str">
        <f t="shared" si="79"/>
        <v>92175019333</v>
      </c>
      <c r="F1051" s="8" t="s">
        <v>2811</v>
      </c>
      <c r="G1051" s="8">
        <v>1</v>
      </c>
      <c r="H1051" s="8">
        <v>20250401</v>
      </c>
      <c r="I1051" s="8" t="str">
        <f t="shared" si="80"/>
        <v>4/1/2025</v>
      </c>
      <c r="J1051" s="8">
        <v>20250101</v>
      </c>
      <c r="K1051" s="8" t="str">
        <f t="shared" si="81"/>
        <v>1/1/2025</v>
      </c>
      <c r="L1051" s="8" t="s">
        <v>198</v>
      </c>
      <c r="M1051" s="8">
        <v>20</v>
      </c>
      <c r="N1051" s="8">
        <v>20</v>
      </c>
      <c r="O1051" s="6" t="s">
        <v>3950</v>
      </c>
    </row>
    <row r="1052" spans="1:15" ht="15" customHeight="1" x14ac:dyDescent="0.2">
      <c r="A1052" s="7" t="s">
        <v>3911</v>
      </c>
      <c r="B1052" s="7">
        <v>20220688</v>
      </c>
      <c r="C1052" s="8">
        <v>1</v>
      </c>
      <c r="D1052" s="8">
        <v>921750363</v>
      </c>
      <c r="E1052" s="8" t="str">
        <f t="shared" si="79"/>
        <v>92175036333</v>
      </c>
      <c r="F1052" s="8" t="s">
        <v>2815</v>
      </c>
      <c r="G1052" s="8">
        <v>1</v>
      </c>
      <c r="H1052" s="8">
        <v>20250401</v>
      </c>
      <c r="I1052" s="8" t="str">
        <f t="shared" si="80"/>
        <v>4/1/2025</v>
      </c>
      <c r="J1052" s="8">
        <v>20250101</v>
      </c>
      <c r="K1052" s="8" t="str">
        <f t="shared" si="81"/>
        <v>1/1/2025</v>
      </c>
      <c r="L1052" s="8" t="s">
        <v>198</v>
      </c>
      <c r="M1052" s="8">
        <v>20</v>
      </c>
      <c r="N1052" s="8">
        <v>20</v>
      </c>
      <c r="O1052" s="6" t="s">
        <v>3950</v>
      </c>
    </row>
    <row r="1053" spans="1:15" ht="15" customHeight="1" x14ac:dyDescent="0.2">
      <c r="A1053" s="7" t="s">
        <v>3911</v>
      </c>
      <c r="B1053" s="7">
        <v>20220688</v>
      </c>
      <c r="C1053" s="8">
        <v>1</v>
      </c>
      <c r="D1053" s="8">
        <v>921750380</v>
      </c>
      <c r="E1053" s="8" t="str">
        <f t="shared" si="79"/>
        <v>92175038033</v>
      </c>
      <c r="F1053" s="8" t="s">
        <v>2817</v>
      </c>
      <c r="G1053" s="8">
        <v>1</v>
      </c>
      <c r="H1053" s="8">
        <v>20250401</v>
      </c>
      <c r="I1053" s="8" t="str">
        <f t="shared" si="80"/>
        <v>4/1/2025</v>
      </c>
      <c r="J1053" s="8">
        <v>20250101</v>
      </c>
      <c r="K1053" s="8" t="str">
        <f t="shared" si="81"/>
        <v>1/1/2025</v>
      </c>
      <c r="L1053" s="8" t="s">
        <v>198</v>
      </c>
      <c r="M1053" s="8">
        <v>20</v>
      </c>
      <c r="N1053" s="8">
        <v>20</v>
      </c>
      <c r="O1053" s="6" t="s">
        <v>3950</v>
      </c>
    </row>
    <row r="1054" spans="1:15" ht="15" customHeight="1" x14ac:dyDescent="0.2">
      <c r="A1054" s="7" t="s">
        <v>3911</v>
      </c>
      <c r="B1054" s="7">
        <v>20220688</v>
      </c>
      <c r="C1054" s="8">
        <v>1</v>
      </c>
      <c r="D1054" s="8">
        <v>921751641</v>
      </c>
      <c r="E1054" s="8" t="str">
        <f t="shared" ref="E1054:E1085" si="82">CONCATENATE(D1054,33)</f>
        <v>92175164133</v>
      </c>
      <c r="F1054" s="8" t="s">
        <v>2823</v>
      </c>
      <c r="G1054" s="8">
        <v>1</v>
      </c>
      <c r="H1054" s="8">
        <v>20250401</v>
      </c>
      <c r="I1054" s="8" t="str">
        <f t="shared" si="80"/>
        <v>4/1/2025</v>
      </c>
      <c r="J1054" s="8">
        <v>20250101</v>
      </c>
      <c r="K1054" s="8" t="str">
        <f t="shared" si="81"/>
        <v>1/1/2025</v>
      </c>
      <c r="L1054" s="8" t="s">
        <v>198</v>
      </c>
      <c r="M1054" s="8">
        <v>20</v>
      </c>
      <c r="N1054" s="8">
        <v>20</v>
      </c>
      <c r="O1054" s="6" t="s">
        <v>3950</v>
      </c>
    </row>
    <row r="1055" spans="1:15" ht="15" customHeight="1" x14ac:dyDescent="0.2">
      <c r="A1055" s="7" t="s">
        <v>3911</v>
      </c>
      <c r="B1055" s="7">
        <v>20220688</v>
      </c>
      <c r="C1055" s="8">
        <v>1</v>
      </c>
      <c r="D1055" s="8">
        <v>921752090</v>
      </c>
      <c r="E1055" s="8" t="str">
        <f t="shared" si="82"/>
        <v>92175209033</v>
      </c>
      <c r="F1055" s="8" t="s">
        <v>2825</v>
      </c>
      <c r="G1055" s="8">
        <v>1</v>
      </c>
      <c r="H1055" s="8">
        <v>20250401</v>
      </c>
      <c r="I1055" s="8" t="str">
        <f t="shared" si="80"/>
        <v>4/1/2025</v>
      </c>
      <c r="J1055" s="8">
        <v>20250101</v>
      </c>
      <c r="K1055" s="8" t="str">
        <f t="shared" si="81"/>
        <v>1/1/2025</v>
      </c>
      <c r="L1055" s="8" t="s">
        <v>198</v>
      </c>
      <c r="M1055" s="8">
        <v>20</v>
      </c>
      <c r="N1055" s="8">
        <v>20</v>
      </c>
      <c r="O1055" s="6" t="s">
        <v>3950</v>
      </c>
    </row>
    <row r="1056" spans="1:15" ht="15" customHeight="1" x14ac:dyDescent="0.2">
      <c r="A1056" s="7" t="s">
        <v>3911</v>
      </c>
      <c r="B1056" s="7">
        <v>20220688</v>
      </c>
      <c r="C1056" s="8">
        <v>1</v>
      </c>
      <c r="D1056" s="8">
        <v>921752496</v>
      </c>
      <c r="E1056" s="8" t="str">
        <f t="shared" si="82"/>
        <v>92175249633</v>
      </c>
      <c r="F1056" s="8" t="s">
        <v>2827</v>
      </c>
      <c r="G1056" s="8">
        <v>1</v>
      </c>
      <c r="H1056" s="8">
        <v>20250401</v>
      </c>
      <c r="I1056" s="8" t="str">
        <f t="shared" si="80"/>
        <v>4/1/2025</v>
      </c>
      <c r="J1056" s="8">
        <v>20250101</v>
      </c>
      <c r="K1056" s="8" t="str">
        <f t="shared" si="81"/>
        <v>1/1/2025</v>
      </c>
      <c r="L1056" s="8" t="s">
        <v>198</v>
      </c>
      <c r="M1056" s="8">
        <v>20</v>
      </c>
      <c r="N1056" s="8">
        <v>20</v>
      </c>
      <c r="O1056" s="6" t="s">
        <v>3950</v>
      </c>
    </row>
    <row r="1057" spans="1:15" ht="15" customHeight="1" x14ac:dyDescent="0.2">
      <c r="A1057" s="7" t="s">
        <v>3911</v>
      </c>
      <c r="B1057" s="7">
        <v>20220688</v>
      </c>
      <c r="C1057" s="8">
        <v>1</v>
      </c>
      <c r="D1057" s="8">
        <v>921755686</v>
      </c>
      <c r="E1057" s="8" t="str">
        <f t="shared" si="82"/>
        <v>92175568633</v>
      </c>
      <c r="F1057" s="8" t="s">
        <v>2837</v>
      </c>
      <c r="G1057" s="8">
        <v>1</v>
      </c>
      <c r="H1057" s="8">
        <v>20250401</v>
      </c>
      <c r="I1057" s="8" t="str">
        <f t="shared" si="80"/>
        <v>4/1/2025</v>
      </c>
      <c r="J1057" s="8">
        <v>20250101</v>
      </c>
      <c r="K1057" s="8" t="str">
        <f t="shared" si="81"/>
        <v>1/1/2025</v>
      </c>
      <c r="L1057" s="8" t="s">
        <v>198</v>
      </c>
      <c r="M1057" s="8">
        <v>20</v>
      </c>
      <c r="N1057" s="8">
        <v>20</v>
      </c>
      <c r="O1057" s="6" t="s">
        <v>3950</v>
      </c>
    </row>
    <row r="1058" spans="1:15" ht="15" customHeight="1" x14ac:dyDescent="0.2">
      <c r="A1058" s="7" t="s">
        <v>3911</v>
      </c>
      <c r="B1058" s="7">
        <v>20220688</v>
      </c>
      <c r="C1058" s="8">
        <v>1</v>
      </c>
      <c r="D1058" s="8">
        <v>921756543</v>
      </c>
      <c r="E1058" s="8" t="str">
        <f t="shared" si="82"/>
        <v>92175654333</v>
      </c>
      <c r="F1058" s="8" t="s">
        <v>2839</v>
      </c>
      <c r="G1058" s="8">
        <v>1</v>
      </c>
      <c r="H1058" s="8">
        <v>20250401</v>
      </c>
      <c r="I1058" s="8" t="str">
        <f t="shared" si="80"/>
        <v>4/1/2025</v>
      </c>
      <c r="J1058" s="8">
        <v>20250101</v>
      </c>
      <c r="K1058" s="8" t="str">
        <f t="shared" si="81"/>
        <v>1/1/2025</v>
      </c>
      <c r="L1058" s="8" t="s">
        <v>198</v>
      </c>
      <c r="M1058" s="8">
        <v>20</v>
      </c>
      <c r="N1058" s="8">
        <v>20</v>
      </c>
      <c r="O1058" s="6" t="s">
        <v>3950</v>
      </c>
    </row>
    <row r="1059" spans="1:15" ht="15" customHeight="1" x14ac:dyDescent="0.2">
      <c r="A1059" s="7" t="s">
        <v>3911</v>
      </c>
      <c r="B1059" s="7">
        <v>20220688</v>
      </c>
      <c r="C1059" s="8">
        <v>1</v>
      </c>
      <c r="D1059" s="8">
        <v>921758975</v>
      </c>
      <c r="E1059" s="8" t="str">
        <f t="shared" si="82"/>
        <v>92175897533</v>
      </c>
      <c r="F1059" s="8" t="s">
        <v>2841</v>
      </c>
      <c r="G1059" s="8">
        <v>1</v>
      </c>
      <c r="H1059" s="8">
        <v>20250401</v>
      </c>
      <c r="I1059" s="8" t="str">
        <f t="shared" si="80"/>
        <v>4/1/2025</v>
      </c>
      <c r="J1059" s="8">
        <v>20250101</v>
      </c>
      <c r="K1059" s="8" t="str">
        <f t="shared" si="81"/>
        <v>1/1/2025</v>
      </c>
      <c r="L1059" s="8" t="s">
        <v>198</v>
      </c>
      <c r="M1059" s="8">
        <v>20</v>
      </c>
      <c r="N1059" s="8">
        <v>20</v>
      </c>
      <c r="O1059" s="6" t="s">
        <v>3950</v>
      </c>
    </row>
    <row r="1060" spans="1:15" ht="15" customHeight="1" x14ac:dyDescent="0.2">
      <c r="A1060" s="7" t="s">
        <v>3911</v>
      </c>
      <c r="B1060" s="7">
        <v>20220688</v>
      </c>
      <c r="C1060" s="8">
        <v>1</v>
      </c>
      <c r="D1060" s="8">
        <v>921761589</v>
      </c>
      <c r="E1060" s="8" t="str">
        <f t="shared" si="82"/>
        <v>92176158933</v>
      </c>
      <c r="F1060" s="8" t="s">
        <v>2847</v>
      </c>
      <c r="G1060" s="8">
        <v>1</v>
      </c>
      <c r="H1060" s="8">
        <v>20250401</v>
      </c>
      <c r="I1060" s="8" t="str">
        <f t="shared" si="80"/>
        <v>4/1/2025</v>
      </c>
      <c r="J1060" s="8">
        <v>20250101</v>
      </c>
      <c r="K1060" s="8" t="str">
        <f t="shared" si="81"/>
        <v>1/1/2025</v>
      </c>
      <c r="L1060" s="8" t="s">
        <v>198</v>
      </c>
      <c r="M1060" s="8">
        <v>20</v>
      </c>
      <c r="N1060" s="8">
        <v>20</v>
      </c>
      <c r="O1060" s="6" t="s">
        <v>3950</v>
      </c>
    </row>
    <row r="1061" spans="1:15" ht="15" customHeight="1" x14ac:dyDescent="0.2">
      <c r="A1061" s="7" t="s">
        <v>3911</v>
      </c>
      <c r="B1061" s="7">
        <v>20220688</v>
      </c>
      <c r="C1061" s="8">
        <v>1</v>
      </c>
      <c r="D1061" s="8">
        <v>921761807</v>
      </c>
      <c r="E1061" s="8" t="str">
        <f t="shared" si="82"/>
        <v>92176180733</v>
      </c>
      <c r="F1061" s="8" t="s">
        <v>2851</v>
      </c>
      <c r="G1061" s="8">
        <v>1</v>
      </c>
      <c r="H1061" s="8">
        <v>20250401</v>
      </c>
      <c r="I1061" s="8" t="str">
        <f t="shared" si="80"/>
        <v>4/1/2025</v>
      </c>
      <c r="J1061" s="8">
        <v>20250101</v>
      </c>
      <c r="K1061" s="8" t="str">
        <f t="shared" si="81"/>
        <v>1/1/2025</v>
      </c>
      <c r="L1061" s="8" t="s">
        <v>198</v>
      </c>
      <c r="M1061" s="8">
        <v>20</v>
      </c>
      <c r="N1061" s="8">
        <v>20</v>
      </c>
      <c r="O1061" s="6" t="s">
        <v>3950</v>
      </c>
    </row>
    <row r="1062" spans="1:15" ht="15" customHeight="1" x14ac:dyDescent="0.2">
      <c r="A1062" s="7" t="s">
        <v>3911</v>
      </c>
      <c r="B1062" s="7">
        <v>20220688</v>
      </c>
      <c r="C1062" s="8">
        <v>1</v>
      </c>
      <c r="D1062" s="8">
        <v>921762274</v>
      </c>
      <c r="E1062" s="8" t="str">
        <f t="shared" si="82"/>
        <v>92176227433</v>
      </c>
      <c r="F1062" s="8" t="s">
        <v>2853</v>
      </c>
      <c r="G1062" s="8">
        <v>1</v>
      </c>
      <c r="H1062" s="8">
        <v>20250401</v>
      </c>
      <c r="I1062" s="8" t="str">
        <f t="shared" si="80"/>
        <v>4/1/2025</v>
      </c>
      <c r="J1062" s="8">
        <v>20250101</v>
      </c>
      <c r="K1062" s="8" t="str">
        <f t="shared" si="81"/>
        <v>1/1/2025</v>
      </c>
      <c r="L1062" s="8" t="s">
        <v>198</v>
      </c>
      <c r="M1062" s="8">
        <v>20</v>
      </c>
      <c r="N1062" s="8">
        <v>20</v>
      </c>
      <c r="O1062" s="6" t="s">
        <v>3950</v>
      </c>
    </row>
    <row r="1063" spans="1:15" ht="15" customHeight="1" x14ac:dyDescent="0.2">
      <c r="A1063" s="7" t="s">
        <v>3911</v>
      </c>
      <c r="B1063" s="7">
        <v>20220688</v>
      </c>
      <c r="C1063" s="8">
        <v>1</v>
      </c>
      <c r="D1063" s="8">
        <v>921768201</v>
      </c>
      <c r="E1063" s="8" t="str">
        <f t="shared" si="82"/>
        <v>92176820133</v>
      </c>
      <c r="F1063" s="8" t="s">
        <v>2855</v>
      </c>
      <c r="G1063" s="8">
        <v>1</v>
      </c>
      <c r="H1063" s="8">
        <v>20250401</v>
      </c>
      <c r="I1063" s="8" t="str">
        <f t="shared" si="80"/>
        <v>4/1/2025</v>
      </c>
      <c r="J1063" s="8">
        <v>20250101</v>
      </c>
      <c r="K1063" s="8" t="str">
        <f t="shared" si="81"/>
        <v>1/1/2025</v>
      </c>
      <c r="L1063" s="8" t="s">
        <v>198</v>
      </c>
      <c r="M1063" s="8">
        <v>20</v>
      </c>
      <c r="N1063" s="8">
        <v>20</v>
      </c>
      <c r="O1063" s="6" t="s">
        <v>3950</v>
      </c>
    </row>
    <row r="1064" spans="1:15" ht="15" customHeight="1" x14ac:dyDescent="0.2">
      <c r="A1064" s="7" t="s">
        <v>3911</v>
      </c>
      <c r="B1064" s="7">
        <v>20220688</v>
      </c>
      <c r="C1064" s="8">
        <v>1</v>
      </c>
      <c r="D1064" s="8">
        <v>921768634</v>
      </c>
      <c r="E1064" s="8" t="str">
        <f t="shared" si="82"/>
        <v>92176863433</v>
      </c>
      <c r="F1064" s="8" t="s">
        <v>2857</v>
      </c>
      <c r="G1064" s="8">
        <v>1</v>
      </c>
      <c r="H1064" s="8">
        <v>20250401</v>
      </c>
      <c r="I1064" s="8" t="str">
        <f t="shared" si="80"/>
        <v>4/1/2025</v>
      </c>
      <c r="J1064" s="8">
        <v>20250201</v>
      </c>
      <c r="K1064" s="8" t="str">
        <f t="shared" si="81"/>
        <v>2/1/2025</v>
      </c>
      <c r="L1064" s="8" t="s">
        <v>198</v>
      </c>
      <c r="M1064" s="8">
        <v>20</v>
      </c>
      <c r="N1064" s="8">
        <v>20</v>
      </c>
      <c r="O1064" s="6" t="s">
        <v>3950</v>
      </c>
    </row>
    <row r="1065" spans="1:15" ht="15" customHeight="1" x14ac:dyDescent="0.2">
      <c r="A1065" s="7" t="s">
        <v>3911</v>
      </c>
      <c r="B1065" s="7">
        <v>20220688</v>
      </c>
      <c r="C1065" s="8">
        <v>1</v>
      </c>
      <c r="D1065" s="8">
        <v>921769118</v>
      </c>
      <c r="E1065" s="8" t="str">
        <f t="shared" si="82"/>
        <v>92176911833</v>
      </c>
      <c r="F1065" s="8" t="s">
        <v>2861</v>
      </c>
      <c r="G1065" s="8">
        <v>1</v>
      </c>
      <c r="H1065" s="8">
        <v>20250401</v>
      </c>
      <c r="I1065" s="8" t="str">
        <f t="shared" si="80"/>
        <v>4/1/2025</v>
      </c>
      <c r="J1065" s="8">
        <v>20250201</v>
      </c>
      <c r="K1065" s="8" t="str">
        <f t="shared" si="81"/>
        <v>2/1/2025</v>
      </c>
      <c r="L1065" s="8" t="s">
        <v>198</v>
      </c>
      <c r="M1065" s="8">
        <v>20</v>
      </c>
      <c r="N1065" s="8">
        <v>20</v>
      </c>
      <c r="O1065" s="6" t="s">
        <v>3950</v>
      </c>
    </row>
    <row r="1066" spans="1:15" ht="15" customHeight="1" x14ac:dyDescent="0.2">
      <c r="A1066" s="7" t="s">
        <v>3911</v>
      </c>
      <c r="B1066" s="7">
        <v>20220688</v>
      </c>
      <c r="C1066" s="8">
        <v>1</v>
      </c>
      <c r="D1066" s="8">
        <v>921769768</v>
      </c>
      <c r="E1066" s="8" t="str">
        <f t="shared" si="82"/>
        <v>92176976833</v>
      </c>
      <c r="F1066" s="8" t="s">
        <v>2863</v>
      </c>
      <c r="G1066" s="8">
        <v>1</v>
      </c>
      <c r="H1066" s="8">
        <v>20250401</v>
      </c>
      <c r="I1066" s="8" t="str">
        <f t="shared" si="80"/>
        <v>4/1/2025</v>
      </c>
      <c r="J1066" s="8">
        <v>20250201</v>
      </c>
      <c r="K1066" s="8" t="str">
        <f t="shared" si="81"/>
        <v>2/1/2025</v>
      </c>
      <c r="L1066" s="8" t="s">
        <v>198</v>
      </c>
      <c r="M1066" s="8">
        <v>20</v>
      </c>
      <c r="N1066" s="8">
        <v>20</v>
      </c>
      <c r="O1066" s="6" t="s">
        <v>3950</v>
      </c>
    </row>
    <row r="1067" spans="1:15" ht="15" customHeight="1" x14ac:dyDescent="0.2">
      <c r="A1067" s="7" t="s">
        <v>3911</v>
      </c>
      <c r="B1067" s="7">
        <v>20220688</v>
      </c>
      <c r="C1067" s="8">
        <v>1</v>
      </c>
      <c r="D1067" s="8">
        <v>921776567</v>
      </c>
      <c r="E1067" s="8" t="str">
        <f t="shared" si="82"/>
        <v>92177656733</v>
      </c>
      <c r="F1067" s="8" t="s">
        <v>2867</v>
      </c>
      <c r="G1067" s="8">
        <v>1</v>
      </c>
      <c r="H1067" s="8">
        <v>20250401</v>
      </c>
      <c r="I1067" s="8" t="str">
        <f t="shared" si="80"/>
        <v>4/1/2025</v>
      </c>
      <c r="J1067" s="8">
        <v>20250201</v>
      </c>
      <c r="K1067" s="8" t="str">
        <f t="shared" si="81"/>
        <v>2/1/2025</v>
      </c>
      <c r="L1067" s="8" t="s">
        <v>198</v>
      </c>
      <c r="M1067" s="8">
        <v>20</v>
      </c>
      <c r="N1067" s="8">
        <v>20</v>
      </c>
      <c r="O1067" s="6" t="s">
        <v>3950</v>
      </c>
    </row>
    <row r="1068" spans="1:15" ht="15" customHeight="1" x14ac:dyDescent="0.2">
      <c r="A1068" s="7" t="s">
        <v>3911</v>
      </c>
      <c r="B1068" s="7">
        <v>20220688</v>
      </c>
      <c r="C1068" s="8">
        <v>1</v>
      </c>
      <c r="D1068" s="8">
        <v>921776567</v>
      </c>
      <c r="E1068" s="8" t="str">
        <f t="shared" si="82"/>
        <v>92177656733</v>
      </c>
      <c r="F1068" s="8" t="s">
        <v>2867</v>
      </c>
      <c r="G1068" s="8">
        <v>1</v>
      </c>
      <c r="H1068" s="8">
        <v>20250301</v>
      </c>
      <c r="I1068" s="8" t="str">
        <f t="shared" si="80"/>
        <v>3/1/2025</v>
      </c>
      <c r="J1068" s="8">
        <v>20250201</v>
      </c>
      <c r="K1068" s="8" t="str">
        <f t="shared" si="81"/>
        <v>2/1/2025</v>
      </c>
      <c r="L1068" s="8" t="s">
        <v>198</v>
      </c>
      <c r="M1068" s="8">
        <v>20</v>
      </c>
      <c r="N1068" s="8">
        <v>20</v>
      </c>
      <c r="O1068" s="6" t="s">
        <v>3950</v>
      </c>
    </row>
    <row r="1069" spans="1:15" ht="15" customHeight="1" x14ac:dyDescent="0.2">
      <c r="A1069" s="7" t="s">
        <v>3911</v>
      </c>
      <c r="B1069" s="7">
        <v>20220688</v>
      </c>
      <c r="C1069" s="8">
        <v>1</v>
      </c>
      <c r="D1069" s="8">
        <v>921777103</v>
      </c>
      <c r="E1069" s="8" t="str">
        <f t="shared" si="82"/>
        <v>92177710333</v>
      </c>
      <c r="F1069" s="8" t="s">
        <v>2869</v>
      </c>
      <c r="G1069" s="8">
        <v>1</v>
      </c>
      <c r="H1069" s="8">
        <v>20250401</v>
      </c>
      <c r="I1069" s="8" t="str">
        <f t="shared" si="80"/>
        <v>4/1/2025</v>
      </c>
      <c r="J1069" s="8">
        <v>20250301</v>
      </c>
      <c r="K1069" s="8" t="str">
        <f t="shared" si="81"/>
        <v>3/1/2025</v>
      </c>
      <c r="L1069" s="8" t="s">
        <v>198</v>
      </c>
      <c r="M1069" s="8">
        <v>20</v>
      </c>
      <c r="N1069" s="8">
        <v>20</v>
      </c>
      <c r="O1069" s="6" t="s">
        <v>3950</v>
      </c>
    </row>
    <row r="1070" spans="1:15" ht="15" customHeight="1" x14ac:dyDescent="0.2">
      <c r="A1070" s="7" t="s">
        <v>3911</v>
      </c>
      <c r="B1070" s="7">
        <v>20220688</v>
      </c>
      <c r="C1070" s="8">
        <v>1</v>
      </c>
      <c r="D1070" s="8">
        <v>921778415</v>
      </c>
      <c r="E1070" s="8" t="str">
        <f t="shared" si="82"/>
        <v>92177841533</v>
      </c>
      <c r="F1070" s="8" t="s">
        <v>2873</v>
      </c>
      <c r="G1070" s="8">
        <v>1</v>
      </c>
      <c r="H1070" s="8">
        <v>20250401</v>
      </c>
      <c r="I1070" s="8" t="str">
        <f t="shared" si="80"/>
        <v>4/1/2025</v>
      </c>
      <c r="J1070" s="8">
        <v>20250301</v>
      </c>
      <c r="K1070" s="8" t="str">
        <f t="shared" si="81"/>
        <v>3/1/2025</v>
      </c>
      <c r="L1070" s="8" t="s">
        <v>198</v>
      </c>
      <c r="M1070" s="8">
        <v>20</v>
      </c>
      <c r="N1070" s="8">
        <v>20</v>
      </c>
      <c r="O1070" s="6" t="s">
        <v>3950</v>
      </c>
    </row>
    <row r="1071" spans="1:15" ht="15" customHeight="1" x14ac:dyDescent="0.2">
      <c r="A1071" s="7" t="s">
        <v>3911</v>
      </c>
      <c r="B1071" s="7">
        <v>20220688</v>
      </c>
      <c r="C1071" s="8">
        <v>1</v>
      </c>
      <c r="D1071" s="8">
        <v>921778754</v>
      </c>
      <c r="E1071" s="8" t="str">
        <f t="shared" si="82"/>
        <v>92177875433</v>
      </c>
      <c r="F1071" s="8" t="s">
        <v>2875</v>
      </c>
      <c r="G1071" s="8">
        <v>1</v>
      </c>
      <c r="H1071" s="8">
        <v>20250401</v>
      </c>
      <c r="I1071" s="8" t="str">
        <f t="shared" si="80"/>
        <v>4/1/2025</v>
      </c>
      <c r="J1071" s="8">
        <v>20250301</v>
      </c>
      <c r="K1071" s="8" t="str">
        <f t="shared" si="81"/>
        <v>3/1/2025</v>
      </c>
      <c r="L1071" s="8" t="s">
        <v>198</v>
      </c>
      <c r="M1071" s="8">
        <v>20</v>
      </c>
      <c r="N1071" s="8">
        <v>20</v>
      </c>
      <c r="O1071" s="6" t="s">
        <v>3950</v>
      </c>
    </row>
    <row r="1072" spans="1:15" ht="15" customHeight="1" x14ac:dyDescent="0.2">
      <c r="A1072" s="7" t="s">
        <v>3911</v>
      </c>
      <c r="B1072" s="7">
        <v>20220688</v>
      </c>
      <c r="C1072" s="8">
        <v>1</v>
      </c>
      <c r="D1072" s="8">
        <v>921779082</v>
      </c>
      <c r="E1072" s="8" t="str">
        <f t="shared" si="82"/>
        <v>92177908233</v>
      </c>
      <c r="F1072" s="8" t="s">
        <v>2879</v>
      </c>
      <c r="G1072" s="8">
        <v>1</v>
      </c>
      <c r="H1072" s="8">
        <v>20250401</v>
      </c>
      <c r="I1072" s="8" t="str">
        <f t="shared" si="80"/>
        <v>4/1/2025</v>
      </c>
      <c r="J1072" s="8">
        <v>20250301</v>
      </c>
      <c r="K1072" s="8" t="str">
        <f t="shared" si="81"/>
        <v>3/1/2025</v>
      </c>
      <c r="L1072" s="8" t="s">
        <v>198</v>
      </c>
      <c r="M1072" s="8">
        <v>20</v>
      </c>
      <c r="N1072" s="8">
        <v>20</v>
      </c>
      <c r="O1072" s="6" t="s">
        <v>3950</v>
      </c>
    </row>
    <row r="1073" spans="1:16" ht="15" customHeight="1" x14ac:dyDescent="0.2">
      <c r="A1073" s="7" t="s">
        <v>3911</v>
      </c>
      <c r="B1073" s="7">
        <v>20220688</v>
      </c>
      <c r="C1073" s="8">
        <v>2</v>
      </c>
      <c r="D1073" s="8">
        <v>921724517</v>
      </c>
      <c r="E1073" s="8" t="str">
        <f t="shared" si="82"/>
        <v>92172451733</v>
      </c>
      <c r="F1073" s="8" t="s">
        <v>2749</v>
      </c>
      <c r="G1073" s="8">
        <v>1</v>
      </c>
      <c r="H1073" s="8">
        <v>20250401</v>
      </c>
      <c r="I1073" s="8" t="str">
        <f t="shared" si="80"/>
        <v>4/1/2025</v>
      </c>
      <c r="J1073" s="8">
        <v>20240601</v>
      </c>
      <c r="K1073" s="8" t="str">
        <f t="shared" si="81"/>
        <v>6/1/2024</v>
      </c>
      <c r="L1073" s="8" t="s">
        <v>198</v>
      </c>
      <c r="M1073" s="8">
        <v>20</v>
      </c>
      <c r="N1073" s="8">
        <v>40</v>
      </c>
      <c r="O1073" s="6" t="s">
        <v>3950</v>
      </c>
      <c r="P1073" s="6" t="s">
        <v>3952</v>
      </c>
    </row>
    <row r="1074" spans="1:16" ht="15" customHeight="1" x14ac:dyDescent="0.2">
      <c r="A1074" s="7" t="s">
        <v>3911</v>
      </c>
      <c r="B1074" s="7">
        <v>20220688</v>
      </c>
      <c r="C1074" s="8">
        <v>2</v>
      </c>
      <c r="D1074" s="8">
        <v>921735218</v>
      </c>
      <c r="E1074" s="8" t="str">
        <f t="shared" si="82"/>
        <v>92173521833</v>
      </c>
      <c r="F1074" s="8" t="s">
        <v>2751</v>
      </c>
      <c r="G1074" s="8">
        <v>1</v>
      </c>
      <c r="H1074" s="8">
        <v>20250401</v>
      </c>
      <c r="I1074" s="8" t="str">
        <f t="shared" si="80"/>
        <v>4/1/2025</v>
      </c>
      <c r="J1074" s="8">
        <v>20240901</v>
      </c>
      <c r="K1074" s="8" t="str">
        <f t="shared" si="81"/>
        <v>9/1/2024</v>
      </c>
      <c r="L1074" s="8" t="s">
        <v>198</v>
      </c>
      <c r="M1074" s="8">
        <v>20</v>
      </c>
      <c r="N1074" s="8">
        <v>40</v>
      </c>
      <c r="O1074" s="6" t="s">
        <v>3950</v>
      </c>
      <c r="P1074" s="6" t="s">
        <v>3952</v>
      </c>
    </row>
    <row r="1075" spans="1:16" ht="15" customHeight="1" x14ac:dyDescent="0.2">
      <c r="A1075" s="7" t="s">
        <v>3911</v>
      </c>
      <c r="B1075" s="7">
        <v>20220688</v>
      </c>
      <c r="C1075" s="8">
        <v>2</v>
      </c>
      <c r="D1075" s="8">
        <v>921735218</v>
      </c>
      <c r="E1075" s="8" t="str">
        <f t="shared" si="82"/>
        <v>92173521833</v>
      </c>
      <c r="F1075" s="8" t="s">
        <v>2751</v>
      </c>
      <c r="G1075" s="8">
        <v>1</v>
      </c>
      <c r="H1075" s="8">
        <v>20250301</v>
      </c>
      <c r="I1075" s="8" t="str">
        <f t="shared" si="80"/>
        <v>3/1/2025</v>
      </c>
      <c r="J1075" s="8">
        <v>20240901</v>
      </c>
      <c r="K1075" s="8" t="str">
        <f t="shared" si="81"/>
        <v>9/1/2024</v>
      </c>
      <c r="L1075" s="8" t="s">
        <v>198</v>
      </c>
      <c r="M1075" s="8">
        <v>20</v>
      </c>
      <c r="N1075" s="8">
        <v>40</v>
      </c>
      <c r="O1075" s="6" t="s">
        <v>3950</v>
      </c>
      <c r="P1075" s="6" t="s">
        <v>3952</v>
      </c>
    </row>
    <row r="1076" spans="1:16" ht="15" customHeight="1" x14ac:dyDescent="0.2">
      <c r="A1076" s="7" t="s">
        <v>3911</v>
      </c>
      <c r="B1076" s="7">
        <v>20220688</v>
      </c>
      <c r="C1076" s="8">
        <v>2</v>
      </c>
      <c r="D1076" s="8">
        <v>921736594</v>
      </c>
      <c r="E1076" s="8" t="str">
        <f t="shared" si="82"/>
        <v>92173659433</v>
      </c>
      <c r="F1076" s="8" t="s">
        <v>2759</v>
      </c>
      <c r="G1076" s="8">
        <v>1</v>
      </c>
      <c r="H1076" s="8">
        <v>20250401</v>
      </c>
      <c r="I1076" s="8" t="str">
        <f t="shared" si="80"/>
        <v>4/1/2025</v>
      </c>
      <c r="J1076" s="8">
        <v>20240901</v>
      </c>
      <c r="K1076" s="8" t="str">
        <f t="shared" si="81"/>
        <v>9/1/2024</v>
      </c>
      <c r="L1076" s="8" t="s">
        <v>198</v>
      </c>
      <c r="M1076" s="8">
        <v>20</v>
      </c>
      <c r="N1076" s="8">
        <v>40</v>
      </c>
      <c r="O1076" s="6" t="s">
        <v>3950</v>
      </c>
      <c r="P1076" s="6" t="s">
        <v>3952</v>
      </c>
    </row>
    <row r="1077" spans="1:16" ht="15" customHeight="1" x14ac:dyDescent="0.2">
      <c r="A1077" s="7" t="s">
        <v>3911</v>
      </c>
      <c r="B1077" s="7">
        <v>20220688</v>
      </c>
      <c r="C1077" s="8">
        <v>2</v>
      </c>
      <c r="D1077" s="8">
        <v>921739573</v>
      </c>
      <c r="E1077" s="8" t="str">
        <f t="shared" si="82"/>
        <v>92173957333</v>
      </c>
      <c r="F1077" s="8" t="s">
        <v>2765</v>
      </c>
      <c r="G1077" s="8">
        <v>1</v>
      </c>
      <c r="H1077" s="8">
        <v>20250401</v>
      </c>
      <c r="I1077" s="8" t="str">
        <f t="shared" si="80"/>
        <v>4/1/2025</v>
      </c>
      <c r="J1077" s="8">
        <v>20241001</v>
      </c>
      <c r="K1077" s="8" t="str">
        <f t="shared" si="81"/>
        <v>10/1/2024</v>
      </c>
      <c r="L1077" s="8" t="s">
        <v>198</v>
      </c>
      <c r="M1077" s="8">
        <v>20</v>
      </c>
      <c r="N1077" s="8">
        <v>40</v>
      </c>
      <c r="O1077" s="6" t="s">
        <v>3950</v>
      </c>
      <c r="P1077" s="6" t="s">
        <v>3952</v>
      </c>
    </row>
    <row r="1078" spans="1:16" ht="15" customHeight="1" x14ac:dyDescent="0.2">
      <c r="A1078" s="7" t="s">
        <v>3911</v>
      </c>
      <c r="B1078" s="7">
        <v>20220688</v>
      </c>
      <c r="C1078" s="8">
        <v>2</v>
      </c>
      <c r="D1078" s="8">
        <v>921740632</v>
      </c>
      <c r="E1078" s="8" t="str">
        <f t="shared" si="82"/>
        <v>92174063233</v>
      </c>
      <c r="F1078" s="8" t="s">
        <v>2767</v>
      </c>
      <c r="G1078" s="8">
        <v>1</v>
      </c>
      <c r="H1078" s="8">
        <v>20250401</v>
      </c>
      <c r="I1078" s="8" t="str">
        <f t="shared" si="80"/>
        <v>4/1/2025</v>
      </c>
      <c r="J1078" s="8">
        <v>20241001</v>
      </c>
      <c r="K1078" s="8" t="str">
        <f t="shared" si="81"/>
        <v>10/1/2024</v>
      </c>
      <c r="L1078" s="8" t="s">
        <v>198</v>
      </c>
      <c r="M1078" s="8">
        <v>20</v>
      </c>
      <c r="N1078" s="8">
        <v>40</v>
      </c>
      <c r="O1078" s="6" t="s">
        <v>3950</v>
      </c>
      <c r="P1078" s="6" t="s">
        <v>3952</v>
      </c>
    </row>
    <row r="1079" spans="1:16" ht="15" customHeight="1" x14ac:dyDescent="0.2">
      <c r="A1079" s="7" t="s">
        <v>3911</v>
      </c>
      <c r="B1079" s="7">
        <v>20220688</v>
      </c>
      <c r="C1079" s="8">
        <v>2</v>
      </c>
      <c r="D1079" s="8">
        <v>921742014</v>
      </c>
      <c r="E1079" s="8" t="str">
        <f t="shared" si="82"/>
        <v>92174201433</v>
      </c>
      <c r="F1079" s="8" t="s">
        <v>2769</v>
      </c>
      <c r="G1079" s="8">
        <v>1</v>
      </c>
      <c r="H1079" s="8">
        <v>20250401</v>
      </c>
      <c r="I1079" s="8" t="str">
        <f t="shared" si="80"/>
        <v>4/1/2025</v>
      </c>
      <c r="J1079" s="8">
        <v>20241001</v>
      </c>
      <c r="K1079" s="8" t="str">
        <f t="shared" si="81"/>
        <v>10/1/2024</v>
      </c>
      <c r="L1079" s="8" t="s">
        <v>198</v>
      </c>
      <c r="M1079" s="8">
        <v>20</v>
      </c>
      <c r="N1079" s="8">
        <v>40</v>
      </c>
      <c r="O1079" s="6" t="s">
        <v>3950</v>
      </c>
      <c r="P1079" s="6" t="s">
        <v>3952</v>
      </c>
    </row>
    <row r="1080" spans="1:16" ht="15" customHeight="1" x14ac:dyDescent="0.2">
      <c r="A1080" s="7" t="s">
        <v>3911</v>
      </c>
      <c r="B1080" s="7">
        <v>20220688</v>
      </c>
      <c r="C1080" s="8">
        <v>2</v>
      </c>
      <c r="D1080" s="8">
        <v>921744568</v>
      </c>
      <c r="E1080" s="8" t="str">
        <f t="shared" si="82"/>
        <v>92174456833</v>
      </c>
      <c r="F1080" s="8" t="s">
        <v>2771</v>
      </c>
      <c r="G1080" s="8">
        <v>1</v>
      </c>
      <c r="H1080" s="8">
        <v>20250401</v>
      </c>
      <c r="I1080" s="8" t="str">
        <f t="shared" si="80"/>
        <v>4/1/2025</v>
      </c>
      <c r="J1080" s="8">
        <v>20250101</v>
      </c>
      <c r="K1080" s="8" t="str">
        <f t="shared" si="81"/>
        <v>1/1/2025</v>
      </c>
      <c r="L1080" s="8" t="s">
        <v>198</v>
      </c>
      <c r="M1080" s="8">
        <v>20</v>
      </c>
      <c r="N1080" s="8">
        <v>40</v>
      </c>
      <c r="O1080" s="6" t="s">
        <v>3950</v>
      </c>
      <c r="P1080" s="6" t="s">
        <v>3952</v>
      </c>
    </row>
    <row r="1081" spans="1:16" ht="15" customHeight="1" x14ac:dyDescent="0.2">
      <c r="A1081" s="7" t="s">
        <v>3911</v>
      </c>
      <c r="B1081" s="7">
        <v>20220688</v>
      </c>
      <c r="C1081" s="8">
        <v>2</v>
      </c>
      <c r="D1081" s="8">
        <v>921744861</v>
      </c>
      <c r="E1081" s="8" t="str">
        <f t="shared" si="82"/>
        <v>92174486133</v>
      </c>
      <c r="F1081" s="8" t="s">
        <v>2773</v>
      </c>
      <c r="G1081" s="8">
        <v>1</v>
      </c>
      <c r="H1081" s="8">
        <v>20250401</v>
      </c>
      <c r="I1081" s="8" t="str">
        <f t="shared" si="80"/>
        <v>4/1/2025</v>
      </c>
      <c r="J1081" s="8">
        <v>20250101</v>
      </c>
      <c r="K1081" s="8" t="str">
        <f t="shared" si="81"/>
        <v>1/1/2025</v>
      </c>
      <c r="L1081" s="8" t="s">
        <v>198</v>
      </c>
      <c r="M1081" s="8">
        <v>20</v>
      </c>
      <c r="N1081" s="8">
        <v>40</v>
      </c>
      <c r="O1081" s="6" t="s">
        <v>3950</v>
      </c>
      <c r="P1081" s="6" t="s">
        <v>3952</v>
      </c>
    </row>
    <row r="1082" spans="1:16" ht="15" customHeight="1" x14ac:dyDescent="0.2">
      <c r="A1082" s="7" t="s">
        <v>3911</v>
      </c>
      <c r="B1082" s="7">
        <v>20220688</v>
      </c>
      <c r="C1082" s="8">
        <v>2</v>
      </c>
      <c r="D1082" s="8">
        <v>921745067</v>
      </c>
      <c r="E1082" s="8" t="str">
        <f t="shared" si="82"/>
        <v>92174506733</v>
      </c>
      <c r="F1082" s="8" t="s">
        <v>2775</v>
      </c>
      <c r="G1082" s="8">
        <v>1</v>
      </c>
      <c r="H1082" s="8">
        <v>20250401</v>
      </c>
      <c r="I1082" s="8" t="str">
        <f t="shared" si="80"/>
        <v>4/1/2025</v>
      </c>
      <c r="J1082" s="8">
        <v>20250101</v>
      </c>
      <c r="K1082" s="8" t="str">
        <f t="shared" si="81"/>
        <v>1/1/2025</v>
      </c>
      <c r="L1082" s="8" t="s">
        <v>198</v>
      </c>
      <c r="M1082" s="8">
        <v>20</v>
      </c>
      <c r="N1082" s="8">
        <v>40</v>
      </c>
      <c r="O1082" s="6" t="s">
        <v>3950</v>
      </c>
      <c r="P1082" s="6" t="s">
        <v>3952</v>
      </c>
    </row>
    <row r="1083" spans="1:16" ht="15" customHeight="1" x14ac:dyDescent="0.2">
      <c r="A1083" s="7" t="s">
        <v>3911</v>
      </c>
      <c r="B1083" s="7">
        <v>20220688</v>
      </c>
      <c r="C1083" s="8">
        <v>2</v>
      </c>
      <c r="D1083" s="8">
        <v>921747344</v>
      </c>
      <c r="E1083" s="8" t="str">
        <f t="shared" si="82"/>
        <v>92174734433</v>
      </c>
      <c r="F1083" s="8" t="s">
        <v>2789</v>
      </c>
      <c r="G1083" s="8">
        <v>1</v>
      </c>
      <c r="H1083" s="8">
        <v>20250401</v>
      </c>
      <c r="I1083" s="8" t="str">
        <f t="shared" si="80"/>
        <v>4/1/2025</v>
      </c>
      <c r="J1083" s="8">
        <v>20250101</v>
      </c>
      <c r="K1083" s="8" t="str">
        <f t="shared" si="81"/>
        <v>1/1/2025</v>
      </c>
      <c r="L1083" s="8" t="s">
        <v>198</v>
      </c>
      <c r="M1083" s="8">
        <v>20</v>
      </c>
      <c r="N1083" s="8">
        <v>40</v>
      </c>
      <c r="O1083" s="6" t="s">
        <v>3950</v>
      </c>
      <c r="P1083" s="6" t="s">
        <v>3952</v>
      </c>
    </row>
    <row r="1084" spans="1:16" ht="15" customHeight="1" x14ac:dyDescent="0.2">
      <c r="A1084" s="7" t="s">
        <v>3911</v>
      </c>
      <c r="B1084" s="7">
        <v>20220688</v>
      </c>
      <c r="C1084" s="8">
        <v>2</v>
      </c>
      <c r="D1084" s="8">
        <v>921748447</v>
      </c>
      <c r="E1084" s="8" t="str">
        <f t="shared" si="82"/>
        <v>92174844733</v>
      </c>
      <c r="F1084" s="8" t="s">
        <v>2799</v>
      </c>
      <c r="G1084" s="8">
        <v>1</v>
      </c>
      <c r="H1084" s="8">
        <v>20250401</v>
      </c>
      <c r="I1084" s="8" t="str">
        <f t="shared" si="80"/>
        <v>4/1/2025</v>
      </c>
      <c r="J1084" s="8">
        <v>20250101</v>
      </c>
      <c r="K1084" s="8" t="str">
        <f t="shared" si="81"/>
        <v>1/1/2025</v>
      </c>
      <c r="L1084" s="8" t="s">
        <v>198</v>
      </c>
      <c r="M1084" s="8">
        <v>20</v>
      </c>
      <c r="N1084" s="8">
        <v>40</v>
      </c>
      <c r="O1084" s="6" t="s">
        <v>3950</v>
      </c>
      <c r="P1084" s="6" t="s">
        <v>3952</v>
      </c>
    </row>
    <row r="1085" spans="1:16" ht="15" customHeight="1" x14ac:dyDescent="0.2">
      <c r="A1085" s="7" t="s">
        <v>3911</v>
      </c>
      <c r="B1085" s="7">
        <v>20220688</v>
      </c>
      <c r="C1085" s="8">
        <v>2</v>
      </c>
      <c r="D1085" s="8">
        <v>921748847</v>
      </c>
      <c r="E1085" s="8" t="str">
        <f t="shared" si="82"/>
        <v>92174884733</v>
      </c>
      <c r="F1085" s="8" t="s">
        <v>2805</v>
      </c>
      <c r="G1085" s="8">
        <v>1</v>
      </c>
      <c r="H1085" s="8">
        <v>20250401</v>
      </c>
      <c r="I1085" s="8" t="str">
        <f t="shared" si="80"/>
        <v>4/1/2025</v>
      </c>
      <c r="J1085" s="8">
        <v>20250101</v>
      </c>
      <c r="K1085" s="8" t="str">
        <f t="shared" si="81"/>
        <v>1/1/2025</v>
      </c>
      <c r="L1085" s="8" t="s">
        <v>198</v>
      </c>
      <c r="M1085" s="8">
        <v>20</v>
      </c>
      <c r="N1085" s="8">
        <v>40</v>
      </c>
      <c r="O1085" s="6" t="s">
        <v>3950</v>
      </c>
      <c r="P1085" s="6" t="s">
        <v>3952</v>
      </c>
    </row>
    <row r="1086" spans="1:16" ht="15" customHeight="1" x14ac:dyDescent="0.2">
      <c r="A1086" s="7" t="s">
        <v>3911</v>
      </c>
      <c r="B1086" s="7">
        <v>20220688</v>
      </c>
      <c r="C1086" s="8">
        <v>2</v>
      </c>
      <c r="D1086" s="8">
        <v>921750291</v>
      </c>
      <c r="E1086" s="8" t="str">
        <f t="shared" ref="E1086:E1098" si="83">CONCATENATE(D1086,33)</f>
        <v>92175029133</v>
      </c>
      <c r="F1086" s="8" t="s">
        <v>2813</v>
      </c>
      <c r="G1086" s="8">
        <v>1</v>
      </c>
      <c r="H1086" s="8">
        <v>20250401</v>
      </c>
      <c r="I1086" s="8" t="str">
        <f t="shared" si="80"/>
        <v>4/1/2025</v>
      </c>
      <c r="J1086" s="8">
        <v>20250101</v>
      </c>
      <c r="K1086" s="8" t="str">
        <f t="shared" si="81"/>
        <v>1/1/2025</v>
      </c>
      <c r="L1086" s="8" t="s">
        <v>198</v>
      </c>
      <c r="M1086" s="8">
        <v>20</v>
      </c>
      <c r="N1086" s="8">
        <v>40</v>
      </c>
      <c r="O1086" s="6" t="s">
        <v>3950</v>
      </c>
      <c r="P1086" s="6" t="s">
        <v>3952</v>
      </c>
    </row>
    <row r="1087" spans="1:16" ht="15" customHeight="1" x14ac:dyDescent="0.2">
      <c r="A1087" s="7" t="s">
        <v>3911</v>
      </c>
      <c r="B1087" s="7">
        <v>20220688</v>
      </c>
      <c r="C1087" s="8">
        <v>2</v>
      </c>
      <c r="D1087" s="8">
        <v>921751082</v>
      </c>
      <c r="E1087" s="8" t="str">
        <f t="shared" si="83"/>
        <v>92175108233</v>
      </c>
      <c r="F1087" s="8" t="s">
        <v>2819</v>
      </c>
      <c r="G1087" s="8">
        <v>1</v>
      </c>
      <c r="H1087" s="8">
        <v>20250401</v>
      </c>
      <c r="I1087" s="8" t="str">
        <f t="shared" si="80"/>
        <v>4/1/2025</v>
      </c>
      <c r="J1087" s="8">
        <v>20250101</v>
      </c>
      <c r="K1087" s="8" t="str">
        <f t="shared" si="81"/>
        <v>1/1/2025</v>
      </c>
      <c r="L1087" s="8" t="s">
        <v>198</v>
      </c>
      <c r="M1087" s="8">
        <v>20</v>
      </c>
      <c r="N1087" s="8">
        <v>40</v>
      </c>
      <c r="O1087" s="6" t="s">
        <v>3950</v>
      </c>
      <c r="P1087" s="6" t="s">
        <v>3952</v>
      </c>
    </row>
    <row r="1088" spans="1:16" ht="15" customHeight="1" x14ac:dyDescent="0.2">
      <c r="A1088" s="7" t="s">
        <v>3911</v>
      </c>
      <c r="B1088" s="7">
        <v>20220688</v>
      </c>
      <c r="C1088" s="8">
        <v>2</v>
      </c>
      <c r="D1088" s="8">
        <v>921752531</v>
      </c>
      <c r="E1088" s="8" t="str">
        <f t="shared" si="83"/>
        <v>92175253133</v>
      </c>
      <c r="F1088" s="8" t="s">
        <v>2829</v>
      </c>
      <c r="G1088" s="8">
        <v>1</v>
      </c>
      <c r="H1088" s="8">
        <v>20250401</v>
      </c>
      <c r="I1088" s="8" t="str">
        <f t="shared" si="80"/>
        <v>4/1/2025</v>
      </c>
      <c r="J1088" s="8">
        <v>20250101</v>
      </c>
      <c r="K1088" s="8" t="str">
        <f t="shared" si="81"/>
        <v>1/1/2025</v>
      </c>
      <c r="L1088" s="8" t="s">
        <v>198</v>
      </c>
      <c r="M1088" s="8">
        <v>20</v>
      </c>
      <c r="N1088" s="8">
        <v>40</v>
      </c>
      <c r="O1088" s="6" t="s">
        <v>3950</v>
      </c>
      <c r="P1088" s="6" t="s">
        <v>3952</v>
      </c>
    </row>
    <row r="1089" spans="1:16" ht="15" customHeight="1" x14ac:dyDescent="0.2">
      <c r="A1089" s="7" t="s">
        <v>3911</v>
      </c>
      <c r="B1089" s="7">
        <v>20220688</v>
      </c>
      <c r="C1089" s="8">
        <v>2</v>
      </c>
      <c r="D1089" s="8">
        <v>921753994</v>
      </c>
      <c r="E1089" s="8" t="str">
        <f t="shared" si="83"/>
        <v>92175399433</v>
      </c>
      <c r="F1089" s="8" t="s">
        <v>2831</v>
      </c>
      <c r="G1089" s="8">
        <v>1</v>
      </c>
      <c r="H1089" s="8">
        <v>20250401</v>
      </c>
      <c r="I1089" s="8" t="str">
        <f t="shared" si="80"/>
        <v>4/1/2025</v>
      </c>
      <c r="J1089" s="8">
        <v>20250101</v>
      </c>
      <c r="K1089" s="8" t="str">
        <f t="shared" si="81"/>
        <v>1/1/2025</v>
      </c>
      <c r="L1089" s="8" t="s">
        <v>198</v>
      </c>
      <c r="M1089" s="8">
        <v>20</v>
      </c>
      <c r="N1089" s="8">
        <v>40</v>
      </c>
      <c r="O1089" s="6" t="s">
        <v>3950</v>
      </c>
      <c r="P1089" s="6" t="s">
        <v>3952</v>
      </c>
    </row>
    <row r="1090" spans="1:16" ht="15" customHeight="1" x14ac:dyDescent="0.2">
      <c r="A1090" s="7" t="s">
        <v>3911</v>
      </c>
      <c r="B1090" s="7">
        <v>20220688</v>
      </c>
      <c r="C1090" s="8">
        <v>2</v>
      </c>
      <c r="D1090" s="8">
        <v>921755395</v>
      </c>
      <c r="E1090" s="8" t="str">
        <f t="shared" si="83"/>
        <v>92175539533</v>
      </c>
      <c r="F1090" s="8" t="s">
        <v>2835</v>
      </c>
      <c r="G1090" s="8">
        <v>1</v>
      </c>
      <c r="H1090" s="8">
        <v>20250401</v>
      </c>
      <c r="I1090" s="8" t="str">
        <f t="shared" si="80"/>
        <v>4/1/2025</v>
      </c>
      <c r="J1090" s="8">
        <v>20250101</v>
      </c>
      <c r="K1090" s="8" t="str">
        <f t="shared" si="81"/>
        <v>1/1/2025</v>
      </c>
      <c r="L1090" s="8" t="s">
        <v>198</v>
      </c>
      <c r="M1090" s="8">
        <v>20</v>
      </c>
      <c r="N1090" s="8">
        <v>40</v>
      </c>
      <c r="O1090" s="6" t="s">
        <v>3950</v>
      </c>
      <c r="P1090" s="6" t="s">
        <v>3952</v>
      </c>
    </row>
    <row r="1091" spans="1:16" ht="15" customHeight="1" x14ac:dyDescent="0.2">
      <c r="A1091" s="7" t="s">
        <v>3911</v>
      </c>
      <c r="B1091" s="7">
        <v>20220688</v>
      </c>
      <c r="C1091" s="8">
        <v>2</v>
      </c>
      <c r="D1091" s="8">
        <v>921760507</v>
      </c>
      <c r="E1091" s="8" t="str">
        <f t="shared" si="83"/>
        <v>92176050733</v>
      </c>
      <c r="F1091" s="8" t="s">
        <v>2845</v>
      </c>
      <c r="G1091" s="8">
        <v>1</v>
      </c>
      <c r="H1091" s="8">
        <v>20250401</v>
      </c>
      <c r="I1091" s="8" t="str">
        <f t="shared" ref="I1091:I1154" si="84">TEXT(DATE(LEFT(H1091,4), MID(H1091,5,2), RIGHT(H1091,2)), "M/d/yyyy")</f>
        <v>4/1/2025</v>
      </c>
      <c r="J1091" s="8">
        <v>20250101</v>
      </c>
      <c r="K1091" s="8" t="str">
        <f t="shared" ref="K1091:K1154" si="85">TEXT(DATE(LEFT(J1091,4), MID(J1091,5,2), RIGHT(J1091,2)), "M/d/yyyy")</f>
        <v>1/1/2025</v>
      </c>
      <c r="L1091" s="8" t="s">
        <v>198</v>
      </c>
      <c r="M1091" s="8">
        <v>20</v>
      </c>
      <c r="N1091" s="8">
        <v>40</v>
      </c>
      <c r="O1091" s="6" t="s">
        <v>3950</v>
      </c>
      <c r="P1091" s="6" t="s">
        <v>3952</v>
      </c>
    </row>
    <row r="1092" spans="1:16" ht="15" customHeight="1" x14ac:dyDescent="0.2">
      <c r="A1092" s="7" t="s">
        <v>3911</v>
      </c>
      <c r="B1092" s="7">
        <v>20220688</v>
      </c>
      <c r="C1092" s="8">
        <v>2</v>
      </c>
      <c r="D1092" s="8">
        <v>921761622</v>
      </c>
      <c r="E1092" s="8" t="str">
        <f t="shared" si="83"/>
        <v>92176162233</v>
      </c>
      <c r="F1092" s="8" t="s">
        <v>2849</v>
      </c>
      <c r="G1092" s="8">
        <v>1</v>
      </c>
      <c r="H1092" s="8">
        <v>20250401</v>
      </c>
      <c r="I1092" s="8" t="str">
        <f t="shared" si="84"/>
        <v>4/1/2025</v>
      </c>
      <c r="J1092" s="8">
        <v>20250101</v>
      </c>
      <c r="K1092" s="8" t="str">
        <f t="shared" si="85"/>
        <v>1/1/2025</v>
      </c>
      <c r="L1092" s="8" t="s">
        <v>198</v>
      </c>
      <c r="M1092" s="8">
        <v>20</v>
      </c>
      <c r="N1092" s="8">
        <v>40</v>
      </c>
      <c r="O1092" s="6" t="s">
        <v>3950</v>
      </c>
      <c r="P1092" s="6" t="s">
        <v>3952</v>
      </c>
    </row>
    <row r="1093" spans="1:16" ht="15" customHeight="1" x14ac:dyDescent="0.2">
      <c r="A1093" s="7" t="s">
        <v>3911</v>
      </c>
      <c r="B1093" s="7">
        <v>20220688</v>
      </c>
      <c r="C1093" s="8">
        <v>2</v>
      </c>
      <c r="D1093" s="8">
        <v>921768673</v>
      </c>
      <c r="E1093" s="8" t="str">
        <f t="shared" si="83"/>
        <v>92176867333</v>
      </c>
      <c r="F1093" s="8" t="s">
        <v>2859</v>
      </c>
      <c r="G1093" s="8">
        <v>1</v>
      </c>
      <c r="H1093" s="8">
        <v>20250401</v>
      </c>
      <c r="I1093" s="8" t="str">
        <f t="shared" si="84"/>
        <v>4/1/2025</v>
      </c>
      <c r="J1093" s="8">
        <v>20250201</v>
      </c>
      <c r="K1093" s="8" t="str">
        <f t="shared" si="85"/>
        <v>2/1/2025</v>
      </c>
      <c r="L1093" s="8" t="s">
        <v>198</v>
      </c>
      <c r="M1093" s="8">
        <v>20</v>
      </c>
      <c r="N1093" s="8">
        <v>40</v>
      </c>
      <c r="O1093" s="6" t="s">
        <v>3950</v>
      </c>
      <c r="P1093" s="6" t="s">
        <v>3952</v>
      </c>
    </row>
    <row r="1094" spans="1:16" ht="15" customHeight="1" x14ac:dyDescent="0.2">
      <c r="A1094" s="7" t="s">
        <v>3911</v>
      </c>
      <c r="B1094" s="7">
        <v>20220688</v>
      </c>
      <c r="C1094" s="8">
        <v>2</v>
      </c>
      <c r="D1094" s="8">
        <v>921771418</v>
      </c>
      <c r="E1094" s="8" t="str">
        <f t="shared" si="83"/>
        <v>92177141833</v>
      </c>
      <c r="F1094" s="8" t="s">
        <v>2865</v>
      </c>
      <c r="G1094" s="8">
        <v>1</v>
      </c>
      <c r="H1094" s="8">
        <v>20250401</v>
      </c>
      <c r="I1094" s="8" t="str">
        <f t="shared" si="84"/>
        <v>4/1/2025</v>
      </c>
      <c r="J1094" s="8">
        <v>20250201</v>
      </c>
      <c r="K1094" s="8" t="str">
        <f t="shared" si="85"/>
        <v>2/1/2025</v>
      </c>
      <c r="L1094" s="8" t="s">
        <v>198</v>
      </c>
      <c r="M1094" s="8">
        <v>20</v>
      </c>
      <c r="N1094" s="8">
        <v>40</v>
      </c>
      <c r="O1094" s="6" t="s">
        <v>3950</v>
      </c>
      <c r="P1094" s="6" t="s">
        <v>3952</v>
      </c>
    </row>
    <row r="1095" spans="1:16" ht="15" customHeight="1" x14ac:dyDescent="0.2">
      <c r="A1095" s="7" t="s">
        <v>3911</v>
      </c>
      <c r="B1095" s="7">
        <v>20220688</v>
      </c>
      <c r="C1095" s="8">
        <v>2</v>
      </c>
      <c r="D1095" s="8">
        <v>921777265</v>
      </c>
      <c r="E1095" s="8" t="str">
        <f t="shared" si="83"/>
        <v>92177726533</v>
      </c>
      <c r="F1095" s="8" t="s">
        <v>2871</v>
      </c>
      <c r="G1095" s="8">
        <v>1</v>
      </c>
      <c r="H1095" s="8">
        <v>20250401</v>
      </c>
      <c r="I1095" s="8" t="str">
        <f t="shared" si="84"/>
        <v>4/1/2025</v>
      </c>
      <c r="J1095" s="8">
        <v>20250301</v>
      </c>
      <c r="K1095" s="8" t="str">
        <f t="shared" si="85"/>
        <v>3/1/2025</v>
      </c>
      <c r="L1095" s="8" t="s">
        <v>198</v>
      </c>
      <c r="M1095" s="8">
        <v>20</v>
      </c>
      <c r="N1095" s="8">
        <v>40</v>
      </c>
      <c r="O1095" s="6" t="s">
        <v>3950</v>
      </c>
      <c r="P1095" s="6" t="s">
        <v>3952</v>
      </c>
    </row>
    <row r="1096" spans="1:16" ht="15" customHeight="1" x14ac:dyDescent="0.2">
      <c r="A1096" s="7" t="s">
        <v>3911</v>
      </c>
      <c r="B1096" s="7">
        <v>20220688</v>
      </c>
      <c r="C1096" s="8">
        <v>2</v>
      </c>
      <c r="D1096" s="8">
        <v>921778993</v>
      </c>
      <c r="E1096" s="8" t="str">
        <f t="shared" si="83"/>
        <v>92177899333</v>
      </c>
      <c r="F1096" s="8" t="s">
        <v>2877</v>
      </c>
      <c r="G1096" s="8">
        <v>1</v>
      </c>
      <c r="H1096" s="8">
        <v>20250401</v>
      </c>
      <c r="I1096" s="8" t="str">
        <f t="shared" si="84"/>
        <v>4/1/2025</v>
      </c>
      <c r="J1096" s="8">
        <v>20250301</v>
      </c>
      <c r="K1096" s="8" t="str">
        <f t="shared" si="85"/>
        <v>3/1/2025</v>
      </c>
      <c r="L1096" s="8" t="s">
        <v>198</v>
      </c>
      <c r="M1096" s="8">
        <v>20</v>
      </c>
      <c r="N1096" s="8">
        <v>40</v>
      </c>
      <c r="O1096" s="6" t="s">
        <v>3950</v>
      </c>
      <c r="P1096" s="6" t="s">
        <v>3952</v>
      </c>
    </row>
    <row r="1097" spans="1:16" ht="15" customHeight="1" x14ac:dyDescent="0.2">
      <c r="A1097" s="7" t="s">
        <v>3911</v>
      </c>
      <c r="B1097" s="7">
        <v>20220688</v>
      </c>
      <c r="C1097" s="8">
        <v>3</v>
      </c>
      <c r="D1097" s="8">
        <v>921754199</v>
      </c>
      <c r="E1097" s="8" t="str">
        <f t="shared" si="83"/>
        <v>92175419933</v>
      </c>
      <c r="F1097" s="8" t="s">
        <v>2833</v>
      </c>
      <c r="G1097" s="8">
        <v>1</v>
      </c>
      <c r="H1097" s="8">
        <v>20250401</v>
      </c>
      <c r="I1097" s="8" t="str">
        <f t="shared" si="84"/>
        <v>4/1/2025</v>
      </c>
      <c r="J1097" s="8">
        <v>20250101</v>
      </c>
      <c r="K1097" s="8" t="str">
        <f t="shared" si="85"/>
        <v>1/1/2025</v>
      </c>
      <c r="L1097" s="8" t="s">
        <v>198</v>
      </c>
      <c r="M1097" s="8">
        <v>20</v>
      </c>
      <c r="N1097" s="8">
        <v>60</v>
      </c>
      <c r="O1097" s="6" t="s">
        <v>3950</v>
      </c>
      <c r="P1097" s="6" t="s">
        <v>3953</v>
      </c>
    </row>
    <row r="1098" spans="1:16" ht="15" customHeight="1" x14ac:dyDescent="0.2">
      <c r="A1098" s="7" t="s">
        <v>3911</v>
      </c>
      <c r="B1098" s="7">
        <v>20220688</v>
      </c>
      <c r="C1098" s="6">
        <v>-1</v>
      </c>
      <c r="D1098" s="8">
        <v>921751638</v>
      </c>
      <c r="E1098" s="8" t="str">
        <f t="shared" si="83"/>
        <v>92175163833</v>
      </c>
      <c r="F1098" s="8" t="s">
        <v>2821</v>
      </c>
      <c r="G1098" s="8">
        <v>-1</v>
      </c>
      <c r="H1098" s="8">
        <v>20250301</v>
      </c>
      <c r="I1098" s="8" t="str">
        <f t="shared" si="84"/>
        <v>3/1/2025</v>
      </c>
      <c r="J1098" s="8">
        <v>20250101</v>
      </c>
      <c r="K1098" s="8" t="str">
        <f t="shared" si="85"/>
        <v>1/1/2025</v>
      </c>
      <c r="L1098" s="8" t="s">
        <v>198</v>
      </c>
      <c r="M1098" s="8">
        <v>20</v>
      </c>
      <c r="N1098" s="8">
        <v>-40</v>
      </c>
      <c r="O1098" s="6" t="s">
        <v>3950</v>
      </c>
      <c r="P1098" s="6" t="s">
        <v>3952</v>
      </c>
    </row>
    <row r="1099" spans="1:16" ht="15" customHeight="1" x14ac:dyDescent="0.3">
      <c r="A1099" s="7" t="s">
        <v>3911</v>
      </c>
      <c r="B1099" s="7">
        <v>20220688</v>
      </c>
      <c r="C1099" s="8">
        <v>1</v>
      </c>
      <c r="D1099" s="8">
        <v>921675701</v>
      </c>
      <c r="E1099" s="8" t="str">
        <f t="shared" ref="E1099:E1105" si="86">CONCATENATE(D1099,44)</f>
        <v>92167570144</v>
      </c>
      <c r="F1099" s="8" t="s">
        <v>2729</v>
      </c>
      <c r="G1099" s="8">
        <v>1</v>
      </c>
      <c r="H1099" s="8">
        <v>20250401</v>
      </c>
      <c r="I1099" s="8" t="str">
        <f t="shared" si="84"/>
        <v>4/1/2025</v>
      </c>
      <c r="J1099" s="8">
        <v>20231101</v>
      </c>
      <c r="K1099" s="8" t="str">
        <f t="shared" si="85"/>
        <v>11/1/2023</v>
      </c>
      <c r="L1099" s="8" t="s">
        <v>65</v>
      </c>
      <c r="M1099" s="8">
        <v>25</v>
      </c>
      <c r="N1099" s="8">
        <v>25</v>
      </c>
      <c r="O1099" s="14" t="s">
        <v>3948</v>
      </c>
    </row>
    <row r="1100" spans="1:16" ht="15" customHeight="1" x14ac:dyDescent="0.3">
      <c r="A1100" s="7" t="s">
        <v>3911</v>
      </c>
      <c r="B1100" s="7">
        <v>20220688</v>
      </c>
      <c r="C1100" s="8">
        <v>1</v>
      </c>
      <c r="D1100" s="8">
        <v>921709712</v>
      </c>
      <c r="E1100" s="8" t="str">
        <f t="shared" si="86"/>
        <v>92170971244</v>
      </c>
      <c r="F1100" s="8" t="s">
        <v>2743</v>
      </c>
      <c r="G1100" s="8">
        <v>1</v>
      </c>
      <c r="H1100" s="8">
        <v>20250401</v>
      </c>
      <c r="I1100" s="8" t="str">
        <f t="shared" si="84"/>
        <v>4/1/2025</v>
      </c>
      <c r="J1100" s="8">
        <v>20240201</v>
      </c>
      <c r="K1100" s="8" t="str">
        <f t="shared" si="85"/>
        <v>2/1/2024</v>
      </c>
      <c r="L1100" s="8" t="s">
        <v>65</v>
      </c>
      <c r="M1100" s="8">
        <v>25</v>
      </c>
      <c r="N1100" s="8">
        <v>25</v>
      </c>
      <c r="O1100" s="14" t="s">
        <v>3948</v>
      </c>
    </row>
    <row r="1101" spans="1:16" ht="15" customHeight="1" x14ac:dyDescent="0.3">
      <c r="A1101" s="7" t="s">
        <v>3911</v>
      </c>
      <c r="B1101" s="7">
        <v>20220688</v>
      </c>
      <c r="C1101" s="8">
        <v>1</v>
      </c>
      <c r="D1101" s="8">
        <v>921722448</v>
      </c>
      <c r="E1101" s="8" t="str">
        <f t="shared" si="86"/>
        <v>92172244844</v>
      </c>
      <c r="F1101" s="8" t="s">
        <v>2745</v>
      </c>
      <c r="G1101" s="8">
        <v>1</v>
      </c>
      <c r="H1101" s="8">
        <v>20250401</v>
      </c>
      <c r="I1101" s="8" t="str">
        <f t="shared" si="84"/>
        <v>4/1/2025</v>
      </c>
      <c r="J1101" s="8">
        <v>20240501</v>
      </c>
      <c r="K1101" s="8" t="str">
        <f t="shared" si="85"/>
        <v>5/1/2024</v>
      </c>
      <c r="L1101" s="8" t="s">
        <v>65</v>
      </c>
      <c r="M1101" s="8">
        <v>30</v>
      </c>
      <c r="N1101" s="8">
        <v>30</v>
      </c>
      <c r="O1101" s="14" t="s">
        <v>3948</v>
      </c>
    </row>
    <row r="1102" spans="1:16" ht="15" customHeight="1" x14ac:dyDescent="0.3">
      <c r="A1102" s="7" t="s">
        <v>3911</v>
      </c>
      <c r="B1102" s="7">
        <v>20220688</v>
      </c>
      <c r="C1102" s="8">
        <v>1</v>
      </c>
      <c r="D1102" s="8">
        <v>921735619</v>
      </c>
      <c r="E1102" s="8" t="str">
        <f t="shared" si="86"/>
        <v>92173561944</v>
      </c>
      <c r="F1102" s="8" t="s">
        <v>2753</v>
      </c>
      <c r="G1102" s="8">
        <v>1</v>
      </c>
      <c r="H1102" s="8">
        <v>20250401</v>
      </c>
      <c r="I1102" s="8" t="str">
        <f t="shared" si="84"/>
        <v>4/1/2025</v>
      </c>
      <c r="J1102" s="8">
        <v>20240901</v>
      </c>
      <c r="K1102" s="8" t="str">
        <f t="shared" si="85"/>
        <v>9/1/2024</v>
      </c>
      <c r="L1102" s="8" t="s">
        <v>65</v>
      </c>
      <c r="M1102" s="8">
        <v>30</v>
      </c>
      <c r="N1102" s="8">
        <v>30</v>
      </c>
      <c r="O1102" s="14" t="s">
        <v>3948</v>
      </c>
    </row>
    <row r="1103" spans="1:16" ht="15" customHeight="1" x14ac:dyDescent="0.3">
      <c r="A1103" s="7" t="s">
        <v>3911</v>
      </c>
      <c r="B1103" s="7">
        <v>20220688</v>
      </c>
      <c r="C1103" s="8">
        <v>1</v>
      </c>
      <c r="D1103" s="8">
        <v>921738996</v>
      </c>
      <c r="E1103" s="8" t="str">
        <f t="shared" si="86"/>
        <v>92173899644</v>
      </c>
      <c r="F1103" s="8" t="s">
        <v>2763</v>
      </c>
      <c r="G1103" s="8">
        <v>1</v>
      </c>
      <c r="H1103" s="8">
        <v>20250401</v>
      </c>
      <c r="I1103" s="8" t="str">
        <f t="shared" si="84"/>
        <v>4/1/2025</v>
      </c>
      <c r="J1103" s="8">
        <v>20241001</v>
      </c>
      <c r="K1103" s="8" t="str">
        <f t="shared" si="85"/>
        <v>10/1/2024</v>
      </c>
      <c r="L1103" s="8" t="s">
        <v>65</v>
      </c>
      <c r="M1103" s="8">
        <v>30</v>
      </c>
      <c r="N1103" s="8">
        <v>30</v>
      </c>
      <c r="O1103" s="14" t="s">
        <v>3948</v>
      </c>
    </row>
    <row r="1104" spans="1:16" ht="15" customHeight="1" x14ac:dyDescent="0.3">
      <c r="A1104" s="7" t="s">
        <v>3911</v>
      </c>
      <c r="B1104" s="7">
        <v>20220688</v>
      </c>
      <c r="C1104" s="8">
        <v>1</v>
      </c>
      <c r="D1104" s="8">
        <v>921747266</v>
      </c>
      <c r="E1104" s="8" t="str">
        <f t="shared" si="86"/>
        <v>92174726644</v>
      </c>
      <c r="F1104" s="8" t="s">
        <v>2787</v>
      </c>
      <c r="G1104" s="8">
        <v>1</v>
      </c>
      <c r="H1104" s="8">
        <v>20250401</v>
      </c>
      <c r="I1104" s="8" t="str">
        <f t="shared" si="84"/>
        <v>4/1/2025</v>
      </c>
      <c r="J1104" s="8">
        <v>20250101</v>
      </c>
      <c r="K1104" s="8" t="str">
        <f t="shared" si="85"/>
        <v>1/1/2025</v>
      </c>
      <c r="L1104" s="8" t="s">
        <v>65</v>
      </c>
      <c r="M1104" s="8">
        <v>30</v>
      </c>
      <c r="N1104" s="8">
        <v>30</v>
      </c>
      <c r="O1104" s="14" t="s">
        <v>3948</v>
      </c>
    </row>
    <row r="1105" spans="1:36" ht="15" customHeight="1" x14ac:dyDescent="0.3">
      <c r="A1105" s="7" t="s">
        <v>3911</v>
      </c>
      <c r="B1105" s="7">
        <v>20220688</v>
      </c>
      <c r="C1105" s="8">
        <v>1</v>
      </c>
      <c r="D1105" s="8">
        <v>921759225</v>
      </c>
      <c r="E1105" s="8" t="str">
        <f t="shared" si="86"/>
        <v>92175922544</v>
      </c>
      <c r="F1105" s="8" t="s">
        <v>2843</v>
      </c>
      <c r="G1105" s="8">
        <v>1</v>
      </c>
      <c r="H1105" s="8">
        <v>20250401</v>
      </c>
      <c r="I1105" s="8" t="str">
        <f t="shared" si="84"/>
        <v>4/1/2025</v>
      </c>
      <c r="J1105" s="8">
        <v>20250101</v>
      </c>
      <c r="K1105" s="8" t="str">
        <f t="shared" si="85"/>
        <v>1/1/2025</v>
      </c>
      <c r="L1105" s="8" t="s">
        <v>65</v>
      </c>
      <c r="M1105" s="8">
        <v>30</v>
      </c>
      <c r="N1105" s="8">
        <v>30</v>
      </c>
      <c r="O1105" s="14" t="s">
        <v>3948</v>
      </c>
    </row>
    <row r="1106" spans="1:36" ht="15" customHeight="1" x14ac:dyDescent="0.2">
      <c r="A1106" s="10" t="s">
        <v>3933</v>
      </c>
      <c r="B1106" s="10">
        <v>20552652</v>
      </c>
      <c r="C1106" s="12"/>
      <c r="D1106" s="11">
        <v>957194293</v>
      </c>
      <c r="E1106" s="8" t="str">
        <f>CONCATENATE(D1106,9)</f>
        <v>9571942939</v>
      </c>
      <c r="F1106" s="11" t="s">
        <v>3572</v>
      </c>
      <c r="G1106" s="11">
        <v>197.58</v>
      </c>
      <c r="H1106" s="11">
        <v>20250301</v>
      </c>
      <c r="I1106" s="8" t="str">
        <f t="shared" si="84"/>
        <v>3/1/2025</v>
      </c>
      <c r="J1106" s="11">
        <v>20250101</v>
      </c>
      <c r="K1106" s="8" t="str">
        <f t="shared" si="85"/>
        <v>1/1/2025</v>
      </c>
      <c r="L1106" s="11" t="s">
        <v>980</v>
      </c>
      <c r="M1106" s="11">
        <v>0.18</v>
      </c>
      <c r="N1106" s="11">
        <v>35.56</v>
      </c>
      <c r="O1106" s="6" t="s">
        <v>3944</v>
      </c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</row>
    <row r="1107" spans="1:36" ht="15" customHeight="1" x14ac:dyDescent="0.2">
      <c r="A1107" s="7" t="s">
        <v>3930</v>
      </c>
      <c r="B1107" s="7">
        <v>20999157</v>
      </c>
      <c r="C1107" s="8">
        <v>1</v>
      </c>
      <c r="D1107" s="8">
        <v>921615275</v>
      </c>
      <c r="E1107" s="8" t="str">
        <f t="shared" ref="E1107:E1113" si="87">CONCATENATE(D1107,33)</f>
        <v>92161527533</v>
      </c>
      <c r="F1107" s="8" t="s">
        <v>3542</v>
      </c>
      <c r="G1107" s="8">
        <v>1</v>
      </c>
      <c r="H1107" s="8">
        <v>20250401</v>
      </c>
      <c r="I1107" s="8" t="str">
        <f t="shared" si="84"/>
        <v>4/1/2025</v>
      </c>
      <c r="J1107" s="8">
        <v>20220701</v>
      </c>
      <c r="K1107" s="8" t="str">
        <f t="shared" si="85"/>
        <v>7/1/2022</v>
      </c>
      <c r="L1107" s="8" t="s">
        <v>198</v>
      </c>
      <c r="M1107" s="8">
        <v>15</v>
      </c>
      <c r="N1107" s="8">
        <v>15</v>
      </c>
      <c r="O1107" s="6" t="s">
        <v>3950</v>
      </c>
    </row>
    <row r="1108" spans="1:36" ht="15" customHeight="1" x14ac:dyDescent="0.2">
      <c r="A1108" s="10" t="s">
        <v>3930</v>
      </c>
      <c r="B1108" s="10">
        <v>20999157</v>
      </c>
      <c r="C1108" s="11">
        <v>1</v>
      </c>
      <c r="D1108" s="11">
        <v>921769541</v>
      </c>
      <c r="E1108" s="8" t="str">
        <f t="shared" si="87"/>
        <v>92176954133</v>
      </c>
      <c r="F1108" s="11" t="s">
        <v>3549</v>
      </c>
      <c r="G1108" s="8">
        <v>1</v>
      </c>
      <c r="H1108" s="11">
        <v>20250401</v>
      </c>
      <c r="I1108" s="8" t="str">
        <f t="shared" si="84"/>
        <v>4/1/2025</v>
      </c>
      <c r="J1108" s="11">
        <v>20250201</v>
      </c>
      <c r="K1108" s="8" t="str">
        <f t="shared" si="85"/>
        <v>2/1/2025</v>
      </c>
      <c r="L1108" s="11" t="s">
        <v>198</v>
      </c>
      <c r="M1108" s="11">
        <v>20</v>
      </c>
      <c r="N1108" s="11">
        <v>20</v>
      </c>
      <c r="O1108" s="6" t="s">
        <v>3950</v>
      </c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</row>
    <row r="1109" spans="1:36" ht="15" customHeight="1" x14ac:dyDescent="0.2">
      <c r="A1109" s="10" t="s">
        <v>3930</v>
      </c>
      <c r="B1109" s="10">
        <v>20999157</v>
      </c>
      <c r="C1109" s="11">
        <v>1</v>
      </c>
      <c r="D1109" s="11">
        <v>921772995</v>
      </c>
      <c r="E1109" s="8" t="str">
        <f t="shared" si="87"/>
        <v>92177299533</v>
      </c>
      <c r="F1109" s="11" t="s">
        <v>3551</v>
      </c>
      <c r="G1109" s="8">
        <v>1</v>
      </c>
      <c r="H1109" s="11">
        <v>20250401</v>
      </c>
      <c r="I1109" s="8" t="str">
        <f t="shared" si="84"/>
        <v>4/1/2025</v>
      </c>
      <c r="J1109" s="11">
        <v>20250201</v>
      </c>
      <c r="K1109" s="8" t="str">
        <f t="shared" si="85"/>
        <v>2/1/2025</v>
      </c>
      <c r="L1109" s="11" t="s">
        <v>198</v>
      </c>
      <c r="M1109" s="11">
        <v>20</v>
      </c>
      <c r="N1109" s="11">
        <v>20</v>
      </c>
      <c r="O1109" s="6" t="s">
        <v>3950</v>
      </c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</row>
    <row r="1110" spans="1:36" ht="15" customHeight="1" x14ac:dyDescent="0.2">
      <c r="A1110" s="10" t="s">
        <v>3930</v>
      </c>
      <c r="B1110" s="10">
        <v>20999157</v>
      </c>
      <c r="C1110" s="11">
        <v>1</v>
      </c>
      <c r="D1110" s="11">
        <v>921776531</v>
      </c>
      <c r="E1110" s="8" t="str">
        <f t="shared" si="87"/>
        <v>92177653133</v>
      </c>
      <c r="F1110" s="11" t="s">
        <v>3553</v>
      </c>
      <c r="G1110" s="8">
        <v>1</v>
      </c>
      <c r="H1110" s="11">
        <v>20250401</v>
      </c>
      <c r="I1110" s="8" t="str">
        <f t="shared" si="84"/>
        <v>4/1/2025</v>
      </c>
      <c r="J1110" s="11">
        <v>20250201</v>
      </c>
      <c r="K1110" s="8" t="str">
        <f t="shared" si="85"/>
        <v>2/1/2025</v>
      </c>
      <c r="L1110" s="11" t="s">
        <v>198</v>
      </c>
      <c r="M1110" s="11">
        <v>20</v>
      </c>
      <c r="N1110" s="11">
        <v>20</v>
      </c>
      <c r="O1110" s="6" t="s">
        <v>3950</v>
      </c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</row>
    <row r="1111" spans="1:36" ht="15" customHeight="1" x14ac:dyDescent="0.2">
      <c r="A1111" s="10" t="s">
        <v>3930</v>
      </c>
      <c r="B1111" s="10">
        <v>20999157</v>
      </c>
      <c r="C1111" s="11">
        <v>1</v>
      </c>
      <c r="D1111" s="11">
        <v>921776531</v>
      </c>
      <c r="E1111" s="8" t="str">
        <f t="shared" si="87"/>
        <v>92177653133</v>
      </c>
      <c r="F1111" s="11" t="s">
        <v>3553</v>
      </c>
      <c r="G1111" s="8">
        <v>1</v>
      </c>
      <c r="H1111" s="11">
        <v>20250301</v>
      </c>
      <c r="I1111" s="8" t="str">
        <f t="shared" si="84"/>
        <v>3/1/2025</v>
      </c>
      <c r="J1111" s="11">
        <v>20250201</v>
      </c>
      <c r="K1111" s="8" t="str">
        <f t="shared" si="85"/>
        <v>2/1/2025</v>
      </c>
      <c r="L1111" s="11" t="s">
        <v>198</v>
      </c>
      <c r="M1111" s="11">
        <v>20</v>
      </c>
      <c r="N1111" s="11">
        <v>20</v>
      </c>
      <c r="O1111" s="6" t="s">
        <v>3950</v>
      </c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</row>
    <row r="1112" spans="1:36" ht="15" customHeight="1" x14ac:dyDescent="0.2">
      <c r="A1112" s="10" t="s">
        <v>3930</v>
      </c>
      <c r="B1112" s="10">
        <v>20999157</v>
      </c>
      <c r="C1112" s="11">
        <v>2</v>
      </c>
      <c r="D1112" s="11">
        <v>921755426</v>
      </c>
      <c r="E1112" s="8" t="str">
        <f t="shared" si="87"/>
        <v>92175542633</v>
      </c>
      <c r="F1112" s="11" t="s">
        <v>3545</v>
      </c>
      <c r="G1112" s="8">
        <v>1</v>
      </c>
      <c r="H1112" s="11">
        <v>20250401</v>
      </c>
      <c r="I1112" s="8" t="str">
        <f t="shared" si="84"/>
        <v>4/1/2025</v>
      </c>
      <c r="J1112" s="11">
        <v>20250101</v>
      </c>
      <c r="K1112" s="8" t="str">
        <f t="shared" si="85"/>
        <v>1/1/2025</v>
      </c>
      <c r="L1112" s="11" t="s">
        <v>198</v>
      </c>
      <c r="M1112" s="11">
        <v>20</v>
      </c>
      <c r="N1112" s="11">
        <v>40</v>
      </c>
      <c r="O1112" s="6" t="s">
        <v>3950</v>
      </c>
      <c r="P1112" s="6" t="s">
        <v>3952</v>
      </c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</row>
    <row r="1113" spans="1:36" ht="15" customHeight="1" x14ac:dyDescent="0.2">
      <c r="A1113" s="10" t="s">
        <v>3930</v>
      </c>
      <c r="B1113" s="10">
        <v>20999157</v>
      </c>
      <c r="C1113" s="11">
        <v>2</v>
      </c>
      <c r="D1113" s="11">
        <v>921761404</v>
      </c>
      <c r="E1113" s="8" t="str">
        <f t="shared" si="87"/>
        <v>92176140433</v>
      </c>
      <c r="F1113" s="11" t="s">
        <v>3547</v>
      </c>
      <c r="G1113" s="8">
        <v>1</v>
      </c>
      <c r="H1113" s="11">
        <v>20250301</v>
      </c>
      <c r="I1113" s="8" t="str">
        <f t="shared" si="84"/>
        <v>3/1/2025</v>
      </c>
      <c r="J1113" s="11">
        <v>20250101</v>
      </c>
      <c r="K1113" s="8" t="str">
        <f t="shared" si="85"/>
        <v>1/1/2025</v>
      </c>
      <c r="L1113" s="11" t="s">
        <v>198</v>
      </c>
      <c r="M1113" s="11">
        <v>20</v>
      </c>
      <c r="N1113" s="11">
        <v>40</v>
      </c>
      <c r="O1113" s="6" t="s">
        <v>3950</v>
      </c>
      <c r="P1113" s="6" t="s">
        <v>3952</v>
      </c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</row>
    <row r="1114" spans="1:36" ht="15" customHeight="1" x14ac:dyDescent="0.2">
      <c r="A1114" s="7" t="s">
        <v>3900</v>
      </c>
      <c r="B1114" s="7">
        <v>8244481</v>
      </c>
      <c r="C1114" s="8">
        <v>1</v>
      </c>
      <c r="D1114" s="8">
        <v>890146317</v>
      </c>
      <c r="E1114" s="8" t="str">
        <f t="shared" ref="E1114:E1177" si="88">CONCATENATE(D1114,22)</f>
        <v>89014631722</v>
      </c>
      <c r="F1114" s="8" t="s">
        <v>1332</v>
      </c>
      <c r="G1114" s="8">
        <v>1</v>
      </c>
      <c r="H1114" s="8">
        <v>20250401</v>
      </c>
      <c r="I1114" s="8" t="str">
        <f t="shared" si="84"/>
        <v>4/1/2025</v>
      </c>
      <c r="J1114" s="8">
        <v>20201101</v>
      </c>
      <c r="K1114" s="8" t="str">
        <f t="shared" si="85"/>
        <v>11/1/2020</v>
      </c>
      <c r="L1114" s="8" t="s">
        <v>56</v>
      </c>
      <c r="M1114" s="8">
        <v>20</v>
      </c>
      <c r="N1114" s="8">
        <v>20</v>
      </c>
      <c r="O1114" s="6" t="s">
        <v>3947</v>
      </c>
    </row>
    <row r="1115" spans="1:36" ht="15" customHeight="1" x14ac:dyDescent="0.2">
      <c r="A1115" s="7" t="s">
        <v>3900</v>
      </c>
      <c r="B1115" s="7">
        <v>8244481</v>
      </c>
      <c r="C1115" s="8">
        <v>1</v>
      </c>
      <c r="D1115" s="8">
        <v>890192808</v>
      </c>
      <c r="E1115" s="8" t="str">
        <f t="shared" si="88"/>
        <v>89019280822</v>
      </c>
      <c r="F1115" s="8" t="s">
        <v>1334</v>
      </c>
      <c r="G1115" s="8">
        <v>1</v>
      </c>
      <c r="H1115" s="8">
        <v>20250401</v>
      </c>
      <c r="I1115" s="8" t="str">
        <f t="shared" si="84"/>
        <v>4/1/2025</v>
      </c>
      <c r="J1115" s="8">
        <v>20140101</v>
      </c>
      <c r="K1115" s="8" t="str">
        <f t="shared" si="85"/>
        <v>1/1/2014</v>
      </c>
      <c r="L1115" s="8" t="s">
        <v>56</v>
      </c>
      <c r="M1115" s="8">
        <v>20</v>
      </c>
      <c r="N1115" s="8">
        <v>20</v>
      </c>
      <c r="O1115" s="6" t="s">
        <v>3947</v>
      </c>
    </row>
    <row r="1116" spans="1:36" ht="15" customHeight="1" x14ac:dyDescent="0.2">
      <c r="A1116" s="7" t="s">
        <v>3900</v>
      </c>
      <c r="B1116" s="7">
        <v>8244481</v>
      </c>
      <c r="C1116" s="8">
        <v>1</v>
      </c>
      <c r="D1116" s="8">
        <v>890547737</v>
      </c>
      <c r="E1116" s="8" t="str">
        <f t="shared" si="88"/>
        <v>89054773722</v>
      </c>
      <c r="F1116" s="8" t="s">
        <v>1338</v>
      </c>
      <c r="G1116" s="8">
        <v>1</v>
      </c>
      <c r="H1116" s="8">
        <v>20250401</v>
      </c>
      <c r="I1116" s="8" t="str">
        <f t="shared" si="84"/>
        <v>4/1/2025</v>
      </c>
      <c r="J1116" s="8">
        <v>20211001</v>
      </c>
      <c r="K1116" s="8" t="str">
        <f t="shared" si="85"/>
        <v>10/1/2021</v>
      </c>
      <c r="L1116" s="8" t="s">
        <v>56</v>
      </c>
      <c r="M1116" s="8">
        <v>20</v>
      </c>
      <c r="N1116" s="8">
        <v>20</v>
      </c>
      <c r="O1116" s="6" t="s">
        <v>3947</v>
      </c>
    </row>
    <row r="1117" spans="1:36" ht="15" customHeight="1" x14ac:dyDescent="0.2">
      <c r="A1117" s="7" t="s">
        <v>3900</v>
      </c>
      <c r="B1117" s="7">
        <v>8244481</v>
      </c>
      <c r="C1117" s="8">
        <v>1</v>
      </c>
      <c r="D1117" s="8">
        <v>890665955</v>
      </c>
      <c r="E1117" s="8" t="str">
        <f t="shared" si="88"/>
        <v>89066595522</v>
      </c>
      <c r="F1117" s="8" t="s">
        <v>1344</v>
      </c>
      <c r="G1117" s="8">
        <v>1</v>
      </c>
      <c r="H1117" s="8">
        <v>20250401</v>
      </c>
      <c r="I1117" s="8" t="str">
        <f t="shared" si="84"/>
        <v>4/1/2025</v>
      </c>
      <c r="J1117" s="8">
        <v>20210101</v>
      </c>
      <c r="K1117" s="8" t="str">
        <f t="shared" si="85"/>
        <v>1/1/2021</v>
      </c>
      <c r="L1117" s="8" t="s">
        <v>56</v>
      </c>
      <c r="M1117" s="8">
        <v>20</v>
      </c>
      <c r="N1117" s="8">
        <v>20</v>
      </c>
      <c r="O1117" s="6" t="s">
        <v>3947</v>
      </c>
    </row>
    <row r="1118" spans="1:36" ht="15" customHeight="1" x14ac:dyDescent="0.2">
      <c r="A1118" s="7" t="s">
        <v>3900</v>
      </c>
      <c r="B1118" s="7">
        <v>8244481</v>
      </c>
      <c r="C1118" s="8">
        <v>1</v>
      </c>
      <c r="D1118" s="8">
        <v>920713089</v>
      </c>
      <c r="E1118" s="8" t="str">
        <f t="shared" si="88"/>
        <v>92071308922</v>
      </c>
      <c r="F1118" s="8" t="s">
        <v>1350</v>
      </c>
      <c r="G1118" s="8">
        <v>1</v>
      </c>
      <c r="H1118" s="8">
        <v>20250401</v>
      </c>
      <c r="I1118" s="8" t="str">
        <f t="shared" si="84"/>
        <v>4/1/2025</v>
      </c>
      <c r="J1118" s="8">
        <v>20221101</v>
      </c>
      <c r="K1118" s="8" t="str">
        <f t="shared" si="85"/>
        <v>11/1/2022</v>
      </c>
      <c r="L1118" s="8" t="s">
        <v>56</v>
      </c>
      <c r="M1118" s="8">
        <v>20</v>
      </c>
      <c r="N1118" s="8">
        <v>20</v>
      </c>
      <c r="O1118" s="6" t="s">
        <v>3947</v>
      </c>
    </row>
    <row r="1119" spans="1:36" ht="15" customHeight="1" x14ac:dyDescent="0.2">
      <c r="A1119" s="7" t="s">
        <v>3900</v>
      </c>
      <c r="B1119" s="7">
        <v>8244481</v>
      </c>
      <c r="C1119" s="8">
        <v>1</v>
      </c>
      <c r="D1119" s="8">
        <v>920781082</v>
      </c>
      <c r="E1119" s="8" t="str">
        <f t="shared" si="88"/>
        <v>92078108222</v>
      </c>
      <c r="F1119" s="8" t="s">
        <v>1357</v>
      </c>
      <c r="G1119" s="8">
        <v>1</v>
      </c>
      <c r="H1119" s="8">
        <v>20250401</v>
      </c>
      <c r="I1119" s="8" t="str">
        <f t="shared" si="84"/>
        <v>4/1/2025</v>
      </c>
      <c r="J1119" s="8">
        <v>20240201</v>
      </c>
      <c r="K1119" s="8" t="str">
        <f t="shared" si="85"/>
        <v>2/1/2024</v>
      </c>
      <c r="L1119" s="8" t="s">
        <v>56</v>
      </c>
      <c r="M1119" s="8">
        <v>20</v>
      </c>
      <c r="N1119" s="8">
        <v>20</v>
      </c>
      <c r="O1119" s="6" t="s">
        <v>3947</v>
      </c>
    </row>
    <row r="1120" spans="1:36" ht="15" customHeight="1" x14ac:dyDescent="0.2">
      <c r="A1120" s="7" t="s">
        <v>3900</v>
      </c>
      <c r="B1120" s="7">
        <v>8244481</v>
      </c>
      <c r="C1120" s="8">
        <v>1</v>
      </c>
      <c r="D1120" s="8">
        <v>920956771</v>
      </c>
      <c r="E1120" s="8" t="str">
        <f t="shared" si="88"/>
        <v>92095677122</v>
      </c>
      <c r="F1120" s="8" t="s">
        <v>1361</v>
      </c>
      <c r="G1120" s="8">
        <v>1</v>
      </c>
      <c r="H1120" s="8">
        <v>20250401</v>
      </c>
      <c r="I1120" s="8" t="str">
        <f t="shared" si="84"/>
        <v>4/1/2025</v>
      </c>
      <c r="J1120" s="8">
        <v>20141101</v>
      </c>
      <c r="K1120" s="8" t="str">
        <f t="shared" si="85"/>
        <v>11/1/2014</v>
      </c>
      <c r="L1120" s="8" t="s">
        <v>56</v>
      </c>
      <c r="M1120" s="8">
        <v>20</v>
      </c>
      <c r="N1120" s="8">
        <v>20</v>
      </c>
      <c r="O1120" s="6" t="s">
        <v>3947</v>
      </c>
    </row>
    <row r="1121" spans="1:15" ht="15" customHeight="1" x14ac:dyDescent="0.2">
      <c r="A1121" s="7" t="s">
        <v>3900</v>
      </c>
      <c r="B1121" s="7">
        <v>8244481</v>
      </c>
      <c r="C1121" s="8">
        <v>1</v>
      </c>
      <c r="D1121" s="8">
        <v>920991258</v>
      </c>
      <c r="E1121" s="8" t="str">
        <f t="shared" si="88"/>
        <v>92099125822</v>
      </c>
      <c r="F1121" s="8" t="s">
        <v>1365</v>
      </c>
      <c r="G1121" s="8">
        <v>1</v>
      </c>
      <c r="H1121" s="8">
        <v>20250401</v>
      </c>
      <c r="I1121" s="8" t="str">
        <f t="shared" si="84"/>
        <v>4/1/2025</v>
      </c>
      <c r="J1121" s="8">
        <v>20170101</v>
      </c>
      <c r="K1121" s="8" t="str">
        <f t="shared" si="85"/>
        <v>1/1/2017</v>
      </c>
      <c r="L1121" s="8" t="s">
        <v>56</v>
      </c>
      <c r="M1121" s="8">
        <v>20</v>
      </c>
      <c r="N1121" s="8">
        <v>20</v>
      </c>
      <c r="O1121" s="6" t="s">
        <v>3947</v>
      </c>
    </row>
    <row r="1122" spans="1:15" ht="15" customHeight="1" x14ac:dyDescent="0.2">
      <c r="A1122" s="7" t="s">
        <v>3900</v>
      </c>
      <c r="B1122" s="7">
        <v>8244481</v>
      </c>
      <c r="C1122" s="8">
        <v>1</v>
      </c>
      <c r="D1122" s="8">
        <v>921115801</v>
      </c>
      <c r="E1122" s="8" t="str">
        <f t="shared" si="88"/>
        <v>92111580122</v>
      </c>
      <c r="F1122" s="8" t="s">
        <v>1384</v>
      </c>
      <c r="G1122" s="8">
        <v>1</v>
      </c>
      <c r="H1122" s="8">
        <v>20250401</v>
      </c>
      <c r="I1122" s="8" t="str">
        <f t="shared" si="84"/>
        <v>4/1/2025</v>
      </c>
      <c r="J1122" s="8">
        <v>20150301</v>
      </c>
      <c r="K1122" s="8" t="str">
        <f t="shared" si="85"/>
        <v>3/1/2015</v>
      </c>
      <c r="L1122" s="8" t="s">
        <v>56</v>
      </c>
      <c r="M1122" s="8">
        <v>20</v>
      </c>
      <c r="N1122" s="8">
        <v>20</v>
      </c>
      <c r="O1122" s="6" t="s">
        <v>3947</v>
      </c>
    </row>
    <row r="1123" spans="1:15" ht="15" customHeight="1" x14ac:dyDescent="0.2">
      <c r="A1123" s="7" t="s">
        <v>3900</v>
      </c>
      <c r="B1123" s="7">
        <v>8244481</v>
      </c>
      <c r="C1123" s="8">
        <v>1</v>
      </c>
      <c r="D1123" s="8">
        <v>921302391</v>
      </c>
      <c r="E1123" s="8" t="str">
        <f t="shared" si="88"/>
        <v>92130239122</v>
      </c>
      <c r="F1123" s="8" t="s">
        <v>1402</v>
      </c>
      <c r="G1123" s="8">
        <v>1</v>
      </c>
      <c r="H1123" s="8">
        <v>20250401</v>
      </c>
      <c r="I1123" s="8" t="str">
        <f t="shared" si="84"/>
        <v>4/1/2025</v>
      </c>
      <c r="J1123" s="8">
        <v>20220101</v>
      </c>
      <c r="K1123" s="8" t="str">
        <f t="shared" si="85"/>
        <v>1/1/2022</v>
      </c>
      <c r="L1123" s="8" t="s">
        <v>56</v>
      </c>
      <c r="M1123" s="8">
        <v>20</v>
      </c>
      <c r="N1123" s="8">
        <v>20</v>
      </c>
      <c r="O1123" s="6" t="s">
        <v>3947</v>
      </c>
    </row>
    <row r="1124" spans="1:15" ht="15" customHeight="1" x14ac:dyDescent="0.2">
      <c r="A1124" s="7" t="s">
        <v>3900</v>
      </c>
      <c r="B1124" s="7">
        <v>8244481</v>
      </c>
      <c r="C1124" s="8">
        <v>1</v>
      </c>
      <c r="D1124" s="8">
        <v>921329087</v>
      </c>
      <c r="E1124" s="8" t="str">
        <f t="shared" si="88"/>
        <v>92132908722</v>
      </c>
      <c r="F1124" s="8" t="s">
        <v>1406</v>
      </c>
      <c r="G1124" s="8">
        <v>1</v>
      </c>
      <c r="H1124" s="8">
        <v>20250401</v>
      </c>
      <c r="I1124" s="8" t="str">
        <f t="shared" si="84"/>
        <v>4/1/2025</v>
      </c>
      <c r="J1124" s="8">
        <v>20170101</v>
      </c>
      <c r="K1124" s="8" t="str">
        <f t="shared" si="85"/>
        <v>1/1/2017</v>
      </c>
      <c r="L1124" s="8" t="s">
        <v>56</v>
      </c>
      <c r="M1124" s="8">
        <v>20</v>
      </c>
      <c r="N1124" s="8">
        <v>20</v>
      </c>
      <c r="O1124" s="6" t="s">
        <v>3947</v>
      </c>
    </row>
    <row r="1125" spans="1:15" ht="15" customHeight="1" x14ac:dyDescent="0.2">
      <c r="A1125" s="7" t="s">
        <v>3900</v>
      </c>
      <c r="B1125" s="7">
        <v>8244481</v>
      </c>
      <c r="C1125" s="8">
        <v>1</v>
      </c>
      <c r="D1125" s="8">
        <v>921337845</v>
      </c>
      <c r="E1125" s="8" t="str">
        <f t="shared" si="88"/>
        <v>92133784522</v>
      </c>
      <c r="F1125" s="8" t="s">
        <v>1408</v>
      </c>
      <c r="G1125" s="8">
        <v>1</v>
      </c>
      <c r="H1125" s="8">
        <v>20250401</v>
      </c>
      <c r="I1125" s="8" t="str">
        <f t="shared" si="84"/>
        <v>4/1/2025</v>
      </c>
      <c r="J1125" s="8">
        <v>20240201</v>
      </c>
      <c r="K1125" s="8" t="str">
        <f t="shared" si="85"/>
        <v>2/1/2024</v>
      </c>
      <c r="L1125" s="8" t="s">
        <v>56</v>
      </c>
      <c r="M1125" s="8">
        <v>20</v>
      </c>
      <c r="N1125" s="8">
        <v>20</v>
      </c>
      <c r="O1125" s="6" t="s">
        <v>3947</v>
      </c>
    </row>
    <row r="1126" spans="1:15" ht="15" customHeight="1" x14ac:dyDescent="0.2">
      <c r="A1126" s="7" t="s">
        <v>3900</v>
      </c>
      <c r="B1126" s="7">
        <v>8244481</v>
      </c>
      <c r="C1126" s="8">
        <v>1</v>
      </c>
      <c r="D1126" s="8">
        <v>921345845</v>
      </c>
      <c r="E1126" s="8" t="str">
        <f t="shared" si="88"/>
        <v>92134584522</v>
      </c>
      <c r="F1126" s="8" t="s">
        <v>1410</v>
      </c>
      <c r="G1126" s="8">
        <v>1</v>
      </c>
      <c r="H1126" s="8">
        <v>20250401</v>
      </c>
      <c r="I1126" s="8" t="str">
        <f t="shared" si="84"/>
        <v>4/1/2025</v>
      </c>
      <c r="J1126" s="8">
        <v>20240101</v>
      </c>
      <c r="K1126" s="8" t="str">
        <f t="shared" si="85"/>
        <v>1/1/2024</v>
      </c>
      <c r="L1126" s="8" t="s">
        <v>56</v>
      </c>
      <c r="M1126" s="8">
        <v>20</v>
      </c>
      <c r="N1126" s="8">
        <v>20</v>
      </c>
      <c r="O1126" s="6" t="s">
        <v>3947</v>
      </c>
    </row>
    <row r="1127" spans="1:15" ht="15" customHeight="1" x14ac:dyDescent="0.2">
      <c r="A1127" s="7" t="s">
        <v>3900</v>
      </c>
      <c r="B1127" s="7">
        <v>8244481</v>
      </c>
      <c r="C1127" s="8">
        <v>1</v>
      </c>
      <c r="D1127" s="8">
        <v>921366675</v>
      </c>
      <c r="E1127" s="8" t="str">
        <f t="shared" si="88"/>
        <v>92136667522</v>
      </c>
      <c r="F1127" s="8" t="s">
        <v>1424</v>
      </c>
      <c r="G1127" s="8">
        <v>1</v>
      </c>
      <c r="H1127" s="8">
        <v>20250401</v>
      </c>
      <c r="I1127" s="8" t="str">
        <f t="shared" si="84"/>
        <v>4/1/2025</v>
      </c>
      <c r="J1127" s="8">
        <v>20171101</v>
      </c>
      <c r="K1127" s="8" t="str">
        <f t="shared" si="85"/>
        <v>11/1/2017</v>
      </c>
      <c r="L1127" s="8" t="s">
        <v>56</v>
      </c>
      <c r="M1127" s="8">
        <v>20</v>
      </c>
      <c r="N1127" s="8">
        <v>20</v>
      </c>
      <c r="O1127" s="6" t="s">
        <v>3947</v>
      </c>
    </row>
    <row r="1128" spans="1:15" ht="15" customHeight="1" x14ac:dyDescent="0.2">
      <c r="A1128" s="7" t="s">
        <v>3900</v>
      </c>
      <c r="B1128" s="7">
        <v>8244481</v>
      </c>
      <c r="C1128" s="8">
        <v>1</v>
      </c>
      <c r="D1128" s="8">
        <v>921376684</v>
      </c>
      <c r="E1128" s="8" t="str">
        <f t="shared" si="88"/>
        <v>92137668422</v>
      </c>
      <c r="F1128" s="8" t="s">
        <v>1432</v>
      </c>
      <c r="G1128" s="8">
        <v>1</v>
      </c>
      <c r="H1128" s="8">
        <v>20250401</v>
      </c>
      <c r="I1128" s="8" t="str">
        <f t="shared" si="84"/>
        <v>4/1/2025</v>
      </c>
      <c r="J1128" s="8">
        <v>20200501</v>
      </c>
      <c r="K1128" s="8" t="str">
        <f t="shared" si="85"/>
        <v>5/1/2020</v>
      </c>
      <c r="L1128" s="8" t="s">
        <v>56</v>
      </c>
      <c r="M1128" s="8">
        <v>20</v>
      </c>
      <c r="N1128" s="8">
        <v>20</v>
      </c>
      <c r="O1128" s="6" t="s">
        <v>3947</v>
      </c>
    </row>
    <row r="1129" spans="1:15" ht="15" customHeight="1" x14ac:dyDescent="0.2">
      <c r="A1129" s="7" t="s">
        <v>3900</v>
      </c>
      <c r="B1129" s="7">
        <v>8244481</v>
      </c>
      <c r="C1129" s="8">
        <v>1</v>
      </c>
      <c r="D1129" s="8">
        <v>921385021</v>
      </c>
      <c r="E1129" s="8" t="str">
        <f t="shared" si="88"/>
        <v>92138502122</v>
      </c>
      <c r="F1129" s="8" t="s">
        <v>1437</v>
      </c>
      <c r="G1129" s="8">
        <v>1</v>
      </c>
      <c r="H1129" s="8">
        <v>20250301</v>
      </c>
      <c r="I1129" s="8" t="str">
        <f t="shared" si="84"/>
        <v>3/1/2025</v>
      </c>
      <c r="J1129" s="8">
        <v>20210901</v>
      </c>
      <c r="K1129" s="8" t="str">
        <f t="shared" si="85"/>
        <v>9/1/2021</v>
      </c>
      <c r="L1129" s="8" t="s">
        <v>56</v>
      </c>
      <c r="M1129" s="8">
        <v>20</v>
      </c>
      <c r="N1129" s="8">
        <v>20</v>
      </c>
      <c r="O1129" s="6" t="s">
        <v>3947</v>
      </c>
    </row>
    <row r="1130" spans="1:15" ht="15" customHeight="1" x14ac:dyDescent="0.2">
      <c r="A1130" s="7" t="s">
        <v>3900</v>
      </c>
      <c r="B1130" s="7">
        <v>8244481</v>
      </c>
      <c r="C1130" s="8">
        <v>1</v>
      </c>
      <c r="D1130" s="8">
        <v>921402034</v>
      </c>
      <c r="E1130" s="8" t="str">
        <f t="shared" si="88"/>
        <v>92140203422</v>
      </c>
      <c r="F1130" s="8" t="s">
        <v>1443</v>
      </c>
      <c r="G1130" s="8">
        <v>1</v>
      </c>
      <c r="H1130" s="8">
        <v>20250401</v>
      </c>
      <c r="I1130" s="8" t="str">
        <f t="shared" si="84"/>
        <v>4/1/2025</v>
      </c>
      <c r="J1130" s="8">
        <v>20180101</v>
      </c>
      <c r="K1130" s="8" t="str">
        <f t="shared" si="85"/>
        <v>1/1/2018</v>
      </c>
      <c r="L1130" s="8" t="s">
        <v>56</v>
      </c>
      <c r="M1130" s="8">
        <v>20</v>
      </c>
      <c r="N1130" s="8">
        <v>20</v>
      </c>
      <c r="O1130" s="6" t="s">
        <v>3947</v>
      </c>
    </row>
    <row r="1131" spans="1:15" ht="15" customHeight="1" x14ac:dyDescent="0.2">
      <c r="A1131" s="7" t="s">
        <v>3900</v>
      </c>
      <c r="B1131" s="7">
        <v>8244481</v>
      </c>
      <c r="C1131" s="8">
        <v>1</v>
      </c>
      <c r="D1131" s="8">
        <v>921417397</v>
      </c>
      <c r="E1131" s="8" t="str">
        <f t="shared" si="88"/>
        <v>92141739722</v>
      </c>
      <c r="F1131" s="8" t="s">
        <v>1447</v>
      </c>
      <c r="G1131" s="8">
        <v>1</v>
      </c>
      <c r="H1131" s="8">
        <v>20250301</v>
      </c>
      <c r="I1131" s="8" t="str">
        <f t="shared" si="84"/>
        <v>3/1/2025</v>
      </c>
      <c r="J1131" s="8">
        <v>20180501</v>
      </c>
      <c r="K1131" s="8" t="str">
        <f t="shared" si="85"/>
        <v>5/1/2018</v>
      </c>
      <c r="L1131" s="8" t="s">
        <v>56</v>
      </c>
      <c r="M1131" s="8">
        <v>20</v>
      </c>
      <c r="N1131" s="8">
        <v>20</v>
      </c>
      <c r="O1131" s="6" t="s">
        <v>3947</v>
      </c>
    </row>
    <row r="1132" spans="1:15" ht="15" customHeight="1" x14ac:dyDescent="0.2">
      <c r="A1132" s="7" t="s">
        <v>3900</v>
      </c>
      <c r="B1132" s="7">
        <v>8244481</v>
      </c>
      <c r="C1132" s="8">
        <v>1</v>
      </c>
      <c r="D1132" s="8">
        <v>921443188</v>
      </c>
      <c r="E1132" s="8" t="str">
        <f t="shared" si="88"/>
        <v>92144318822</v>
      </c>
      <c r="F1132" s="8" t="s">
        <v>1452</v>
      </c>
      <c r="G1132" s="8">
        <v>1</v>
      </c>
      <c r="H1132" s="8">
        <v>20250401</v>
      </c>
      <c r="I1132" s="8" t="str">
        <f t="shared" si="84"/>
        <v>4/1/2025</v>
      </c>
      <c r="J1132" s="8">
        <v>20190101</v>
      </c>
      <c r="K1132" s="8" t="str">
        <f t="shared" si="85"/>
        <v>1/1/2019</v>
      </c>
      <c r="L1132" s="8" t="s">
        <v>56</v>
      </c>
      <c r="M1132" s="8">
        <v>20</v>
      </c>
      <c r="N1132" s="8">
        <v>20</v>
      </c>
      <c r="O1132" s="6" t="s">
        <v>3947</v>
      </c>
    </row>
    <row r="1133" spans="1:15" ht="15" customHeight="1" x14ac:dyDescent="0.2">
      <c r="A1133" s="7" t="s">
        <v>3900</v>
      </c>
      <c r="B1133" s="7">
        <v>8244481</v>
      </c>
      <c r="C1133" s="8">
        <v>1</v>
      </c>
      <c r="D1133" s="8">
        <v>921458282</v>
      </c>
      <c r="E1133" s="8" t="str">
        <f t="shared" si="88"/>
        <v>92145828222</v>
      </c>
      <c r="F1133" s="8" t="s">
        <v>1462</v>
      </c>
      <c r="G1133" s="8">
        <v>1</v>
      </c>
      <c r="H1133" s="8">
        <v>20250301</v>
      </c>
      <c r="I1133" s="8" t="str">
        <f t="shared" si="84"/>
        <v>3/1/2025</v>
      </c>
      <c r="J1133" s="8">
        <v>20190101</v>
      </c>
      <c r="K1133" s="8" t="str">
        <f t="shared" si="85"/>
        <v>1/1/2019</v>
      </c>
      <c r="L1133" s="8" t="s">
        <v>56</v>
      </c>
      <c r="M1133" s="8">
        <v>20</v>
      </c>
      <c r="N1133" s="8">
        <v>20</v>
      </c>
      <c r="O1133" s="6" t="s">
        <v>3947</v>
      </c>
    </row>
    <row r="1134" spans="1:15" ht="15" customHeight="1" x14ac:dyDescent="0.2">
      <c r="A1134" s="7" t="s">
        <v>3900</v>
      </c>
      <c r="B1134" s="7">
        <v>8244481</v>
      </c>
      <c r="C1134" s="8">
        <v>1</v>
      </c>
      <c r="D1134" s="8">
        <v>921482539</v>
      </c>
      <c r="E1134" s="8" t="str">
        <f t="shared" si="88"/>
        <v>92148253922</v>
      </c>
      <c r="F1134" s="8" t="s">
        <v>1470</v>
      </c>
      <c r="G1134" s="8">
        <v>1</v>
      </c>
      <c r="H1134" s="8">
        <v>20250401</v>
      </c>
      <c r="I1134" s="8" t="str">
        <f t="shared" si="84"/>
        <v>4/1/2025</v>
      </c>
      <c r="J1134" s="8">
        <v>20191001</v>
      </c>
      <c r="K1134" s="8" t="str">
        <f t="shared" si="85"/>
        <v>10/1/2019</v>
      </c>
      <c r="L1134" s="8" t="s">
        <v>56</v>
      </c>
      <c r="M1134" s="8">
        <v>20</v>
      </c>
      <c r="N1134" s="8">
        <v>20</v>
      </c>
      <c r="O1134" s="6" t="s">
        <v>3947</v>
      </c>
    </row>
    <row r="1135" spans="1:15" ht="15" customHeight="1" x14ac:dyDescent="0.2">
      <c r="A1135" s="7" t="s">
        <v>3900</v>
      </c>
      <c r="B1135" s="7">
        <v>8244481</v>
      </c>
      <c r="C1135" s="8">
        <v>1</v>
      </c>
      <c r="D1135" s="8">
        <v>921485403</v>
      </c>
      <c r="E1135" s="8" t="str">
        <f t="shared" si="88"/>
        <v>92148540322</v>
      </c>
      <c r="F1135" s="8" t="s">
        <v>1474</v>
      </c>
      <c r="G1135" s="8">
        <v>1</v>
      </c>
      <c r="H1135" s="8">
        <v>20250401</v>
      </c>
      <c r="I1135" s="8" t="str">
        <f t="shared" si="84"/>
        <v>4/1/2025</v>
      </c>
      <c r="J1135" s="8">
        <v>20191001</v>
      </c>
      <c r="K1135" s="8" t="str">
        <f t="shared" si="85"/>
        <v>10/1/2019</v>
      </c>
      <c r="L1135" s="8" t="s">
        <v>56</v>
      </c>
      <c r="M1135" s="8">
        <v>20</v>
      </c>
      <c r="N1135" s="8">
        <v>20</v>
      </c>
      <c r="O1135" s="6" t="s">
        <v>3947</v>
      </c>
    </row>
    <row r="1136" spans="1:15" ht="15" customHeight="1" x14ac:dyDescent="0.2">
      <c r="A1136" s="7" t="s">
        <v>3900</v>
      </c>
      <c r="B1136" s="7">
        <v>8244481</v>
      </c>
      <c r="C1136" s="8">
        <v>1</v>
      </c>
      <c r="D1136" s="8">
        <v>921490296</v>
      </c>
      <c r="E1136" s="8" t="str">
        <f t="shared" si="88"/>
        <v>92149029622</v>
      </c>
      <c r="F1136" s="8" t="s">
        <v>1476</v>
      </c>
      <c r="G1136" s="8">
        <v>1</v>
      </c>
      <c r="H1136" s="8">
        <v>20250401</v>
      </c>
      <c r="I1136" s="8" t="str">
        <f t="shared" si="84"/>
        <v>4/1/2025</v>
      </c>
      <c r="J1136" s="8">
        <v>20200101</v>
      </c>
      <c r="K1136" s="8" t="str">
        <f t="shared" si="85"/>
        <v>1/1/2020</v>
      </c>
      <c r="L1136" s="8" t="s">
        <v>56</v>
      </c>
      <c r="M1136" s="8">
        <v>20</v>
      </c>
      <c r="N1136" s="8">
        <v>20</v>
      </c>
      <c r="O1136" s="6" t="s">
        <v>3947</v>
      </c>
    </row>
    <row r="1137" spans="1:15" ht="15" customHeight="1" x14ac:dyDescent="0.2">
      <c r="A1137" s="7" t="s">
        <v>3900</v>
      </c>
      <c r="B1137" s="7">
        <v>8244481</v>
      </c>
      <c r="C1137" s="8">
        <v>1</v>
      </c>
      <c r="D1137" s="8">
        <v>921492711</v>
      </c>
      <c r="E1137" s="8" t="str">
        <f t="shared" si="88"/>
        <v>92149271122</v>
      </c>
      <c r="F1137" s="8" t="s">
        <v>1478</v>
      </c>
      <c r="G1137" s="8">
        <v>1</v>
      </c>
      <c r="H1137" s="8">
        <v>20250401</v>
      </c>
      <c r="I1137" s="8" t="str">
        <f t="shared" si="84"/>
        <v>4/1/2025</v>
      </c>
      <c r="J1137" s="8">
        <v>20200101</v>
      </c>
      <c r="K1137" s="8" t="str">
        <f t="shared" si="85"/>
        <v>1/1/2020</v>
      </c>
      <c r="L1137" s="8" t="s">
        <v>56</v>
      </c>
      <c r="M1137" s="8">
        <v>20</v>
      </c>
      <c r="N1137" s="8">
        <v>20</v>
      </c>
      <c r="O1137" s="6" t="s">
        <v>3947</v>
      </c>
    </row>
    <row r="1138" spans="1:15" ht="15" customHeight="1" x14ac:dyDescent="0.2">
      <c r="A1138" s="7" t="s">
        <v>3900</v>
      </c>
      <c r="B1138" s="7">
        <v>8244481</v>
      </c>
      <c r="C1138" s="8">
        <v>1</v>
      </c>
      <c r="D1138" s="8">
        <v>921492749</v>
      </c>
      <c r="E1138" s="8" t="str">
        <f t="shared" si="88"/>
        <v>92149274922</v>
      </c>
      <c r="F1138" s="8" t="s">
        <v>1480</v>
      </c>
      <c r="G1138" s="8">
        <v>1</v>
      </c>
      <c r="H1138" s="8">
        <v>20250401</v>
      </c>
      <c r="I1138" s="8" t="str">
        <f t="shared" si="84"/>
        <v>4/1/2025</v>
      </c>
      <c r="J1138" s="8">
        <v>20200101</v>
      </c>
      <c r="K1138" s="8" t="str">
        <f t="shared" si="85"/>
        <v>1/1/2020</v>
      </c>
      <c r="L1138" s="8" t="s">
        <v>56</v>
      </c>
      <c r="M1138" s="8">
        <v>20</v>
      </c>
      <c r="N1138" s="8">
        <v>20</v>
      </c>
      <c r="O1138" s="6" t="s">
        <v>3947</v>
      </c>
    </row>
    <row r="1139" spans="1:15" ht="15" customHeight="1" x14ac:dyDescent="0.2">
      <c r="A1139" s="7" t="s">
        <v>3900</v>
      </c>
      <c r="B1139" s="7">
        <v>8244481</v>
      </c>
      <c r="C1139" s="8">
        <v>1</v>
      </c>
      <c r="D1139" s="8">
        <v>921509319</v>
      </c>
      <c r="E1139" s="8" t="str">
        <f t="shared" si="88"/>
        <v>92150931922</v>
      </c>
      <c r="F1139" s="8" t="s">
        <v>1482</v>
      </c>
      <c r="G1139" s="8">
        <v>1</v>
      </c>
      <c r="H1139" s="8">
        <v>20250401</v>
      </c>
      <c r="I1139" s="8" t="str">
        <f t="shared" si="84"/>
        <v>4/1/2025</v>
      </c>
      <c r="J1139" s="8">
        <v>20200101</v>
      </c>
      <c r="K1139" s="8" t="str">
        <f t="shared" si="85"/>
        <v>1/1/2020</v>
      </c>
      <c r="L1139" s="8" t="s">
        <v>56</v>
      </c>
      <c r="M1139" s="8">
        <v>20</v>
      </c>
      <c r="N1139" s="8">
        <v>20</v>
      </c>
      <c r="O1139" s="6" t="s">
        <v>3947</v>
      </c>
    </row>
    <row r="1140" spans="1:15" ht="15" customHeight="1" x14ac:dyDescent="0.2">
      <c r="A1140" s="7" t="s">
        <v>3900</v>
      </c>
      <c r="B1140" s="7">
        <v>8244481</v>
      </c>
      <c r="C1140" s="8">
        <v>1</v>
      </c>
      <c r="D1140" s="8">
        <v>921516857</v>
      </c>
      <c r="E1140" s="8" t="str">
        <f t="shared" si="88"/>
        <v>92151685722</v>
      </c>
      <c r="F1140" s="8" t="s">
        <v>1488</v>
      </c>
      <c r="G1140" s="8">
        <v>1</v>
      </c>
      <c r="H1140" s="8">
        <v>20250401</v>
      </c>
      <c r="I1140" s="8" t="str">
        <f t="shared" si="84"/>
        <v>4/1/2025</v>
      </c>
      <c r="J1140" s="8">
        <v>20200401</v>
      </c>
      <c r="K1140" s="8" t="str">
        <f t="shared" si="85"/>
        <v>4/1/2020</v>
      </c>
      <c r="L1140" s="8" t="s">
        <v>56</v>
      </c>
      <c r="M1140" s="8">
        <v>20</v>
      </c>
      <c r="N1140" s="8">
        <v>20</v>
      </c>
      <c r="O1140" s="6" t="s">
        <v>3947</v>
      </c>
    </row>
    <row r="1141" spans="1:15" ht="15" customHeight="1" x14ac:dyDescent="0.2">
      <c r="A1141" s="7" t="s">
        <v>3900</v>
      </c>
      <c r="B1141" s="7">
        <v>8244481</v>
      </c>
      <c r="C1141" s="8">
        <v>1</v>
      </c>
      <c r="D1141" s="8">
        <v>921528619</v>
      </c>
      <c r="E1141" s="8" t="str">
        <f t="shared" si="88"/>
        <v>92152861922</v>
      </c>
      <c r="F1141" s="8" t="s">
        <v>1496</v>
      </c>
      <c r="G1141" s="8">
        <v>1</v>
      </c>
      <c r="H1141" s="8">
        <v>20250401</v>
      </c>
      <c r="I1141" s="8" t="str">
        <f t="shared" si="84"/>
        <v>4/1/2025</v>
      </c>
      <c r="J1141" s="8">
        <v>20240201</v>
      </c>
      <c r="K1141" s="8" t="str">
        <f t="shared" si="85"/>
        <v>2/1/2024</v>
      </c>
      <c r="L1141" s="8" t="s">
        <v>56</v>
      </c>
      <c r="M1141" s="8">
        <v>20</v>
      </c>
      <c r="N1141" s="8">
        <v>20</v>
      </c>
      <c r="O1141" s="6" t="s">
        <v>3947</v>
      </c>
    </row>
    <row r="1142" spans="1:15" ht="15" customHeight="1" x14ac:dyDescent="0.2">
      <c r="A1142" s="7" t="s">
        <v>3900</v>
      </c>
      <c r="B1142" s="7">
        <v>8244481</v>
      </c>
      <c r="C1142" s="8">
        <v>1</v>
      </c>
      <c r="D1142" s="8">
        <v>921559868</v>
      </c>
      <c r="E1142" s="8" t="str">
        <f t="shared" si="88"/>
        <v>92155986822</v>
      </c>
      <c r="F1142" s="8" t="s">
        <v>1504</v>
      </c>
      <c r="G1142" s="8">
        <v>1</v>
      </c>
      <c r="H1142" s="8">
        <v>20250401</v>
      </c>
      <c r="I1142" s="8" t="str">
        <f t="shared" si="84"/>
        <v>4/1/2025</v>
      </c>
      <c r="J1142" s="8">
        <v>20210401</v>
      </c>
      <c r="K1142" s="8" t="str">
        <f t="shared" si="85"/>
        <v>4/1/2021</v>
      </c>
      <c r="L1142" s="8" t="s">
        <v>56</v>
      </c>
      <c r="M1142" s="8">
        <v>20</v>
      </c>
      <c r="N1142" s="8">
        <v>20</v>
      </c>
      <c r="O1142" s="6" t="s">
        <v>3947</v>
      </c>
    </row>
    <row r="1143" spans="1:15" ht="15" customHeight="1" x14ac:dyDescent="0.2">
      <c r="A1143" s="7" t="s">
        <v>3900</v>
      </c>
      <c r="B1143" s="7">
        <v>8244481</v>
      </c>
      <c r="C1143" s="8">
        <v>1</v>
      </c>
      <c r="D1143" s="8">
        <v>921582283</v>
      </c>
      <c r="E1143" s="8" t="str">
        <f t="shared" si="88"/>
        <v>92158228322</v>
      </c>
      <c r="F1143" s="8" t="s">
        <v>1512</v>
      </c>
      <c r="G1143" s="8">
        <v>1</v>
      </c>
      <c r="H1143" s="8">
        <v>20250301</v>
      </c>
      <c r="I1143" s="8" t="str">
        <f t="shared" si="84"/>
        <v>3/1/2025</v>
      </c>
      <c r="J1143" s="8">
        <v>20210901</v>
      </c>
      <c r="K1143" s="8" t="str">
        <f t="shared" si="85"/>
        <v>9/1/2021</v>
      </c>
      <c r="L1143" s="8" t="s">
        <v>56</v>
      </c>
      <c r="M1143" s="8">
        <v>20</v>
      </c>
      <c r="N1143" s="8">
        <v>20</v>
      </c>
      <c r="O1143" s="6" t="s">
        <v>3947</v>
      </c>
    </row>
    <row r="1144" spans="1:15" ht="15" customHeight="1" x14ac:dyDescent="0.2">
      <c r="A1144" s="7" t="s">
        <v>3900</v>
      </c>
      <c r="B1144" s="7">
        <v>8244481</v>
      </c>
      <c r="C1144" s="8">
        <v>1</v>
      </c>
      <c r="D1144" s="8">
        <v>921588098</v>
      </c>
      <c r="E1144" s="8" t="str">
        <f t="shared" si="88"/>
        <v>92158809822</v>
      </c>
      <c r="F1144" s="8" t="s">
        <v>1518</v>
      </c>
      <c r="G1144" s="8">
        <v>1</v>
      </c>
      <c r="H1144" s="8">
        <v>20250401</v>
      </c>
      <c r="I1144" s="8" t="str">
        <f t="shared" si="84"/>
        <v>4/1/2025</v>
      </c>
      <c r="J1144" s="8">
        <v>20211101</v>
      </c>
      <c r="K1144" s="8" t="str">
        <f t="shared" si="85"/>
        <v>11/1/2021</v>
      </c>
      <c r="L1144" s="8" t="s">
        <v>56</v>
      </c>
      <c r="M1144" s="8">
        <v>20</v>
      </c>
      <c r="N1144" s="8">
        <v>20</v>
      </c>
      <c r="O1144" s="6" t="s">
        <v>3947</v>
      </c>
    </row>
    <row r="1145" spans="1:15" ht="15" customHeight="1" x14ac:dyDescent="0.2">
      <c r="A1145" s="7" t="s">
        <v>3900</v>
      </c>
      <c r="B1145" s="7">
        <v>8244481</v>
      </c>
      <c r="C1145" s="8">
        <v>1</v>
      </c>
      <c r="D1145" s="8">
        <v>921588374</v>
      </c>
      <c r="E1145" s="8" t="str">
        <f t="shared" si="88"/>
        <v>92158837422</v>
      </c>
      <c r="F1145" s="8" t="s">
        <v>1520</v>
      </c>
      <c r="G1145" s="8">
        <v>1</v>
      </c>
      <c r="H1145" s="8">
        <v>20250401</v>
      </c>
      <c r="I1145" s="8" t="str">
        <f t="shared" si="84"/>
        <v>4/1/2025</v>
      </c>
      <c r="J1145" s="8">
        <v>20220101</v>
      </c>
      <c r="K1145" s="8" t="str">
        <f t="shared" si="85"/>
        <v>1/1/2022</v>
      </c>
      <c r="L1145" s="8" t="s">
        <v>56</v>
      </c>
      <c r="M1145" s="8">
        <v>20</v>
      </c>
      <c r="N1145" s="8">
        <v>20</v>
      </c>
      <c r="O1145" s="6" t="s">
        <v>3947</v>
      </c>
    </row>
    <row r="1146" spans="1:15" ht="15" customHeight="1" x14ac:dyDescent="0.2">
      <c r="A1146" s="7" t="s">
        <v>3900</v>
      </c>
      <c r="B1146" s="7">
        <v>8244481</v>
      </c>
      <c r="C1146" s="8">
        <v>1</v>
      </c>
      <c r="D1146" s="8">
        <v>921589183</v>
      </c>
      <c r="E1146" s="8" t="str">
        <f t="shared" si="88"/>
        <v>92158918322</v>
      </c>
      <c r="F1146" s="8" t="s">
        <v>1522</v>
      </c>
      <c r="G1146" s="8">
        <v>1</v>
      </c>
      <c r="H1146" s="8">
        <v>20250401</v>
      </c>
      <c r="I1146" s="8" t="str">
        <f t="shared" si="84"/>
        <v>4/1/2025</v>
      </c>
      <c r="J1146" s="8">
        <v>20211201</v>
      </c>
      <c r="K1146" s="8" t="str">
        <f t="shared" si="85"/>
        <v>12/1/2021</v>
      </c>
      <c r="L1146" s="8" t="s">
        <v>56</v>
      </c>
      <c r="M1146" s="8">
        <v>20</v>
      </c>
      <c r="N1146" s="8">
        <v>20</v>
      </c>
      <c r="O1146" s="6" t="s">
        <v>3947</v>
      </c>
    </row>
    <row r="1147" spans="1:15" ht="15" customHeight="1" x14ac:dyDescent="0.2">
      <c r="A1147" s="7" t="s">
        <v>3900</v>
      </c>
      <c r="B1147" s="7">
        <v>8244481</v>
      </c>
      <c r="C1147" s="8">
        <v>1</v>
      </c>
      <c r="D1147" s="8">
        <v>921601036</v>
      </c>
      <c r="E1147" s="8" t="str">
        <f t="shared" si="88"/>
        <v>92160103622</v>
      </c>
      <c r="F1147" s="8" t="s">
        <v>1524</v>
      </c>
      <c r="G1147" s="8">
        <v>1</v>
      </c>
      <c r="H1147" s="8">
        <v>20250401</v>
      </c>
      <c r="I1147" s="8" t="str">
        <f t="shared" si="84"/>
        <v>4/1/2025</v>
      </c>
      <c r="J1147" s="8">
        <v>20220101</v>
      </c>
      <c r="K1147" s="8" t="str">
        <f t="shared" si="85"/>
        <v>1/1/2022</v>
      </c>
      <c r="L1147" s="8" t="s">
        <v>56</v>
      </c>
      <c r="M1147" s="8">
        <v>20</v>
      </c>
      <c r="N1147" s="8">
        <v>20</v>
      </c>
      <c r="O1147" s="6" t="s">
        <v>3947</v>
      </c>
    </row>
    <row r="1148" spans="1:15" ht="15" customHeight="1" x14ac:dyDescent="0.2">
      <c r="A1148" s="7" t="s">
        <v>3900</v>
      </c>
      <c r="B1148" s="7">
        <v>8244481</v>
      </c>
      <c r="C1148" s="8">
        <v>1</v>
      </c>
      <c r="D1148" s="8">
        <v>921601036</v>
      </c>
      <c r="E1148" s="8" t="str">
        <f t="shared" si="88"/>
        <v>92160103622</v>
      </c>
      <c r="F1148" s="8" t="s">
        <v>1524</v>
      </c>
      <c r="G1148" s="8">
        <v>1</v>
      </c>
      <c r="H1148" s="8">
        <v>20250301</v>
      </c>
      <c r="I1148" s="8" t="str">
        <f t="shared" si="84"/>
        <v>3/1/2025</v>
      </c>
      <c r="J1148" s="8">
        <v>20220101</v>
      </c>
      <c r="K1148" s="8" t="str">
        <f t="shared" si="85"/>
        <v>1/1/2022</v>
      </c>
      <c r="L1148" s="8" t="s">
        <v>56</v>
      </c>
      <c r="M1148" s="8">
        <v>20</v>
      </c>
      <c r="N1148" s="8">
        <v>20</v>
      </c>
      <c r="O1148" s="6" t="s">
        <v>3947</v>
      </c>
    </row>
    <row r="1149" spans="1:15" ht="15" customHeight="1" x14ac:dyDescent="0.2">
      <c r="A1149" s="7" t="s">
        <v>3900</v>
      </c>
      <c r="B1149" s="7">
        <v>8244481</v>
      </c>
      <c r="C1149" s="8">
        <v>1</v>
      </c>
      <c r="D1149" s="8">
        <v>921612308</v>
      </c>
      <c r="E1149" s="8" t="str">
        <f t="shared" si="88"/>
        <v>92161230822</v>
      </c>
      <c r="F1149" s="8" t="s">
        <v>1528</v>
      </c>
      <c r="G1149" s="8">
        <v>1</v>
      </c>
      <c r="H1149" s="8">
        <v>20250401</v>
      </c>
      <c r="I1149" s="8" t="str">
        <f t="shared" si="84"/>
        <v>4/1/2025</v>
      </c>
      <c r="J1149" s="8">
        <v>20220501</v>
      </c>
      <c r="K1149" s="8" t="str">
        <f t="shared" si="85"/>
        <v>5/1/2022</v>
      </c>
      <c r="L1149" s="8" t="s">
        <v>56</v>
      </c>
      <c r="M1149" s="8">
        <v>20</v>
      </c>
      <c r="N1149" s="8">
        <v>20</v>
      </c>
      <c r="O1149" s="6" t="s">
        <v>3947</v>
      </c>
    </row>
    <row r="1150" spans="1:15" ht="15" customHeight="1" x14ac:dyDescent="0.2">
      <c r="A1150" s="7" t="s">
        <v>3900</v>
      </c>
      <c r="B1150" s="7">
        <v>8244481</v>
      </c>
      <c r="C1150" s="8">
        <v>1</v>
      </c>
      <c r="D1150" s="8">
        <v>921612308</v>
      </c>
      <c r="E1150" s="8" t="str">
        <f t="shared" si="88"/>
        <v>92161230822</v>
      </c>
      <c r="F1150" s="8" t="s">
        <v>1528</v>
      </c>
      <c r="G1150" s="8">
        <v>1</v>
      </c>
      <c r="H1150" s="8">
        <v>20250301</v>
      </c>
      <c r="I1150" s="8" t="str">
        <f t="shared" si="84"/>
        <v>3/1/2025</v>
      </c>
      <c r="J1150" s="8">
        <v>20220501</v>
      </c>
      <c r="K1150" s="8" t="str">
        <f t="shared" si="85"/>
        <v>5/1/2022</v>
      </c>
      <c r="L1150" s="8" t="s">
        <v>56</v>
      </c>
      <c r="M1150" s="8">
        <v>20</v>
      </c>
      <c r="N1150" s="8">
        <v>20</v>
      </c>
      <c r="O1150" s="6" t="s">
        <v>3947</v>
      </c>
    </row>
    <row r="1151" spans="1:15" ht="15" customHeight="1" x14ac:dyDescent="0.2">
      <c r="A1151" s="7" t="s">
        <v>3900</v>
      </c>
      <c r="B1151" s="7">
        <v>8244481</v>
      </c>
      <c r="C1151" s="8">
        <v>1</v>
      </c>
      <c r="D1151" s="8">
        <v>921612308</v>
      </c>
      <c r="E1151" s="8" t="str">
        <f t="shared" si="88"/>
        <v>92161230822</v>
      </c>
      <c r="F1151" s="8" t="s">
        <v>1528</v>
      </c>
      <c r="G1151" s="8">
        <v>1</v>
      </c>
      <c r="H1151" s="8">
        <v>20250201</v>
      </c>
      <c r="I1151" s="8" t="str">
        <f t="shared" si="84"/>
        <v>2/1/2025</v>
      </c>
      <c r="J1151" s="8">
        <v>20220501</v>
      </c>
      <c r="K1151" s="8" t="str">
        <f t="shared" si="85"/>
        <v>5/1/2022</v>
      </c>
      <c r="L1151" s="8" t="s">
        <v>56</v>
      </c>
      <c r="M1151" s="8">
        <v>20</v>
      </c>
      <c r="N1151" s="8">
        <v>20</v>
      </c>
      <c r="O1151" s="6" t="s">
        <v>3947</v>
      </c>
    </row>
    <row r="1152" spans="1:15" ht="15" customHeight="1" x14ac:dyDescent="0.2">
      <c r="A1152" s="7" t="s">
        <v>3900</v>
      </c>
      <c r="B1152" s="7">
        <v>8244481</v>
      </c>
      <c r="C1152" s="8">
        <v>1</v>
      </c>
      <c r="D1152" s="8">
        <v>921612417</v>
      </c>
      <c r="E1152" s="8" t="str">
        <f t="shared" si="88"/>
        <v>92161241722</v>
      </c>
      <c r="F1152" s="8" t="s">
        <v>1530</v>
      </c>
      <c r="G1152" s="8">
        <v>1</v>
      </c>
      <c r="H1152" s="8">
        <v>20250401</v>
      </c>
      <c r="I1152" s="8" t="str">
        <f t="shared" si="84"/>
        <v>4/1/2025</v>
      </c>
      <c r="J1152" s="8">
        <v>20220501</v>
      </c>
      <c r="K1152" s="8" t="str">
        <f t="shared" si="85"/>
        <v>5/1/2022</v>
      </c>
      <c r="L1152" s="8" t="s">
        <v>56</v>
      </c>
      <c r="M1152" s="8">
        <v>20</v>
      </c>
      <c r="N1152" s="8">
        <v>20</v>
      </c>
      <c r="O1152" s="6" t="s">
        <v>3947</v>
      </c>
    </row>
    <row r="1153" spans="1:15" ht="15" customHeight="1" x14ac:dyDescent="0.2">
      <c r="A1153" s="7" t="s">
        <v>3900</v>
      </c>
      <c r="B1153" s="7">
        <v>8244481</v>
      </c>
      <c r="C1153" s="8">
        <v>1</v>
      </c>
      <c r="D1153" s="8">
        <v>921620688</v>
      </c>
      <c r="E1153" s="8" t="str">
        <f t="shared" si="88"/>
        <v>92162068822</v>
      </c>
      <c r="F1153" s="8" t="s">
        <v>1534</v>
      </c>
      <c r="G1153" s="8">
        <v>1</v>
      </c>
      <c r="H1153" s="8">
        <v>20250301</v>
      </c>
      <c r="I1153" s="8" t="str">
        <f t="shared" si="84"/>
        <v>3/1/2025</v>
      </c>
      <c r="J1153" s="8">
        <v>20220901</v>
      </c>
      <c r="K1153" s="8" t="str">
        <f t="shared" si="85"/>
        <v>9/1/2022</v>
      </c>
      <c r="L1153" s="8" t="s">
        <v>56</v>
      </c>
      <c r="M1153" s="8">
        <v>20</v>
      </c>
      <c r="N1153" s="8">
        <v>20</v>
      </c>
      <c r="O1153" s="6" t="s">
        <v>3947</v>
      </c>
    </row>
    <row r="1154" spans="1:15" ht="15" customHeight="1" x14ac:dyDescent="0.2">
      <c r="A1154" s="7" t="s">
        <v>3900</v>
      </c>
      <c r="B1154" s="7">
        <v>8244481</v>
      </c>
      <c r="C1154" s="8">
        <v>1</v>
      </c>
      <c r="D1154" s="8">
        <v>921627597</v>
      </c>
      <c r="E1154" s="8" t="str">
        <f t="shared" si="88"/>
        <v>92162759722</v>
      </c>
      <c r="F1154" s="8" t="s">
        <v>1538</v>
      </c>
      <c r="G1154" s="8">
        <v>1</v>
      </c>
      <c r="H1154" s="8">
        <v>20250401</v>
      </c>
      <c r="I1154" s="8" t="str">
        <f t="shared" si="84"/>
        <v>4/1/2025</v>
      </c>
      <c r="J1154" s="8">
        <v>20230101</v>
      </c>
      <c r="K1154" s="8" t="str">
        <f t="shared" si="85"/>
        <v>1/1/2023</v>
      </c>
      <c r="L1154" s="8" t="s">
        <v>56</v>
      </c>
      <c r="M1154" s="8">
        <v>20</v>
      </c>
      <c r="N1154" s="8">
        <v>20</v>
      </c>
      <c r="O1154" s="6" t="s">
        <v>3947</v>
      </c>
    </row>
    <row r="1155" spans="1:15" ht="15" customHeight="1" x14ac:dyDescent="0.2">
      <c r="A1155" s="7" t="s">
        <v>3900</v>
      </c>
      <c r="B1155" s="7">
        <v>8244481</v>
      </c>
      <c r="C1155" s="8">
        <v>1</v>
      </c>
      <c r="D1155" s="8">
        <v>921635174</v>
      </c>
      <c r="E1155" s="8" t="str">
        <f t="shared" si="88"/>
        <v>92163517422</v>
      </c>
      <c r="F1155" s="8" t="s">
        <v>1542</v>
      </c>
      <c r="G1155" s="8">
        <v>1</v>
      </c>
      <c r="H1155" s="8">
        <v>20250401</v>
      </c>
      <c r="I1155" s="8" t="str">
        <f t="shared" ref="I1155:I1218" si="89">TEXT(DATE(LEFT(H1155,4), MID(H1155,5,2), RIGHT(H1155,2)), "M/d/yyyy")</f>
        <v>4/1/2025</v>
      </c>
      <c r="J1155" s="8">
        <v>20230101</v>
      </c>
      <c r="K1155" s="8" t="str">
        <f t="shared" ref="K1155:K1218" si="90">TEXT(DATE(LEFT(J1155,4), MID(J1155,5,2), RIGHT(J1155,2)), "M/d/yyyy")</f>
        <v>1/1/2023</v>
      </c>
      <c r="L1155" s="8" t="s">
        <v>56</v>
      </c>
      <c r="M1155" s="8">
        <v>20</v>
      </c>
      <c r="N1155" s="8">
        <v>20</v>
      </c>
      <c r="O1155" s="6" t="s">
        <v>3947</v>
      </c>
    </row>
    <row r="1156" spans="1:15" ht="15" customHeight="1" x14ac:dyDescent="0.2">
      <c r="A1156" s="7" t="s">
        <v>3900</v>
      </c>
      <c r="B1156" s="7">
        <v>8244481</v>
      </c>
      <c r="C1156" s="8">
        <v>1</v>
      </c>
      <c r="D1156" s="8">
        <v>921640871</v>
      </c>
      <c r="E1156" s="8" t="str">
        <f t="shared" si="88"/>
        <v>92164087122</v>
      </c>
      <c r="F1156" s="8" t="s">
        <v>1546</v>
      </c>
      <c r="G1156" s="8">
        <v>1</v>
      </c>
      <c r="H1156" s="8">
        <v>20250401</v>
      </c>
      <c r="I1156" s="8" t="str">
        <f t="shared" si="89"/>
        <v>4/1/2025</v>
      </c>
      <c r="J1156" s="8">
        <v>20230101</v>
      </c>
      <c r="K1156" s="8" t="str">
        <f t="shared" si="90"/>
        <v>1/1/2023</v>
      </c>
      <c r="L1156" s="8" t="s">
        <v>56</v>
      </c>
      <c r="M1156" s="8">
        <v>20</v>
      </c>
      <c r="N1156" s="8">
        <v>20</v>
      </c>
      <c r="O1156" s="6" t="s">
        <v>3947</v>
      </c>
    </row>
    <row r="1157" spans="1:15" ht="15" customHeight="1" x14ac:dyDescent="0.2">
      <c r="A1157" s="7" t="s">
        <v>3900</v>
      </c>
      <c r="B1157" s="7">
        <v>8244481</v>
      </c>
      <c r="C1157" s="8">
        <v>1</v>
      </c>
      <c r="D1157" s="8">
        <v>921643615</v>
      </c>
      <c r="E1157" s="8" t="str">
        <f t="shared" si="88"/>
        <v>92164361522</v>
      </c>
      <c r="F1157" s="8" t="s">
        <v>1548</v>
      </c>
      <c r="G1157" s="8">
        <v>1</v>
      </c>
      <c r="H1157" s="8">
        <v>20250401</v>
      </c>
      <c r="I1157" s="8" t="str">
        <f t="shared" si="89"/>
        <v>4/1/2025</v>
      </c>
      <c r="J1157" s="8">
        <v>20230101</v>
      </c>
      <c r="K1157" s="8" t="str">
        <f t="shared" si="90"/>
        <v>1/1/2023</v>
      </c>
      <c r="L1157" s="8" t="s">
        <v>56</v>
      </c>
      <c r="M1157" s="8">
        <v>20</v>
      </c>
      <c r="N1157" s="8">
        <v>20</v>
      </c>
      <c r="O1157" s="6" t="s">
        <v>3947</v>
      </c>
    </row>
    <row r="1158" spans="1:15" ht="15" customHeight="1" x14ac:dyDescent="0.2">
      <c r="A1158" s="7" t="s">
        <v>3900</v>
      </c>
      <c r="B1158" s="7">
        <v>8244481</v>
      </c>
      <c r="C1158" s="8">
        <v>1</v>
      </c>
      <c r="D1158" s="8">
        <v>921645238</v>
      </c>
      <c r="E1158" s="8" t="str">
        <f t="shared" si="88"/>
        <v>92164523822</v>
      </c>
      <c r="F1158" s="8" t="s">
        <v>1550</v>
      </c>
      <c r="G1158" s="8">
        <v>1</v>
      </c>
      <c r="H1158" s="8">
        <v>20250401</v>
      </c>
      <c r="I1158" s="8" t="str">
        <f t="shared" si="89"/>
        <v>4/1/2025</v>
      </c>
      <c r="J1158" s="8">
        <v>20230101</v>
      </c>
      <c r="K1158" s="8" t="str">
        <f t="shared" si="90"/>
        <v>1/1/2023</v>
      </c>
      <c r="L1158" s="8" t="s">
        <v>56</v>
      </c>
      <c r="M1158" s="8">
        <v>20</v>
      </c>
      <c r="N1158" s="8">
        <v>20</v>
      </c>
      <c r="O1158" s="6" t="s">
        <v>3947</v>
      </c>
    </row>
    <row r="1159" spans="1:15" ht="15" customHeight="1" x14ac:dyDescent="0.2">
      <c r="A1159" s="7" t="s">
        <v>3900</v>
      </c>
      <c r="B1159" s="7">
        <v>8244481</v>
      </c>
      <c r="C1159" s="8">
        <v>1</v>
      </c>
      <c r="D1159" s="8">
        <v>921645863</v>
      </c>
      <c r="E1159" s="8" t="str">
        <f t="shared" si="88"/>
        <v>92164586322</v>
      </c>
      <c r="F1159" s="8" t="s">
        <v>1552</v>
      </c>
      <c r="G1159" s="8">
        <v>1</v>
      </c>
      <c r="H1159" s="8">
        <v>20250401</v>
      </c>
      <c r="I1159" s="8" t="str">
        <f t="shared" si="89"/>
        <v>4/1/2025</v>
      </c>
      <c r="J1159" s="8">
        <v>20230101</v>
      </c>
      <c r="K1159" s="8" t="str">
        <f t="shared" si="90"/>
        <v>1/1/2023</v>
      </c>
      <c r="L1159" s="8" t="s">
        <v>56</v>
      </c>
      <c r="M1159" s="8">
        <v>20</v>
      </c>
      <c r="N1159" s="8">
        <v>20</v>
      </c>
      <c r="O1159" s="6" t="s">
        <v>3947</v>
      </c>
    </row>
    <row r="1160" spans="1:15" ht="15" customHeight="1" x14ac:dyDescent="0.2">
      <c r="A1160" s="7" t="s">
        <v>3900</v>
      </c>
      <c r="B1160" s="7">
        <v>8244481</v>
      </c>
      <c r="C1160" s="8">
        <v>1</v>
      </c>
      <c r="D1160" s="8">
        <v>921651646</v>
      </c>
      <c r="E1160" s="8" t="str">
        <f t="shared" si="88"/>
        <v>92165164622</v>
      </c>
      <c r="F1160" s="8" t="s">
        <v>1554</v>
      </c>
      <c r="G1160" s="8">
        <v>1</v>
      </c>
      <c r="H1160" s="8">
        <v>20250401</v>
      </c>
      <c r="I1160" s="8" t="str">
        <f t="shared" si="89"/>
        <v>4/1/2025</v>
      </c>
      <c r="J1160" s="8">
        <v>20230201</v>
      </c>
      <c r="K1160" s="8" t="str">
        <f t="shared" si="90"/>
        <v>2/1/2023</v>
      </c>
      <c r="L1160" s="8" t="s">
        <v>56</v>
      </c>
      <c r="M1160" s="8">
        <v>20</v>
      </c>
      <c r="N1160" s="8">
        <v>20</v>
      </c>
      <c r="O1160" s="6" t="s">
        <v>3947</v>
      </c>
    </row>
    <row r="1161" spans="1:15" ht="15" customHeight="1" x14ac:dyDescent="0.2">
      <c r="A1161" s="7" t="s">
        <v>3900</v>
      </c>
      <c r="B1161" s="7">
        <v>8244481</v>
      </c>
      <c r="C1161" s="8">
        <v>1</v>
      </c>
      <c r="D1161" s="8">
        <v>921654677</v>
      </c>
      <c r="E1161" s="8" t="str">
        <f t="shared" si="88"/>
        <v>92165467722</v>
      </c>
      <c r="F1161" s="8" t="s">
        <v>1556</v>
      </c>
      <c r="G1161" s="8">
        <v>1</v>
      </c>
      <c r="H1161" s="8">
        <v>20250401</v>
      </c>
      <c r="I1161" s="8" t="str">
        <f t="shared" si="89"/>
        <v>4/1/2025</v>
      </c>
      <c r="J1161" s="8">
        <v>20230301</v>
      </c>
      <c r="K1161" s="8" t="str">
        <f t="shared" si="90"/>
        <v>3/1/2023</v>
      </c>
      <c r="L1161" s="8" t="s">
        <v>56</v>
      </c>
      <c r="M1161" s="8">
        <v>20</v>
      </c>
      <c r="N1161" s="8">
        <v>20</v>
      </c>
      <c r="O1161" s="6" t="s">
        <v>3947</v>
      </c>
    </row>
    <row r="1162" spans="1:15" ht="15" customHeight="1" x14ac:dyDescent="0.2">
      <c r="A1162" s="7" t="s">
        <v>3900</v>
      </c>
      <c r="B1162" s="7">
        <v>8244481</v>
      </c>
      <c r="C1162" s="8">
        <v>1</v>
      </c>
      <c r="D1162" s="8">
        <v>921659141</v>
      </c>
      <c r="E1162" s="8" t="str">
        <f t="shared" si="88"/>
        <v>92165914122</v>
      </c>
      <c r="F1162" s="8" t="s">
        <v>1563</v>
      </c>
      <c r="G1162" s="8">
        <v>1</v>
      </c>
      <c r="H1162" s="8">
        <v>20250401</v>
      </c>
      <c r="I1162" s="8" t="str">
        <f t="shared" si="89"/>
        <v>4/1/2025</v>
      </c>
      <c r="J1162" s="8">
        <v>20230501</v>
      </c>
      <c r="K1162" s="8" t="str">
        <f t="shared" si="90"/>
        <v>5/1/2023</v>
      </c>
      <c r="L1162" s="8" t="s">
        <v>56</v>
      </c>
      <c r="M1162" s="8">
        <v>20</v>
      </c>
      <c r="N1162" s="8">
        <v>20</v>
      </c>
      <c r="O1162" s="6" t="s">
        <v>3947</v>
      </c>
    </row>
    <row r="1163" spans="1:15" ht="15" customHeight="1" x14ac:dyDescent="0.2">
      <c r="A1163" s="7" t="s">
        <v>3900</v>
      </c>
      <c r="B1163" s="7">
        <v>8244481</v>
      </c>
      <c r="C1163" s="8">
        <v>1</v>
      </c>
      <c r="D1163" s="8">
        <v>921659141</v>
      </c>
      <c r="E1163" s="8" t="str">
        <f t="shared" si="88"/>
        <v>92165914122</v>
      </c>
      <c r="F1163" s="8" t="s">
        <v>1563</v>
      </c>
      <c r="G1163" s="8">
        <v>1</v>
      </c>
      <c r="H1163" s="8">
        <v>20250301</v>
      </c>
      <c r="I1163" s="8" t="str">
        <f t="shared" si="89"/>
        <v>3/1/2025</v>
      </c>
      <c r="J1163" s="8">
        <v>20230501</v>
      </c>
      <c r="K1163" s="8" t="str">
        <f t="shared" si="90"/>
        <v>5/1/2023</v>
      </c>
      <c r="L1163" s="8" t="s">
        <v>56</v>
      </c>
      <c r="M1163" s="8">
        <v>20</v>
      </c>
      <c r="N1163" s="8">
        <v>20</v>
      </c>
      <c r="O1163" s="6" t="s">
        <v>3947</v>
      </c>
    </row>
    <row r="1164" spans="1:15" ht="15" customHeight="1" x14ac:dyDescent="0.2">
      <c r="A1164" s="7" t="s">
        <v>3900</v>
      </c>
      <c r="B1164" s="7">
        <v>8244481</v>
      </c>
      <c r="C1164" s="8">
        <v>1</v>
      </c>
      <c r="D1164" s="8">
        <v>921663885</v>
      </c>
      <c r="E1164" s="8" t="str">
        <f t="shared" si="88"/>
        <v>92166388522</v>
      </c>
      <c r="F1164" s="8" t="s">
        <v>1569</v>
      </c>
      <c r="G1164" s="8">
        <v>1</v>
      </c>
      <c r="H1164" s="8">
        <v>20250401</v>
      </c>
      <c r="I1164" s="8" t="str">
        <f t="shared" si="89"/>
        <v>4/1/2025</v>
      </c>
      <c r="J1164" s="8">
        <v>20230701</v>
      </c>
      <c r="K1164" s="8" t="str">
        <f t="shared" si="90"/>
        <v>7/1/2023</v>
      </c>
      <c r="L1164" s="8" t="s">
        <v>56</v>
      </c>
      <c r="M1164" s="8">
        <v>20</v>
      </c>
      <c r="N1164" s="8">
        <v>20</v>
      </c>
      <c r="O1164" s="6" t="s">
        <v>3947</v>
      </c>
    </row>
    <row r="1165" spans="1:15" ht="15" customHeight="1" x14ac:dyDescent="0.2">
      <c r="A1165" s="7" t="s">
        <v>3900</v>
      </c>
      <c r="B1165" s="7">
        <v>8244481</v>
      </c>
      <c r="C1165" s="8">
        <v>1</v>
      </c>
      <c r="D1165" s="8">
        <v>921670908</v>
      </c>
      <c r="E1165" s="8" t="str">
        <f t="shared" si="88"/>
        <v>92167090822</v>
      </c>
      <c r="F1165" s="8" t="s">
        <v>1571</v>
      </c>
      <c r="G1165" s="8">
        <v>1</v>
      </c>
      <c r="H1165" s="8">
        <v>20250401</v>
      </c>
      <c r="I1165" s="8" t="str">
        <f t="shared" si="89"/>
        <v>4/1/2025</v>
      </c>
      <c r="J1165" s="8">
        <v>20231001</v>
      </c>
      <c r="K1165" s="8" t="str">
        <f t="shared" si="90"/>
        <v>10/1/2023</v>
      </c>
      <c r="L1165" s="8" t="s">
        <v>56</v>
      </c>
      <c r="M1165" s="8">
        <v>20</v>
      </c>
      <c r="N1165" s="8">
        <v>20</v>
      </c>
      <c r="O1165" s="6" t="s">
        <v>3947</v>
      </c>
    </row>
    <row r="1166" spans="1:15" ht="15" customHeight="1" x14ac:dyDescent="0.2">
      <c r="A1166" s="7" t="s">
        <v>3900</v>
      </c>
      <c r="B1166" s="7">
        <v>8244481</v>
      </c>
      <c r="C1166" s="8">
        <v>1</v>
      </c>
      <c r="D1166" s="8">
        <v>921670914</v>
      </c>
      <c r="E1166" s="8" t="str">
        <f t="shared" si="88"/>
        <v>92167091422</v>
      </c>
      <c r="F1166" s="8" t="s">
        <v>1573</v>
      </c>
      <c r="G1166" s="8">
        <v>1</v>
      </c>
      <c r="H1166" s="8">
        <v>20250401</v>
      </c>
      <c r="I1166" s="8" t="str">
        <f t="shared" si="89"/>
        <v>4/1/2025</v>
      </c>
      <c r="J1166" s="8">
        <v>20231001</v>
      </c>
      <c r="K1166" s="8" t="str">
        <f t="shared" si="90"/>
        <v>10/1/2023</v>
      </c>
      <c r="L1166" s="8" t="s">
        <v>56</v>
      </c>
      <c r="M1166" s="8">
        <v>20</v>
      </c>
      <c r="N1166" s="8">
        <v>20</v>
      </c>
      <c r="O1166" s="6" t="s">
        <v>3947</v>
      </c>
    </row>
    <row r="1167" spans="1:15" ht="15" customHeight="1" x14ac:dyDescent="0.2">
      <c r="A1167" s="7" t="s">
        <v>3900</v>
      </c>
      <c r="B1167" s="7">
        <v>8244481</v>
      </c>
      <c r="C1167" s="8">
        <v>1</v>
      </c>
      <c r="D1167" s="8">
        <v>921674626</v>
      </c>
      <c r="E1167" s="8" t="str">
        <f t="shared" si="88"/>
        <v>92167462622</v>
      </c>
      <c r="F1167" s="8" t="s">
        <v>1579</v>
      </c>
      <c r="G1167" s="8">
        <v>1</v>
      </c>
      <c r="H1167" s="8">
        <v>20250401</v>
      </c>
      <c r="I1167" s="8" t="str">
        <f t="shared" si="89"/>
        <v>4/1/2025</v>
      </c>
      <c r="J1167" s="8">
        <v>20231001</v>
      </c>
      <c r="K1167" s="8" t="str">
        <f t="shared" si="90"/>
        <v>10/1/2023</v>
      </c>
      <c r="L1167" s="8" t="s">
        <v>56</v>
      </c>
      <c r="M1167" s="8">
        <v>20</v>
      </c>
      <c r="N1167" s="8">
        <v>20</v>
      </c>
      <c r="O1167" s="6" t="s">
        <v>3947</v>
      </c>
    </row>
    <row r="1168" spans="1:15" ht="15" customHeight="1" x14ac:dyDescent="0.2">
      <c r="A1168" s="7" t="s">
        <v>3900</v>
      </c>
      <c r="B1168" s="7">
        <v>8244481</v>
      </c>
      <c r="C1168" s="8">
        <v>1</v>
      </c>
      <c r="D1168" s="8">
        <v>921676406</v>
      </c>
      <c r="E1168" s="8" t="str">
        <f t="shared" si="88"/>
        <v>92167640622</v>
      </c>
      <c r="F1168" s="8" t="s">
        <v>1581</v>
      </c>
      <c r="G1168" s="8">
        <v>1</v>
      </c>
      <c r="H1168" s="8">
        <v>20250401</v>
      </c>
      <c r="I1168" s="8" t="str">
        <f t="shared" si="89"/>
        <v>4/1/2025</v>
      </c>
      <c r="J1168" s="8">
        <v>20231101</v>
      </c>
      <c r="K1168" s="8" t="str">
        <f t="shared" si="90"/>
        <v>11/1/2023</v>
      </c>
      <c r="L1168" s="8" t="s">
        <v>56</v>
      </c>
      <c r="M1168" s="8">
        <v>20</v>
      </c>
      <c r="N1168" s="8">
        <v>20</v>
      </c>
      <c r="O1168" s="6" t="s">
        <v>3947</v>
      </c>
    </row>
    <row r="1169" spans="1:37" ht="15" customHeight="1" x14ac:dyDescent="0.2">
      <c r="A1169" s="7" t="s">
        <v>3900</v>
      </c>
      <c r="B1169" s="7">
        <v>8244481</v>
      </c>
      <c r="C1169" s="8">
        <v>1</v>
      </c>
      <c r="D1169" s="8">
        <v>921680214</v>
      </c>
      <c r="E1169" s="8" t="str">
        <f t="shared" si="88"/>
        <v>92168021422</v>
      </c>
      <c r="F1169" s="8" t="s">
        <v>1583</v>
      </c>
      <c r="G1169" s="8">
        <v>1</v>
      </c>
      <c r="H1169" s="8">
        <v>20250401</v>
      </c>
      <c r="I1169" s="8" t="str">
        <f t="shared" si="89"/>
        <v>4/1/2025</v>
      </c>
      <c r="J1169" s="8">
        <v>20240101</v>
      </c>
      <c r="K1169" s="8" t="str">
        <f t="shared" si="90"/>
        <v>1/1/2024</v>
      </c>
      <c r="L1169" s="8" t="s">
        <v>56</v>
      </c>
      <c r="M1169" s="8">
        <v>20</v>
      </c>
      <c r="N1169" s="8">
        <v>20</v>
      </c>
      <c r="O1169" s="6" t="s">
        <v>3947</v>
      </c>
    </row>
    <row r="1170" spans="1:37" ht="15" customHeight="1" x14ac:dyDescent="0.2">
      <c r="A1170" s="7" t="s">
        <v>3900</v>
      </c>
      <c r="B1170" s="7">
        <v>8244481</v>
      </c>
      <c r="C1170" s="8">
        <v>1</v>
      </c>
      <c r="D1170" s="8">
        <v>921681159</v>
      </c>
      <c r="E1170" s="8" t="str">
        <f t="shared" si="88"/>
        <v>92168115922</v>
      </c>
      <c r="F1170" s="8" t="s">
        <v>1585</v>
      </c>
      <c r="G1170" s="8">
        <v>1</v>
      </c>
      <c r="H1170" s="8">
        <v>20250401</v>
      </c>
      <c r="I1170" s="8" t="str">
        <f t="shared" si="89"/>
        <v>4/1/2025</v>
      </c>
      <c r="J1170" s="8">
        <v>20240101</v>
      </c>
      <c r="K1170" s="8" t="str">
        <f t="shared" si="90"/>
        <v>1/1/2024</v>
      </c>
      <c r="L1170" s="8" t="s">
        <v>56</v>
      </c>
      <c r="M1170" s="8">
        <v>20</v>
      </c>
      <c r="N1170" s="8">
        <v>20</v>
      </c>
      <c r="O1170" s="6" t="s">
        <v>3947</v>
      </c>
    </row>
    <row r="1171" spans="1:37" ht="15" customHeight="1" x14ac:dyDescent="0.2">
      <c r="A1171" s="7" t="s">
        <v>3900</v>
      </c>
      <c r="B1171" s="7">
        <v>8244481</v>
      </c>
      <c r="C1171" s="8">
        <v>1</v>
      </c>
      <c r="D1171" s="8">
        <v>921686621</v>
      </c>
      <c r="E1171" s="8" t="str">
        <f t="shared" si="88"/>
        <v>92168662122</v>
      </c>
      <c r="F1171" s="8" t="s">
        <v>1589</v>
      </c>
      <c r="G1171" s="8">
        <v>1</v>
      </c>
      <c r="H1171" s="8">
        <v>20250301</v>
      </c>
      <c r="I1171" s="8" t="str">
        <f t="shared" si="89"/>
        <v>3/1/2025</v>
      </c>
      <c r="J1171" s="8">
        <v>20240101</v>
      </c>
      <c r="K1171" s="8" t="str">
        <f t="shared" si="90"/>
        <v>1/1/2024</v>
      </c>
      <c r="L1171" s="8" t="s">
        <v>56</v>
      </c>
      <c r="M1171" s="8">
        <v>20</v>
      </c>
      <c r="N1171" s="8">
        <v>20</v>
      </c>
      <c r="O1171" s="6" t="s">
        <v>3947</v>
      </c>
    </row>
    <row r="1172" spans="1:37" ht="15" customHeight="1" x14ac:dyDescent="0.2">
      <c r="A1172" s="7" t="s">
        <v>3900</v>
      </c>
      <c r="B1172" s="7">
        <v>8244481</v>
      </c>
      <c r="C1172" s="8">
        <v>1</v>
      </c>
      <c r="D1172" s="8">
        <v>921687152</v>
      </c>
      <c r="E1172" s="8" t="str">
        <f t="shared" si="88"/>
        <v>92168715222</v>
      </c>
      <c r="F1172" s="8" t="s">
        <v>1591</v>
      </c>
      <c r="G1172" s="8">
        <v>1</v>
      </c>
      <c r="H1172" s="8">
        <v>20250401</v>
      </c>
      <c r="I1172" s="8" t="str">
        <f t="shared" si="89"/>
        <v>4/1/2025</v>
      </c>
      <c r="J1172" s="8">
        <v>20240101</v>
      </c>
      <c r="K1172" s="8" t="str">
        <f t="shared" si="90"/>
        <v>1/1/2024</v>
      </c>
      <c r="L1172" s="8" t="s">
        <v>56</v>
      </c>
      <c r="M1172" s="8">
        <v>20</v>
      </c>
      <c r="N1172" s="8">
        <v>20</v>
      </c>
      <c r="O1172" s="6" t="s">
        <v>3947</v>
      </c>
    </row>
    <row r="1173" spans="1:37" ht="15" customHeight="1" x14ac:dyDescent="0.2">
      <c r="A1173" s="7" t="s">
        <v>3900</v>
      </c>
      <c r="B1173" s="7">
        <v>8244481</v>
      </c>
      <c r="C1173" s="8">
        <v>1</v>
      </c>
      <c r="D1173" s="8">
        <v>921689026</v>
      </c>
      <c r="E1173" s="8" t="str">
        <f t="shared" si="88"/>
        <v>92168902622</v>
      </c>
      <c r="F1173" s="8" t="s">
        <v>1593</v>
      </c>
      <c r="G1173" s="8">
        <v>1</v>
      </c>
      <c r="H1173" s="8">
        <v>20250401</v>
      </c>
      <c r="I1173" s="8" t="str">
        <f t="shared" si="89"/>
        <v>4/1/2025</v>
      </c>
      <c r="J1173" s="8">
        <v>20231201</v>
      </c>
      <c r="K1173" s="8" t="str">
        <f t="shared" si="90"/>
        <v>12/1/2023</v>
      </c>
      <c r="L1173" s="8" t="s">
        <v>56</v>
      </c>
      <c r="M1173" s="8">
        <v>20</v>
      </c>
      <c r="N1173" s="8">
        <v>20</v>
      </c>
      <c r="O1173" s="6" t="s">
        <v>3947</v>
      </c>
    </row>
    <row r="1174" spans="1:37" ht="15" customHeight="1" x14ac:dyDescent="0.2">
      <c r="A1174" s="7" t="s">
        <v>3900</v>
      </c>
      <c r="B1174" s="7">
        <v>8244481</v>
      </c>
      <c r="C1174" s="8">
        <v>1</v>
      </c>
      <c r="D1174" s="8">
        <v>921689026</v>
      </c>
      <c r="E1174" s="8" t="str">
        <f t="shared" si="88"/>
        <v>92168902622</v>
      </c>
      <c r="F1174" s="8" t="s">
        <v>1593</v>
      </c>
      <c r="G1174" s="8">
        <v>1</v>
      </c>
      <c r="H1174" s="8">
        <v>20250301</v>
      </c>
      <c r="I1174" s="8" t="str">
        <f t="shared" si="89"/>
        <v>3/1/2025</v>
      </c>
      <c r="J1174" s="8">
        <v>20231201</v>
      </c>
      <c r="K1174" s="8" t="str">
        <f t="shared" si="90"/>
        <v>12/1/2023</v>
      </c>
      <c r="L1174" s="8" t="s">
        <v>56</v>
      </c>
      <c r="M1174" s="8">
        <v>20</v>
      </c>
      <c r="N1174" s="8">
        <v>20</v>
      </c>
      <c r="O1174" s="6" t="s">
        <v>3947</v>
      </c>
    </row>
    <row r="1175" spans="1:37" ht="15" customHeight="1" x14ac:dyDescent="0.2">
      <c r="A1175" s="7" t="s">
        <v>3900</v>
      </c>
      <c r="B1175" s="7">
        <v>8244481</v>
      </c>
      <c r="C1175" s="8">
        <v>1</v>
      </c>
      <c r="D1175" s="8">
        <v>921689026</v>
      </c>
      <c r="E1175" s="8" t="str">
        <f t="shared" si="88"/>
        <v>92168902622</v>
      </c>
      <c r="F1175" s="8" t="s">
        <v>1593</v>
      </c>
      <c r="G1175" s="8">
        <v>1</v>
      </c>
      <c r="H1175" s="8">
        <v>20250201</v>
      </c>
      <c r="I1175" s="8" t="str">
        <f t="shared" si="89"/>
        <v>2/1/2025</v>
      </c>
      <c r="J1175" s="8">
        <v>20231201</v>
      </c>
      <c r="K1175" s="8" t="str">
        <f t="shared" si="90"/>
        <v>12/1/2023</v>
      </c>
      <c r="L1175" s="8" t="s">
        <v>56</v>
      </c>
      <c r="M1175" s="8">
        <v>20</v>
      </c>
      <c r="N1175" s="8">
        <v>20</v>
      </c>
      <c r="O1175" s="6" t="s">
        <v>3947</v>
      </c>
    </row>
    <row r="1176" spans="1:37" ht="15" customHeight="1" x14ac:dyDescent="0.2">
      <c r="A1176" s="7" t="s">
        <v>3900</v>
      </c>
      <c r="B1176" s="7">
        <v>8244481</v>
      </c>
      <c r="C1176" s="8">
        <v>1</v>
      </c>
      <c r="D1176" s="8">
        <v>921690484</v>
      </c>
      <c r="E1176" s="8" t="str">
        <f t="shared" si="88"/>
        <v>92169048422</v>
      </c>
      <c r="F1176" s="8" t="s">
        <v>1595</v>
      </c>
      <c r="G1176" s="8">
        <v>1</v>
      </c>
      <c r="H1176" s="8">
        <v>20250401</v>
      </c>
      <c r="I1176" s="8" t="str">
        <f t="shared" si="89"/>
        <v>4/1/2025</v>
      </c>
      <c r="J1176" s="8">
        <v>20240101</v>
      </c>
      <c r="K1176" s="8" t="str">
        <f t="shared" si="90"/>
        <v>1/1/2024</v>
      </c>
      <c r="L1176" s="8" t="s">
        <v>56</v>
      </c>
      <c r="M1176" s="8">
        <v>20</v>
      </c>
      <c r="N1176" s="8">
        <v>20</v>
      </c>
      <c r="O1176" s="6" t="s">
        <v>3947</v>
      </c>
    </row>
    <row r="1177" spans="1:37" ht="15" customHeight="1" x14ac:dyDescent="0.2">
      <c r="A1177" s="7" t="s">
        <v>3900</v>
      </c>
      <c r="B1177" s="7">
        <v>8244481</v>
      </c>
      <c r="C1177" s="8">
        <v>1</v>
      </c>
      <c r="D1177" s="8">
        <v>921694832</v>
      </c>
      <c r="E1177" s="8" t="str">
        <f t="shared" si="88"/>
        <v>92169483222</v>
      </c>
      <c r="F1177" s="8" t="s">
        <v>1597</v>
      </c>
      <c r="G1177" s="8">
        <v>1</v>
      </c>
      <c r="H1177" s="8">
        <v>20250401</v>
      </c>
      <c r="I1177" s="8" t="str">
        <f t="shared" si="89"/>
        <v>4/1/2025</v>
      </c>
      <c r="J1177" s="8">
        <v>20240101</v>
      </c>
      <c r="K1177" s="8" t="str">
        <f t="shared" si="90"/>
        <v>1/1/2024</v>
      </c>
      <c r="L1177" s="8" t="s">
        <v>56</v>
      </c>
      <c r="M1177" s="8">
        <v>20</v>
      </c>
      <c r="N1177" s="8">
        <v>20</v>
      </c>
      <c r="O1177" s="6" t="s">
        <v>3947</v>
      </c>
    </row>
    <row r="1178" spans="1:37" ht="15" customHeight="1" x14ac:dyDescent="0.2">
      <c r="A1178" s="7" t="s">
        <v>3900</v>
      </c>
      <c r="B1178" s="7">
        <v>8244481</v>
      </c>
      <c r="C1178" s="8">
        <v>1</v>
      </c>
      <c r="D1178" s="8">
        <v>921694934</v>
      </c>
      <c r="E1178" s="8" t="str">
        <f t="shared" ref="E1178:E1241" si="91">CONCATENATE(D1178,22)</f>
        <v>92169493422</v>
      </c>
      <c r="F1178" s="8" t="s">
        <v>1599</v>
      </c>
      <c r="G1178" s="8">
        <v>1</v>
      </c>
      <c r="H1178" s="8">
        <v>20250401</v>
      </c>
      <c r="I1178" s="8" t="str">
        <f t="shared" si="89"/>
        <v>4/1/2025</v>
      </c>
      <c r="J1178" s="8">
        <v>20240101</v>
      </c>
      <c r="K1178" s="8" t="str">
        <f t="shared" si="90"/>
        <v>1/1/2024</v>
      </c>
      <c r="L1178" s="8" t="s">
        <v>56</v>
      </c>
      <c r="M1178" s="8">
        <v>20</v>
      </c>
      <c r="N1178" s="8">
        <v>20</v>
      </c>
      <c r="O1178" s="6" t="s">
        <v>3947</v>
      </c>
    </row>
    <row r="1179" spans="1:37" ht="15" customHeight="1" x14ac:dyDescent="0.2">
      <c r="A1179" s="7" t="s">
        <v>3900</v>
      </c>
      <c r="B1179" s="7">
        <v>8244481</v>
      </c>
      <c r="C1179" s="8">
        <v>1</v>
      </c>
      <c r="D1179" s="8">
        <v>921697095</v>
      </c>
      <c r="E1179" s="8" t="str">
        <f t="shared" si="91"/>
        <v>92169709522</v>
      </c>
      <c r="F1179" s="8" t="s">
        <v>1603</v>
      </c>
      <c r="G1179" s="8">
        <v>1</v>
      </c>
      <c r="H1179" s="8">
        <v>20250401</v>
      </c>
      <c r="I1179" s="8" t="str">
        <f t="shared" si="89"/>
        <v>4/1/2025</v>
      </c>
      <c r="J1179" s="8">
        <v>20240101</v>
      </c>
      <c r="K1179" s="8" t="str">
        <f t="shared" si="90"/>
        <v>1/1/2024</v>
      </c>
      <c r="L1179" s="8" t="s">
        <v>56</v>
      </c>
      <c r="M1179" s="8">
        <v>20</v>
      </c>
      <c r="N1179" s="8">
        <v>20</v>
      </c>
      <c r="O1179" s="6" t="s">
        <v>3947</v>
      </c>
    </row>
    <row r="1180" spans="1:37" ht="15" customHeight="1" x14ac:dyDescent="0.2">
      <c r="A1180" s="7" t="s">
        <v>3900</v>
      </c>
      <c r="B1180" s="7">
        <v>8244481</v>
      </c>
      <c r="C1180" s="8">
        <v>1</v>
      </c>
      <c r="D1180" s="8">
        <v>921698867</v>
      </c>
      <c r="E1180" s="8" t="str">
        <f t="shared" si="91"/>
        <v>92169886722</v>
      </c>
      <c r="F1180" s="8" t="s">
        <v>1605</v>
      </c>
      <c r="G1180" s="8">
        <v>1</v>
      </c>
      <c r="H1180" s="8">
        <v>20250301</v>
      </c>
      <c r="I1180" s="8" t="str">
        <f t="shared" si="89"/>
        <v>3/1/2025</v>
      </c>
      <c r="J1180" s="8">
        <v>20240101</v>
      </c>
      <c r="K1180" s="8" t="str">
        <f t="shared" si="90"/>
        <v>1/1/2024</v>
      </c>
      <c r="L1180" s="8" t="s">
        <v>56</v>
      </c>
      <c r="M1180" s="8">
        <v>20</v>
      </c>
      <c r="N1180" s="8">
        <v>20</v>
      </c>
      <c r="O1180" s="6" t="s">
        <v>3947</v>
      </c>
    </row>
    <row r="1181" spans="1:37" ht="15" customHeight="1" x14ac:dyDescent="0.2">
      <c r="A1181" s="7" t="s">
        <v>3900</v>
      </c>
      <c r="B1181" s="7">
        <v>8244481</v>
      </c>
      <c r="C1181" s="8">
        <v>1</v>
      </c>
      <c r="D1181" s="8">
        <v>921698867</v>
      </c>
      <c r="E1181" s="8" t="str">
        <f t="shared" si="91"/>
        <v>92169886722</v>
      </c>
      <c r="F1181" s="8" t="s">
        <v>1605</v>
      </c>
      <c r="G1181" s="8">
        <v>1</v>
      </c>
      <c r="H1181" s="8">
        <v>20250201</v>
      </c>
      <c r="I1181" s="8" t="str">
        <f t="shared" si="89"/>
        <v>2/1/2025</v>
      </c>
      <c r="J1181" s="8">
        <v>20240101</v>
      </c>
      <c r="K1181" s="8" t="str">
        <f t="shared" si="90"/>
        <v>1/1/2024</v>
      </c>
      <c r="L1181" s="8" t="s">
        <v>56</v>
      </c>
      <c r="M1181" s="8">
        <v>20</v>
      </c>
      <c r="N1181" s="8">
        <v>20</v>
      </c>
      <c r="O1181" s="6" t="s">
        <v>3947</v>
      </c>
    </row>
    <row r="1182" spans="1:37" s="12" customFormat="1" ht="15" customHeight="1" x14ac:dyDescent="0.2">
      <c r="A1182" s="7" t="s">
        <v>3900</v>
      </c>
      <c r="B1182" s="7">
        <v>8244481</v>
      </c>
      <c r="C1182" s="8">
        <v>1</v>
      </c>
      <c r="D1182" s="8">
        <v>921699022</v>
      </c>
      <c r="E1182" s="8" t="str">
        <f t="shared" si="91"/>
        <v>92169902222</v>
      </c>
      <c r="F1182" s="8" t="s">
        <v>1607</v>
      </c>
      <c r="G1182" s="8">
        <v>1</v>
      </c>
      <c r="H1182" s="8">
        <v>20250401</v>
      </c>
      <c r="I1182" s="8" t="str">
        <f t="shared" si="89"/>
        <v>4/1/2025</v>
      </c>
      <c r="J1182" s="8">
        <v>20240101</v>
      </c>
      <c r="K1182" s="8" t="str">
        <f t="shared" si="90"/>
        <v>1/1/2024</v>
      </c>
      <c r="L1182" s="8" t="s">
        <v>56</v>
      </c>
      <c r="M1182" s="8">
        <v>20</v>
      </c>
      <c r="N1182" s="8">
        <v>20</v>
      </c>
      <c r="O1182" s="6" t="s">
        <v>3947</v>
      </c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</row>
    <row r="1183" spans="1:37" s="12" customFormat="1" ht="15" customHeight="1" x14ac:dyDescent="0.2">
      <c r="A1183" s="7" t="s">
        <v>3900</v>
      </c>
      <c r="B1183" s="7">
        <v>8244481</v>
      </c>
      <c r="C1183" s="8">
        <v>1</v>
      </c>
      <c r="D1183" s="8">
        <v>921699536</v>
      </c>
      <c r="E1183" s="8" t="str">
        <f t="shared" si="91"/>
        <v>92169953622</v>
      </c>
      <c r="F1183" s="8" t="s">
        <v>1609</v>
      </c>
      <c r="G1183" s="8">
        <v>1</v>
      </c>
      <c r="H1183" s="8">
        <v>20250401</v>
      </c>
      <c r="I1183" s="8" t="str">
        <f t="shared" si="89"/>
        <v>4/1/2025</v>
      </c>
      <c r="J1183" s="8">
        <v>20240101</v>
      </c>
      <c r="K1183" s="8" t="str">
        <f t="shared" si="90"/>
        <v>1/1/2024</v>
      </c>
      <c r="L1183" s="8" t="s">
        <v>56</v>
      </c>
      <c r="M1183" s="8">
        <v>20</v>
      </c>
      <c r="N1183" s="8">
        <v>20</v>
      </c>
      <c r="O1183" s="6" t="s">
        <v>3947</v>
      </c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</row>
    <row r="1184" spans="1:37" s="12" customFormat="1" ht="15" customHeight="1" x14ac:dyDescent="0.2">
      <c r="A1184" s="7" t="s">
        <v>3900</v>
      </c>
      <c r="B1184" s="7">
        <v>8244481</v>
      </c>
      <c r="C1184" s="8">
        <v>1</v>
      </c>
      <c r="D1184" s="8">
        <v>921699536</v>
      </c>
      <c r="E1184" s="8" t="str">
        <f t="shared" si="91"/>
        <v>92169953622</v>
      </c>
      <c r="F1184" s="8" t="s">
        <v>1609</v>
      </c>
      <c r="G1184" s="8">
        <v>1</v>
      </c>
      <c r="H1184" s="8">
        <v>20250301</v>
      </c>
      <c r="I1184" s="8" t="str">
        <f t="shared" si="89"/>
        <v>3/1/2025</v>
      </c>
      <c r="J1184" s="8">
        <v>20240101</v>
      </c>
      <c r="K1184" s="8" t="str">
        <f t="shared" si="90"/>
        <v>1/1/2024</v>
      </c>
      <c r="L1184" s="8" t="s">
        <v>56</v>
      </c>
      <c r="M1184" s="8">
        <v>20</v>
      </c>
      <c r="N1184" s="8">
        <v>20</v>
      </c>
      <c r="O1184" s="6" t="s">
        <v>3947</v>
      </c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</row>
    <row r="1185" spans="1:37" s="12" customFormat="1" ht="15" customHeight="1" x14ac:dyDescent="0.2">
      <c r="A1185" s="7" t="s">
        <v>3900</v>
      </c>
      <c r="B1185" s="7">
        <v>8244481</v>
      </c>
      <c r="C1185" s="8">
        <v>1</v>
      </c>
      <c r="D1185" s="8">
        <v>921700943</v>
      </c>
      <c r="E1185" s="8" t="str">
        <f t="shared" si="91"/>
        <v>92170094322</v>
      </c>
      <c r="F1185" s="8" t="s">
        <v>1613</v>
      </c>
      <c r="G1185" s="8">
        <v>1</v>
      </c>
      <c r="H1185" s="8">
        <v>20250401</v>
      </c>
      <c r="I1185" s="8" t="str">
        <f t="shared" si="89"/>
        <v>4/1/2025</v>
      </c>
      <c r="J1185" s="8">
        <v>20240101</v>
      </c>
      <c r="K1185" s="8" t="str">
        <f t="shared" si="90"/>
        <v>1/1/2024</v>
      </c>
      <c r="L1185" s="8" t="s">
        <v>56</v>
      </c>
      <c r="M1185" s="8">
        <v>20</v>
      </c>
      <c r="N1185" s="8">
        <v>20</v>
      </c>
      <c r="O1185" s="6" t="s">
        <v>3947</v>
      </c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</row>
    <row r="1186" spans="1:37" s="12" customFormat="1" ht="15" customHeight="1" x14ac:dyDescent="0.2">
      <c r="A1186" s="7" t="s">
        <v>3900</v>
      </c>
      <c r="B1186" s="7">
        <v>8244481</v>
      </c>
      <c r="C1186" s="8">
        <v>1</v>
      </c>
      <c r="D1186" s="8">
        <v>921701801</v>
      </c>
      <c r="E1186" s="8" t="str">
        <f t="shared" si="91"/>
        <v>92170180122</v>
      </c>
      <c r="F1186" s="8" t="s">
        <v>1615</v>
      </c>
      <c r="G1186" s="8">
        <v>1</v>
      </c>
      <c r="H1186" s="8">
        <v>20250401</v>
      </c>
      <c r="I1186" s="8" t="str">
        <f t="shared" si="89"/>
        <v>4/1/2025</v>
      </c>
      <c r="J1186" s="8">
        <v>20240201</v>
      </c>
      <c r="K1186" s="8" t="str">
        <f t="shared" si="90"/>
        <v>2/1/2024</v>
      </c>
      <c r="L1186" s="8" t="s">
        <v>56</v>
      </c>
      <c r="M1186" s="8">
        <v>20</v>
      </c>
      <c r="N1186" s="8">
        <v>20</v>
      </c>
      <c r="O1186" s="6" t="s">
        <v>3947</v>
      </c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</row>
    <row r="1187" spans="1:37" s="12" customFormat="1" ht="15" customHeight="1" x14ac:dyDescent="0.2">
      <c r="A1187" s="7" t="s">
        <v>3900</v>
      </c>
      <c r="B1187" s="7">
        <v>8244481</v>
      </c>
      <c r="C1187" s="8">
        <v>1</v>
      </c>
      <c r="D1187" s="8">
        <v>921703179</v>
      </c>
      <c r="E1187" s="8" t="str">
        <f t="shared" si="91"/>
        <v>92170317922</v>
      </c>
      <c r="F1187" s="8" t="s">
        <v>1617</v>
      </c>
      <c r="G1187" s="8">
        <v>1</v>
      </c>
      <c r="H1187" s="8">
        <v>20250401</v>
      </c>
      <c r="I1187" s="8" t="str">
        <f t="shared" si="89"/>
        <v>4/1/2025</v>
      </c>
      <c r="J1187" s="8">
        <v>20240101</v>
      </c>
      <c r="K1187" s="8" t="str">
        <f t="shared" si="90"/>
        <v>1/1/2024</v>
      </c>
      <c r="L1187" s="8" t="s">
        <v>56</v>
      </c>
      <c r="M1187" s="8">
        <v>20</v>
      </c>
      <c r="N1187" s="8">
        <v>20</v>
      </c>
      <c r="O1187" s="6" t="s">
        <v>3947</v>
      </c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</row>
    <row r="1188" spans="1:37" s="12" customFormat="1" ht="15" customHeight="1" x14ac:dyDescent="0.2">
      <c r="A1188" s="7" t="s">
        <v>3900</v>
      </c>
      <c r="B1188" s="7">
        <v>8244481</v>
      </c>
      <c r="C1188" s="8">
        <v>1</v>
      </c>
      <c r="D1188" s="8">
        <v>921703370</v>
      </c>
      <c r="E1188" s="8" t="str">
        <f t="shared" si="91"/>
        <v>92170337022</v>
      </c>
      <c r="F1188" s="8" t="s">
        <v>1619</v>
      </c>
      <c r="G1188" s="8">
        <v>1</v>
      </c>
      <c r="H1188" s="8">
        <v>20250401</v>
      </c>
      <c r="I1188" s="8" t="str">
        <f t="shared" si="89"/>
        <v>4/1/2025</v>
      </c>
      <c r="J1188" s="8">
        <v>20240201</v>
      </c>
      <c r="K1188" s="8" t="str">
        <f t="shared" si="90"/>
        <v>2/1/2024</v>
      </c>
      <c r="L1188" s="8" t="s">
        <v>56</v>
      </c>
      <c r="M1188" s="8">
        <v>20</v>
      </c>
      <c r="N1188" s="8">
        <v>20</v>
      </c>
      <c r="O1188" s="6" t="s">
        <v>3947</v>
      </c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</row>
    <row r="1189" spans="1:37" ht="15" customHeight="1" x14ac:dyDescent="0.2">
      <c r="A1189" s="7" t="s">
        <v>3900</v>
      </c>
      <c r="B1189" s="7">
        <v>8244481</v>
      </c>
      <c r="C1189" s="8">
        <v>1</v>
      </c>
      <c r="D1189" s="8">
        <v>921706919</v>
      </c>
      <c r="E1189" s="8" t="str">
        <f t="shared" si="91"/>
        <v>92170691922</v>
      </c>
      <c r="F1189" s="8" t="s">
        <v>1623</v>
      </c>
      <c r="G1189" s="8">
        <v>1</v>
      </c>
      <c r="H1189" s="8">
        <v>20250401</v>
      </c>
      <c r="I1189" s="8" t="str">
        <f t="shared" si="89"/>
        <v>4/1/2025</v>
      </c>
      <c r="J1189" s="8">
        <v>20240201</v>
      </c>
      <c r="K1189" s="8" t="str">
        <f t="shared" si="90"/>
        <v>2/1/2024</v>
      </c>
      <c r="L1189" s="8" t="s">
        <v>56</v>
      </c>
      <c r="M1189" s="8">
        <v>20</v>
      </c>
      <c r="N1189" s="8">
        <v>20</v>
      </c>
      <c r="O1189" s="6" t="s">
        <v>3947</v>
      </c>
    </row>
    <row r="1190" spans="1:37" ht="15" customHeight="1" x14ac:dyDescent="0.2">
      <c r="A1190" s="7" t="s">
        <v>3900</v>
      </c>
      <c r="B1190" s="7">
        <v>8244481</v>
      </c>
      <c r="C1190" s="8">
        <v>2</v>
      </c>
      <c r="D1190" s="8">
        <v>890100174</v>
      </c>
      <c r="E1190" s="8" t="str">
        <f t="shared" si="91"/>
        <v>89010017422</v>
      </c>
      <c r="F1190" s="8" t="s">
        <v>1329</v>
      </c>
      <c r="G1190" s="8">
        <v>1</v>
      </c>
      <c r="H1190" s="8">
        <v>20250301</v>
      </c>
      <c r="I1190" s="8" t="str">
        <f t="shared" si="89"/>
        <v>3/1/2025</v>
      </c>
      <c r="J1190" s="8">
        <v>20180101</v>
      </c>
      <c r="K1190" s="8" t="str">
        <f t="shared" si="90"/>
        <v>1/1/2018</v>
      </c>
      <c r="L1190" s="8" t="s">
        <v>56</v>
      </c>
      <c r="M1190" s="8">
        <v>20</v>
      </c>
      <c r="N1190" s="8">
        <v>40</v>
      </c>
      <c r="O1190" s="6" t="s">
        <v>3947</v>
      </c>
      <c r="P1190" s="6" t="s">
        <v>3952</v>
      </c>
    </row>
    <row r="1191" spans="1:37" ht="15" customHeight="1" x14ac:dyDescent="0.2">
      <c r="A1191" s="7" t="s">
        <v>3900</v>
      </c>
      <c r="B1191" s="7">
        <v>8244481</v>
      </c>
      <c r="C1191" s="8">
        <v>2</v>
      </c>
      <c r="D1191" s="8">
        <v>920751356</v>
      </c>
      <c r="E1191" s="8" t="str">
        <f t="shared" si="91"/>
        <v>92075135622</v>
      </c>
      <c r="F1191" s="8" t="s">
        <v>1355</v>
      </c>
      <c r="G1191" s="8">
        <v>1</v>
      </c>
      <c r="H1191" s="8">
        <v>20250401</v>
      </c>
      <c r="I1191" s="8" t="str">
        <f t="shared" si="89"/>
        <v>4/1/2025</v>
      </c>
      <c r="J1191" s="8">
        <v>20240101</v>
      </c>
      <c r="K1191" s="8" t="str">
        <f t="shared" si="90"/>
        <v>1/1/2024</v>
      </c>
      <c r="L1191" s="8" t="s">
        <v>56</v>
      </c>
      <c r="M1191" s="8">
        <v>20</v>
      </c>
      <c r="N1191" s="8">
        <v>40</v>
      </c>
      <c r="O1191" s="6" t="s">
        <v>3947</v>
      </c>
      <c r="P1191" s="6" t="s">
        <v>3952</v>
      </c>
    </row>
    <row r="1192" spans="1:37" ht="15" customHeight="1" x14ac:dyDescent="0.2">
      <c r="A1192" s="7" t="s">
        <v>3900</v>
      </c>
      <c r="B1192" s="7">
        <v>8244481</v>
      </c>
      <c r="C1192" s="8">
        <v>2</v>
      </c>
      <c r="D1192" s="8">
        <v>921055258</v>
      </c>
      <c r="E1192" s="8" t="str">
        <f t="shared" si="91"/>
        <v>92105525822</v>
      </c>
      <c r="F1192" s="8" t="s">
        <v>1379</v>
      </c>
      <c r="G1192" s="8">
        <v>1</v>
      </c>
      <c r="H1192" s="8">
        <v>20250401</v>
      </c>
      <c r="I1192" s="8" t="str">
        <f t="shared" si="89"/>
        <v>4/1/2025</v>
      </c>
      <c r="J1192" s="8">
        <v>20170201</v>
      </c>
      <c r="K1192" s="8" t="str">
        <f t="shared" si="90"/>
        <v>2/1/2017</v>
      </c>
      <c r="L1192" s="8" t="s">
        <v>56</v>
      </c>
      <c r="M1192" s="8">
        <v>20</v>
      </c>
      <c r="N1192" s="8">
        <v>40</v>
      </c>
      <c r="O1192" s="6" t="s">
        <v>3947</v>
      </c>
      <c r="P1192" s="6" t="s">
        <v>3952</v>
      </c>
    </row>
    <row r="1193" spans="1:37" ht="15" customHeight="1" x14ac:dyDescent="0.2">
      <c r="A1193" s="7" t="s">
        <v>3900</v>
      </c>
      <c r="B1193" s="7">
        <v>8244481</v>
      </c>
      <c r="C1193" s="8">
        <v>2</v>
      </c>
      <c r="D1193" s="8">
        <v>921055258</v>
      </c>
      <c r="E1193" s="8" t="str">
        <f t="shared" si="91"/>
        <v>92105525822</v>
      </c>
      <c r="F1193" s="8" t="s">
        <v>1379</v>
      </c>
      <c r="G1193" s="8">
        <v>1</v>
      </c>
      <c r="H1193" s="8">
        <v>20250301</v>
      </c>
      <c r="I1193" s="8" t="str">
        <f t="shared" si="89"/>
        <v>3/1/2025</v>
      </c>
      <c r="J1193" s="8">
        <v>20170201</v>
      </c>
      <c r="K1193" s="8" t="str">
        <f t="shared" si="90"/>
        <v>2/1/2017</v>
      </c>
      <c r="L1193" s="8" t="s">
        <v>56</v>
      </c>
      <c r="M1193" s="8">
        <v>20</v>
      </c>
      <c r="N1193" s="8">
        <v>40</v>
      </c>
      <c r="O1193" s="6" t="s">
        <v>3947</v>
      </c>
      <c r="P1193" s="6" t="s">
        <v>3952</v>
      </c>
    </row>
    <row r="1194" spans="1:37" ht="15" customHeight="1" x14ac:dyDescent="0.2">
      <c r="A1194" s="7" t="s">
        <v>3900</v>
      </c>
      <c r="B1194" s="7">
        <v>8244481</v>
      </c>
      <c r="C1194" s="8">
        <v>2</v>
      </c>
      <c r="D1194" s="8">
        <v>921055258</v>
      </c>
      <c r="E1194" s="8" t="str">
        <f t="shared" si="91"/>
        <v>92105525822</v>
      </c>
      <c r="F1194" s="8" t="s">
        <v>1379</v>
      </c>
      <c r="G1194" s="8">
        <v>1</v>
      </c>
      <c r="H1194" s="8">
        <v>20250201</v>
      </c>
      <c r="I1194" s="8" t="str">
        <f t="shared" si="89"/>
        <v>2/1/2025</v>
      </c>
      <c r="J1194" s="8">
        <v>20170201</v>
      </c>
      <c r="K1194" s="8" t="str">
        <f t="shared" si="90"/>
        <v>2/1/2017</v>
      </c>
      <c r="L1194" s="8" t="s">
        <v>56</v>
      </c>
      <c r="M1194" s="8">
        <v>20</v>
      </c>
      <c r="N1194" s="8">
        <v>40</v>
      </c>
      <c r="O1194" s="6" t="s">
        <v>3947</v>
      </c>
      <c r="P1194" s="6" t="s">
        <v>3952</v>
      </c>
    </row>
    <row r="1195" spans="1:37" ht="15" customHeight="1" x14ac:dyDescent="0.2">
      <c r="A1195" s="7" t="s">
        <v>3900</v>
      </c>
      <c r="B1195" s="7">
        <v>8244481</v>
      </c>
      <c r="C1195" s="8">
        <v>2</v>
      </c>
      <c r="D1195" s="8">
        <v>921163146</v>
      </c>
      <c r="E1195" s="8" t="str">
        <f t="shared" si="91"/>
        <v>92116314622</v>
      </c>
      <c r="F1195" s="8" t="s">
        <v>1386</v>
      </c>
      <c r="G1195" s="8">
        <v>1</v>
      </c>
      <c r="H1195" s="8">
        <v>20250401</v>
      </c>
      <c r="I1195" s="8" t="str">
        <f t="shared" si="89"/>
        <v>4/1/2025</v>
      </c>
      <c r="J1195" s="8">
        <v>20180101</v>
      </c>
      <c r="K1195" s="8" t="str">
        <f t="shared" si="90"/>
        <v>1/1/2018</v>
      </c>
      <c r="L1195" s="8" t="s">
        <v>56</v>
      </c>
      <c r="M1195" s="8">
        <v>20</v>
      </c>
      <c r="N1195" s="8">
        <v>40</v>
      </c>
      <c r="O1195" s="6" t="s">
        <v>3947</v>
      </c>
      <c r="P1195" s="6" t="s">
        <v>3952</v>
      </c>
    </row>
    <row r="1196" spans="1:37" ht="15" customHeight="1" x14ac:dyDescent="0.2">
      <c r="A1196" s="7" t="s">
        <v>3900</v>
      </c>
      <c r="B1196" s="7">
        <v>8244481</v>
      </c>
      <c r="C1196" s="8">
        <v>2</v>
      </c>
      <c r="D1196" s="8">
        <v>921526453</v>
      </c>
      <c r="E1196" s="8" t="str">
        <f t="shared" si="91"/>
        <v>92152645322</v>
      </c>
      <c r="F1196" s="8" t="s">
        <v>1492</v>
      </c>
      <c r="G1196" s="8">
        <v>1</v>
      </c>
      <c r="H1196" s="8">
        <v>20250401</v>
      </c>
      <c r="I1196" s="8" t="str">
        <f t="shared" si="89"/>
        <v>4/1/2025</v>
      </c>
      <c r="J1196" s="8">
        <v>20200801</v>
      </c>
      <c r="K1196" s="8" t="str">
        <f t="shared" si="90"/>
        <v>8/1/2020</v>
      </c>
      <c r="L1196" s="8" t="s">
        <v>56</v>
      </c>
      <c r="M1196" s="8">
        <v>20</v>
      </c>
      <c r="N1196" s="8">
        <v>40</v>
      </c>
      <c r="O1196" s="6" t="s">
        <v>3947</v>
      </c>
      <c r="P1196" s="6" t="s">
        <v>3952</v>
      </c>
    </row>
    <row r="1197" spans="1:37" ht="15" customHeight="1" x14ac:dyDescent="0.2">
      <c r="A1197" s="7" t="s">
        <v>3900</v>
      </c>
      <c r="B1197" s="7">
        <v>8244481</v>
      </c>
      <c r="C1197" s="8">
        <v>2</v>
      </c>
      <c r="D1197" s="8">
        <v>921586260</v>
      </c>
      <c r="E1197" s="8" t="str">
        <f t="shared" si="91"/>
        <v>92158626022</v>
      </c>
      <c r="F1197" s="8" t="s">
        <v>1514</v>
      </c>
      <c r="G1197" s="8">
        <v>1</v>
      </c>
      <c r="H1197" s="8">
        <v>20250401</v>
      </c>
      <c r="I1197" s="8" t="str">
        <f t="shared" si="89"/>
        <v>4/1/2025</v>
      </c>
      <c r="J1197" s="8">
        <v>20211001</v>
      </c>
      <c r="K1197" s="8" t="str">
        <f t="shared" si="90"/>
        <v>10/1/2021</v>
      </c>
      <c r="L1197" s="8" t="s">
        <v>56</v>
      </c>
      <c r="M1197" s="8">
        <v>20</v>
      </c>
      <c r="N1197" s="8">
        <v>40</v>
      </c>
      <c r="O1197" s="6" t="s">
        <v>3947</v>
      </c>
      <c r="P1197" s="6" t="s">
        <v>3952</v>
      </c>
    </row>
    <row r="1198" spans="1:37" ht="15" customHeight="1" x14ac:dyDescent="0.2">
      <c r="A1198" s="7" t="s">
        <v>3900</v>
      </c>
      <c r="B1198" s="7">
        <v>8244481</v>
      </c>
      <c r="C1198" s="8">
        <v>2</v>
      </c>
      <c r="D1198" s="8">
        <v>921615201</v>
      </c>
      <c r="E1198" s="8" t="str">
        <f t="shared" si="91"/>
        <v>92161520122</v>
      </c>
      <c r="F1198" s="8" t="s">
        <v>1532</v>
      </c>
      <c r="G1198" s="8">
        <v>1</v>
      </c>
      <c r="H1198" s="8">
        <v>20250401</v>
      </c>
      <c r="I1198" s="8" t="str">
        <f t="shared" si="89"/>
        <v>4/1/2025</v>
      </c>
      <c r="J1198" s="8">
        <v>20220601</v>
      </c>
      <c r="K1198" s="8" t="str">
        <f t="shared" si="90"/>
        <v>6/1/2022</v>
      </c>
      <c r="L1198" s="8" t="s">
        <v>56</v>
      </c>
      <c r="M1198" s="8">
        <v>20</v>
      </c>
      <c r="N1198" s="8">
        <v>40</v>
      </c>
      <c r="O1198" s="6" t="s">
        <v>3947</v>
      </c>
      <c r="P1198" s="6" t="s">
        <v>3952</v>
      </c>
    </row>
    <row r="1199" spans="1:37" ht="15" customHeight="1" x14ac:dyDescent="0.2">
      <c r="A1199" s="7" t="s">
        <v>3900</v>
      </c>
      <c r="B1199" s="7">
        <v>8244481</v>
      </c>
      <c r="C1199" s="8">
        <v>2</v>
      </c>
      <c r="D1199" s="8">
        <v>921624003</v>
      </c>
      <c r="E1199" s="8" t="str">
        <f t="shared" si="91"/>
        <v>92162400322</v>
      </c>
      <c r="F1199" s="8" t="s">
        <v>1536</v>
      </c>
      <c r="G1199" s="8">
        <v>1</v>
      </c>
      <c r="H1199" s="8">
        <v>20250401</v>
      </c>
      <c r="I1199" s="8" t="str">
        <f t="shared" si="89"/>
        <v>4/1/2025</v>
      </c>
      <c r="J1199" s="8">
        <v>20221001</v>
      </c>
      <c r="K1199" s="8" t="str">
        <f t="shared" si="90"/>
        <v>10/1/2022</v>
      </c>
      <c r="L1199" s="8" t="s">
        <v>56</v>
      </c>
      <c r="M1199" s="8">
        <v>20</v>
      </c>
      <c r="N1199" s="8">
        <v>40</v>
      </c>
      <c r="O1199" s="6" t="s">
        <v>3947</v>
      </c>
      <c r="P1199" s="6" t="s">
        <v>3952</v>
      </c>
    </row>
    <row r="1200" spans="1:37" ht="15" customHeight="1" x14ac:dyDescent="0.2">
      <c r="A1200" s="7" t="s">
        <v>3900</v>
      </c>
      <c r="B1200" s="7">
        <v>8244481</v>
      </c>
      <c r="C1200" s="8">
        <v>2</v>
      </c>
      <c r="D1200" s="8">
        <v>921640683</v>
      </c>
      <c r="E1200" s="8" t="str">
        <f t="shared" si="91"/>
        <v>92164068322</v>
      </c>
      <c r="F1200" s="8" t="s">
        <v>1544</v>
      </c>
      <c r="G1200" s="8">
        <v>1</v>
      </c>
      <c r="H1200" s="8">
        <v>20250401</v>
      </c>
      <c r="I1200" s="8" t="str">
        <f t="shared" si="89"/>
        <v>4/1/2025</v>
      </c>
      <c r="J1200" s="8">
        <v>20230101</v>
      </c>
      <c r="K1200" s="8" t="str">
        <f t="shared" si="90"/>
        <v>1/1/2023</v>
      </c>
      <c r="L1200" s="8" t="s">
        <v>56</v>
      </c>
      <c r="M1200" s="8">
        <v>20</v>
      </c>
      <c r="N1200" s="8">
        <v>40</v>
      </c>
      <c r="O1200" s="6" t="s">
        <v>3947</v>
      </c>
      <c r="P1200" s="6" t="s">
        <v>3952</v>
      </c>
    </row>
    <row r="1201" spans="1:16" ht="15" customHeight="1" x14ac:dyDescent="0.2">
      <c r="A1201" s="7" t="s">
        <v>3900</v>
      </c>
      <c r="B1201" s="7">
        <v>8244481</v>
      </c>
      <c r="C1201" s="8">
        <v>2</v>
      </c>
      <c r="D1201" s="8">
        <v>921660733</v>
      </c>
      <c r="E1201" s="8" t="str">
        <f t="shared" si="91"/>
        <v>92166073322</v>
      </c>
      <c r="F1201" s="8" t="s">
        <v>1567</v>
      </c>
      <c r="G1201" s="8">
        <v>1</v>
      </c>
      <c r="H1201" s="8">
        <v>20250401</v>
      </c>
      <c r="I1201" s="8" t="str">
        <f t="shared" si="89"/>
        <v>4/1/2025</v>
      </c>
      <c r="J1201" s="8">
        <v>20230601</v>
      </c>
      <c r="K1201" s="8" t="str">
        <f t="shared" si="90"/>
        <v>6/1/2023</v>
      </c>
      <c r="L1201" s="8" t="s">
        <v>56</v>
      </c>
      <c r="M1201" s="8">
        <v>20</v>
      </c>
      <c r="N1201" s="8">
        <v>40</v>
      </c>
      <c r="O1201" s="6" t="s">
        <v>3947</v>
      </c>
      <c r="P1201" s="6" t="s">
        <v>3952</v>
      </c>
    </row>
    <row r="1202" spans="1:16" ht="15" customHeight="1" x14ac:dyDescent="0.2">
      <c r="A1202" s="7" t="s">
        <v>3900</v>
      </c>
      <c r="B1202" s="7">
        <v>8244481</v>
      </c>
      <c r="C1202" s="8">
        <v>2</v>
      </c>
      <c r="D1202" s="8">
        <v>921684651</v>
      </c>
      <c r="E1202" s="8" t="str">
        <f t="shared" si="91"/>
        <v>92168465122</v>
      </c>
      <c r="F1202" s="8" t="s">
        <v>1587</v>
      </c>
      <c r="G1202" s="8">
        <v>1</v>
      </c>
      <c r="H1202" s="8">
        <v>20250401</v>
      </c>
      <c r="I1202" s="8" t="str">
        <f t="shared" si="89"/>
        <v>4/1/2025</v>
      </c>
      <c r="J1202" s="8">
        <v>20231201</v>
      </c>
      <c r="K1202" s="8" t="str">
        <f t="shared" si="90"/>
        <v>12/1/2023</v>
      </c>
      <c r="L1202" s="8" t="s">
        <v>56</v>
      </c>
      <c r="M1202" s="8">
        <v>20</v>
      </c>
      <c r="N1202" s="8">
        <v>40</v>
      </c>
      <c r="O1202" s="6" t="s">
        <v>3947</v>
      </c>
      <c r="P1202" s="6" t="s">
        <v>3952</v>
      </c>
    </row>
    <row r="1203" spans="1:16" ht="15" customHeight="1" x14ac:dyDescent="0.2">
      <c r="A1203" s="7" t="s">
        <v>3900</v>
      </c>
      <c r="B1203" s="7">
        <v>8244481</v>
      </c>
      <c r="C1203" s="8">
        <v>3</v>
      </c>
      <c r="D1203" s="8">
        <v>921007680</v>
      </c>
      <c r="E1203" s="8" t="str">
        <f t="shared" si="91"/>
        <v>92100768022</v>
      </c>
      <c r="F1203" s="8" t="s">
        <v>1367</v>
      </c>
      <c r="G1203" s="8">
        <v>1</v>
      </c>
      <c r="H1203" s="8">
        <v>20250401</v>
      </c>
      <c r="I1203" s="8" t="str">
        <f t="shared" si="89"/>
        <v>4/1/2025</v>
      </c>
      <c r="J1203" s="8">
        <v>20240201</v>
      </c>
      <c r="K1203" s="8" t="str">
        <f t="shared" si="90"/>
        <v>2/1/2024</v>
      </c>
      <c r="L1203" s="8" t="s">
        <v>56</v>
      </c>
      <c r="M1203" s="8">
        <v>20</v>
      </c>
      <c r="N1203" s="8">
        <v>60</v>
      </c>
      <c r="O1203" s="6" t="s">
        <v>3947</v>
      </c>
      <c r="P1203" s="6" t="s">
        <v>3953</v>
      </c>
    </row>
    <row r="1204" spans="1:16" ht="15" customHeight="1" x14ac:dyDescent="0.2">
      <c r="A1204" s="7" t="s">
        <v>3900</v>
      </c>
      <c r="B1204" s="7">
        <v>8244481</v>
      </c>
      <c r="C1204" s="8">
        <v>3</v>
      </c>
      <c r="D1204" s="8">
        <v>921425856</v>
      </c>
      <c r="E1204" s="8" t="str">
        <f t="shared" si="91"/>
        <v>92142585622</v>
      </c>
      <c r="F1204" s="8" t="s">
        <v>1450</v>
      </c>
      <c r="G1204" s="8">
        <v>1</v>
      </c>
      <c r="H1204" s="8">
        <v>20250401</v>
      </c>
      <c r="I1204" s="8" t="str">
        <f t="shared" si="89"/>
        <v>4/1/2025</v>
      </c>
      <c r="J1204" s="8">
        <v>20210601</v>
      </c>
      <c r="K1204" s="8" t="str">
        <f t="shared" si="90"/>
        <v>6/1/2021</v>
      </c>
      <c r="L1204" s="8" t="s">
        <v>56</v>
      </c>
      <c r="M1204" s="8">
        <v>20</v>
      </c>
      <c r="N1204" s="8">
        <v>60</v>
      </c>
      <c r="O1204" s="6" t="s">
        <v>3947</v>
      </c>
      <c r="P1204" s="6" t="s">
        <v>3953</v>
      </c>
    </row>
    <row r="1205" spans="1:16" ht="15" customHeight="1" x14ac:dyDescent="0.2">
      <c r="A1205" s="7" t="s">
        <v>3900</v>
      </c>
      <c r="B1205" s="7">
        <v>8244481</v>
      </c>
      <c r="C1205" s="8">
        <v>3</v>
      </c>
      <c r="D1205" s="8">
        <v>921468915</v>
      </c>
      <c r="E1205" s="8" t="str">
        <f t="shared" si="91"/>
        <v>92146891522</v>
      </c>
      <c r="F1205" s="8" t="s">
        <v>1465</v>
      </c>
      <c r="G1205" s="8">
        <v>1</v>
      </c>
      <c r="H1205" s="8">
        <v>20250401</v>
      </c>
      <c r="I1205" s="8" t="str">
        <f t="shared" si="89"/>
        <v>4/1/2025</v>
      </c>
      <c r="J1205" s="8">
        <v>20190301</v>
      </c>
      <c r="K1205" s="8" t="str">
        <f t="shared" si="90"/>
        <v>3/1/2019</v>
      </c>
      <c r="L1205" s="8" t="s">
        <v>56</v>
      </c>
      <c r="M1205" s="8">
        <v>20</v>
      </c>
      <c r="N1205" s="8">
        <v>60</v>
      </c>
      <c r="O1205" s="6" t="s">
        <v>3947</v>
      </c>
      <c r="P1205" s="6" t="s">
        <v>3953</v>
      </c>
    </row>
    <row r="1206" spans="1:16" ht="15" customHeight="1" x14ac:dyDescent="0.2">
      <c r="A1206" s="7" t="s">
        <v>3900</v>
      </c>
      <c r="B1206" s="7">
        <v>8244481</v>
      </c>
      <c r="C1206" s="8">
        <v>3</v>
      </c>
      <c r="D1206" s="8">
        <v>921468915</v>
      </c>
      <c r="E1206" s="8" t="str">
        <f t="shared" si="91"/>
        <v>92146891522</v>
      </c>
      <c r="F1206" s="8" t="s">
        <v>1465</v>
      </c>
      <c r="G1206" s="8">
        <v>1</v>
      </c>
      <c r="H1206" s="8">
        <v>20250301</v>
      </c>
      <c r="I1206" s="8" t="str">
        <f t="shared" si="89"/>
        <v>3/1/2025</v>
      </c>
      <c r="J1206" s="8">
        <v>20190301</v>
      </c>
      <c r="K1206" s="8" t="str">
        <f t="shared" si="90"/>
        <v>3/1/2019</v>
      </c>
      <c r="L1206" s="8" t="s">
        <v>56</v>
      </c>
      <c r="M1206" s="8">
        <v>20</v>
      </c>
      <c r="N1206" s="8">
        <v>60</v>
      </c>
      <c r="O1206" s="6" t="s">
        <v>3947</v>
      </c>
      <c r="P1206" s="6" t="s">
        <v>3953</v>
      </c>
    </row>
    <row r="1207" spans="1:16" ht="15" customHeight="1" x14ac:dyDescent="0.2">
      <c r="A1207" s="7" t="s">
        <v>3900</v>
      </c>
      <c r="B1207" s="7">
        <v>8244481</v>
      </c>
      <c r="C1207" s="8">
        <v>3</v>
      </c>
      <c r="D1207" s="8">
        <v>921515071</v>
      </c>
      <c r="E1207" s="8" t="str">
        <f t="shared" si="91"/>
        <v>92151507122</v>
      </c>
      <c r="F1207" s="8" t="s">
        <v>1486</v>
      </c>
      <c r="G1207" s="8">
        <v>1</v>
      </c>
      <c r="H1207" s="8">
        <v>20250401</v>
      </c>
      <c r="I1207" s="8" t="str">
        <f t="shared" si="89"/>
        <v>4/1/2025</v>
      </c>
      <c r="J1207" s="8">
        <v>20200301</v>
      </c>
      <c r="K1207" s="8" t="str">
        <f t="shared" si="90"/>
        <v>3/1/2020</v>
      </c>
      <c r="L1207" s="8" t="s">
        <v>56</v>
      </c>
      <c r="M1207" s="8">
        <v>20</v>
      </c>
      <c r="N1207" s="8">
        <v>60</v>
      </c>
      <c r="O1207" s="6" t="s">
        <v>3947</v>
      </c>
      <c r="P1207" s="6" t="s">
        <v>3953</v>
      </c>
    </row>
    <row r="1208" spans="1:16" ht="15" customHeight="1" x14ac:dyDescent="0.2">
      <c r="A1208" s="7" t="s">
        <v>3900</v>
      </c>
      <c r="B1208" s="7">
        <v>8244481</v>
      </c>
      <c r="C1208" s="8">
        <v>3</v>
      </c>
      <c r="D1208" s="8">
        <v>921659241</v>
      </c>
      <c r="E1208" s="8" t="str">
        <f t="shared" si="91"/>
        <v>92165924122</v>
      </c>
      <c r="F1208" s="8" t="s">
        <v>1565</v>
      </c>
      <c r="G1208" s="8">
        <v>1</v>
      </c>
      <c r="H1208" s="8">
        <v>20250401</v>
      </c>
      <c r="I1208" s="8" t="str">
        <f t="shared" si="89"/>
        <v>4/1/2025</v>
      </c>
      <c r="J1208" s="8">
        <v>20230501</v>
      </c>
      <c r="K1208" s="8" t="str">
        <f t="shared" si="90"/>
        <v>5/1/2023</v>
      </c>
      <c r="L1208" s="8" t="s">
        <v>56</v>
      </c>
      <c r="M1208" s="8">
        <v>20</v>
      </c>
      <c r="N1208" s="8">
        <v>60</v>
      </c>
      <c r="O1208" s="6" t="s">
        <v>3947</v>
      </c>
      <c r="P1208" s="6" t="s">
        <v>3953</v>
      </c>
    </row>
    <row r="1209" spans="1:16" ht="15" customHeight="1" x14ac:dyDescent="0.2">
      <c r="A1209" s="7" t="s">
        <v>3900</v>
      </c>
      <c r="B1209" s="7">
        <v>8244481</v>
      </c>
      <c r="C1209" s="8">
        <v>3</v>
      </c>
      <c r="D1209" s="8">
        <v>921672966</v>
      </c>
      <c r="E1209" s="8" t="str">
        <f t="shared" si="91"/>
        <v>92167296622</v>
      </c>
      <c r="F1209" s="8" t="s">
        <v>1575</v>
      </c>
      <c r="G1209" s="8">
        <v>1</v>
      </c>
      <c r="H1209" s="8">
        <v>20250401</v>
      </c>
      <c r="I1209" s="8" t="str">
        <f t="shared" si="89"/>
        <v>4/1/2025</v>
      </c>
      <c r="J1209" s="8">
        <v>20231001</v>
      </c>
      <c r="K1209" s="8" t="str">
        <f t="shared" si="90"/>
        <v>10/1/2023</v>
      </c>
      <c r="L1209" s="8" t="s">
        <v>56</v>
      </c>
      <c r="M1209" s="8">
        <v>20</v>
      </c>
      <c r="N1209" s="8">
        <v>60</v>
      </c>
      <c r="O1209" s="6" t="s">
        <v>3947</v>
      </c>
      <c r="P1209" s="6" t="s">
        <v>3953</v>
      </c>
    </row>
    <row r="1210" spans="1:16" ht="15" customHeight="1" x14ac:dyDescent="0.2">
      <c r="A1210" s="7" t="s">
        <v>3900</v>
      </c>
      <c r="B1210" s="7">
        <v>8244481</v>
      </c>
      <c r="C1210" s="8">
        <v>3</v>
      </c>
      <c r="D1210" s="8">
        <v>921704349</v>
      </c>
      <c r="E1210" s="8" t="str">
        <f t="shared" si="91"/>
        <v>92170434922</v>
      </c>
      <c r="F1210" s="8" t="s">
        <v>1621</v>
      </c>
      <c r="G1210" s="8">
        <v>1</v>
      </c>
      <c r="H1210" s="8">
        <v>20250401</v>
      </c>
      <c r="I1210" s="8" t="str">
        <f t="shared" si="89"/>
        <v>4/1/2025</v>
      </c>
      <c r="J1210" s="8">
        <v>20240201</v>
      </c>
      <c r="K1210" s="8" t="str">
        <f t="shared" si="90"/>
        <v>2/1/2024</v>
      </c>
      <c r="L1210" s="8" t="s">
        <v>56</v>
      </c>
      <c r="M1210" s="8">
        <v>20</v>
      </c>
      <c r="N1210" s="8">
        <v>60</v>
      </c>
      <c r="O1210" s="6" t="s">
        <v>3947</v>
      </c>
      <c r="P1210" s="6" t="s">
        <v>3953</v>
      </c>
    </row>
    <row r="1211" spans="1:16" ht="15" customHeight="1" x14ac:dyDescent="0.2">
      <c r="A1211" s="7" t="s">
        <v>3900</v>
      </c>
      <c r="B1211" s="7">
        <v>8244481</v>
      </c>
      <c r="C1211" s="8">
        <v>3</v>
      </c>
      <c r="D1211" s="8">
        <v>921707548</v>
      </c>
      <c r="E1211" s="8" t="str">
        <f t="shared" si="91"/>
        <v>92170754822</v>
      </c>
      <c r="F1211" s="8" t="s">
        <v>1625</v>
      </c>
      <c r="G1211" s="8">
        <v>1</v>
      </c>
      <c r="H1211" s="8">
        <v>20250401</v>
      </c>
      <c r="I1211" s="8" t="str">
        <f t="shared" si="89"/>
        <v>4/1/2025</v>
      </c>
      <c r="J1211" s="8">
        <v>20240201</v>
      </c>
      <c r="K1211" s="8" t="str">
        <f t="shared" si="90"/>
        <v>2/1/2024</v>
      </c>
      <c r="L1211" s="8" t="s">
        <v>56</v>
      </c>
      <c r="M1211" s="8">
        <v>20</v>
      </c>
      <c r="N1211" s="8">
        <v>60</v>
      </c>
      <c r="O1211" s="6" t="s">
        <v>3947</v>
      </c>
      <c r="P1211" s="6" t="s">
        <v>3953</v>
      </c>
    </row>
    <row r="1212" spans="1:16" ht="15" customHeight="1" x14ac:dyDescent="0.2">
      <c r="A1212" s="7" t="s">
        <v>3900</v>
      </c>
      <c r="B1212" s="7">
        <v>8244481</v>
      </c>
      <c r="C1212" s="8">
        <v>4</v>
      </c>
      <c r="D1212" s="8">
        <v>890606134</v>
      </c>
      <c r="E1212" s="8" t="str">
        <f t="shared" si="91"/>
        <v>89060613422</v>
      </c>
      <c r="F1212" s="8" t="s">
        <v>1342</v>
      </c>
      <c r="G1212" s="8">
        <v>1</v>
      </c>
      <c r="H1212" s="8">
        <v>20250401</v>
      </c>
      <c r="I1212" s="8" t="str">
        <f t="shared" si="89"/>
        <v>4/1/2025</v>
      </c>
      <c r="J1212" s="8">
        <v>20180101</v>
      </c>
      <c r="K1212" s="8" t="str">
        <f t="shared" si="90"/>
        <v>1/1/2018</v>
      </c>
      <c r="L1212" s="8" t="s">
        <v>56</v>
      </c>
      <c r="M1212" s="8">
        <v>20</v>
      </c>
      <c r="N1212" s="8">
        <v>80</v>
      </c>
      <c r="O1212" s="6" t="s">
        <v>3947</v>
      </c>
      <c r="P1212" s="6" t="s">
        <v>3954</v>
      </c>
    </row>
    <row r="1213" spans="1:16" ht="15" customHeight="1" x14ac:dyDescent="0.2">
      <c r="A1213" s="7" t="s">
        <v>3900</v>
      </c>
      <c r="B1213" s="7">
        <v>8244481</v>
      </c>
      <c r="C1213" s="8">
        <v>4</v>
      </c>
      <c r="D1213" s="8">
        <v>921033793</v>
      </c>
      <c r="E1213" s="8" t="str">
        <f t="shared" si="91"/>
        <v>92103379322</v>
      </c>
      <c r="F1213" s="8" t="s">
        <v>1373</v>
      </c>
      <c r="G1213" s="8">
        <v>1</v>
      </c>
      <c r="H1213" s="8">
        <v>20250401</v>
      </c>
      <c r="I1213" s="8" t="str">
        <f t="shared" si="89"/>
        <v>4/1/2025</v>
      </c>
      <c r="J1213" s="8">
        <v>20150101</v>
      </c>
      <c r="K1213" s="8" t="str">
        <f t="shared" si="90"/>
        <v>1/1/2015</v>
      </c>
      <c r="L1213" s="8" t="s">
        <v>56</v>
      </c>
      <c r="M1213" s="8">
        <v>20</v>
      </c>
      <c r="N1213" s="8">
        <v>80</v>
      </c>
      <c r="O1213" s="6" t="s">
        <v>3947</v>
      </c>
      <c r="P1213" s="6" t="s">
        <v>3954</v>
      </c>
    </row>
    <row r="1214" spans="1:16" ht="15" customHeight="1" x14ac:dyDescent="0.2">
      <c r="A1214" s="7" t="s">
        <v>3900</v>
      </c>
      <c r="B1214" s="7">
        <v>8244481</v>
      </c>
      <c r="C1214" s="8">
        <v>4</v>
      </c>
      <c r="D1214" s="8">
        <v>921060613</v>
      </c>
      <c r="E1214" s="8" t="str">
        <f t="shared" si="91"/>
        <v>92106061322</v>
      </c>
      <c r="F1214" s="8" t="s">
        <v>1382</v>
      </c>
      <c r="G1214" s="8">
        <v>1</v>
      </c>
      <c r="H1214" s="8">
        <v>20250401</v>
      </c>
      <c r="I1214" s="8" t="str">
        <f t="shared" si="89"/>
        <v>4/1/2025</v>
      </c>
      <c r="J1214" s="8">
        <v>20190101</v>
      </c>
      <c r="K1214" s="8" t="str">
        <f t="shared" si="90"/>
        <v>1/1/2019</v>
      </c>
      <c r="L1214" s="8" t="s">
        <v>56</v>
      </c>
      <c r="M1214" s="8">
        <v>20</v>
      </c>
      <c r="N1214" s="8">
        <v>80</v>
      </c>
      <c r="O1214" s="6" t="s">
        <v>3947</v>
      </c>
      <c r="P1214" s="6" t="s">
        <v>3954</v>
      </c>
    </row>
    <row r="1215" spans="1:16" ht="15" customHeight="1" x14ac:dyDescent="0.2">
      <c r="A1215" s="7" t="s">
        <v>3900</v>
      </c>
      <c r="B1215" s="7">
        <v>8244481</v>
      </c>
      <c r="C1215" s="8">
        <v>4</v>
      </c>
      <c r="D1215" s="8">
        <v>921458162</v>
      </c>
      <c r="E1215" s="8" t="str">
        <f t="shared" si="91"/>
        <v>92145816222</v>
      </c>
      <c r="F1215" s="8" t="s">
        <v>1460</v>
      </c>
      <c r="G1215" s="8">
        <v>1</v>
      </c>
      <c r="H1215" s="8">
        <v>20250401</v>
      </c>
      <c r="I1215" s="8" t="str">
        <f t="shared" si="89"/>
        <v>4/1/2025</v>
      </c>
      <c r="J1215" s="8">
        <v>20190101</v>
      </c>
      <c r="K1215" s="8" t="str">
        <f t="shared" si="90"/>
        <v>1/1/2019</v>
      </c>
      <c r="L1215" s="8" t="s">
        <v>56</v>
      </c>
      <c r="M1215" s="8">
        <v>20</v>
      </c>
      <c r="N1215" s="8">
        <v>80</v>
      </c>
      <c r="O1215" s="6" t="s">
        <v>3947</v>
      </c>
      <c r="P1215" s="6" t="s">
        <v>3954</v>
      </c>
    </row>
    <row r="1216" spans="1:16" ht="15" customHeight="1" x14ac:dyDescent="0.2">
      <c r="A1216" s="7" t="s">
        <v>3900</v>
      </c>
      <c r="B1216" s="7">
        <v>8244481</v>
      </c>
      <c r="C1216" s="8">
        <v>4</v>
      </c>
      <c r="D1216" s="8">
        <v>921576071</v>
      </c>
      <c r="E1216" s="8" t="str">
        <f t="shared" si="91"/>
        <v>92157607122</v>
      </c>
      <c r="F1216" s="8" t="s">
        <v>1508</v>
      </c>
      <c r="G1216" s="8">
        <v>1</v>
      </c>
      <c r="H1216" s="8">
        <v>20250401</v>
      </c>
      <c r="I1216" s="8" t="str">
        <f t="shared" si="89"/>
        <v>4/1/2025</v>
      </c>
      <c r="J1216" s="8">
        <v>20210801</v>
      </c>
      <c r="K1216" s="8" t="str">
        <f t="shared" si="90"/>
        <v>8/1/2021</v>
      </c>
      <c r="L1216" s="8" t="s">
        <v>56</v>
      </c>
      <c r="M1216" s="8">
        <v>20</v>
      </c>
      <c r="N1216" s="8">
        <v>80</v>
      </c>
      <c r="O1216" s="6" t="s">
        <v>3947</v>
      </c>
      <c r="P1216" s="6" t="s">
        <v>3954</v>
      </c>
    </row>
    <row r="1217" spans="1:16" ht="15" customHeight="1" x14ac:dyDescent="0.2">
      <c r="A1217" s="7" t="s">
        <v>3900</v>
      </c>
      <c r="B1217" s="7">
        <v>8244481</v>
      </c>
      <c r="C1217" s="8">
        <v>4</v>
      </c>
      <c r="D1217" s="8">
        <v>921695803</v>
      </c>
      <c r="E1217" s="8" t="str">
        <f t="shared" si="91"/>
        <v>92169580322</v>
      </c>
      <c r="F1217" s="8" t="s">
        <v>1601</v>
      </c>
      <c r="G1217" s="8">
        <v>1</v>
      </c>
      <c r="H1217" s="8">
        <v>20250401</v>
      </c>
      <c r="I1217" s="8" t="str">
        <f t="shared" si="89"/>
        <v>4/1/2025</v>
      </c>
      <c r="J1217" s="8">
        <v>20240101</v>
      </c>
      <c r="K1217" s="8" t="str">
        <f t="shared" si="90"/>
        <v>1/1/2024</v>
      </c>
      <c r="L1217" s="8" t="s">
        <v>56</v>
      </c>
      <c r="M1217" s="8">
        <v>20</v>
      </c>
      <c r="N1217" s="8">
        <v>80</v>
      </c>
      <c r="O1217" s="6" t="s">
        <v>3947</v>
      </c>
      <c r="P1217" s="6" t="s">
        <v>3954</v>
      </c>
    </row>
    <row r="1218" spans="1:16" ht="15" customHeight="1" x14ac:dyDescent="0.2">
      <c r="A1218" s="7" t="s">
        <v>3900</v>
      </c>
      <c r="B1218" s="7">
        <v>8244481</v>
      </c>
      <c r="C1218" s="8">
        <v>4</v>
      </c>
      <c r="D1218" s="8">
        <v>921700143</v>
      </c>
      <c r="E1218" s="8" t="str">
        <f t="shared" si="91"/>
        <v>92170014322</v>
      </c>
      <c r="F1218" s="8" t="s">
        <v>1611</v>
      </c>
      <c r="G1218" s="8">
        <v>1</v>
      </c>
      <c r="H1218" s="8">
        <v>20250401</v>
      </c>
      <c r="I1218" s="8" t="str">
        <f t="shared" si="89"/>
        <v>4/1/2025</v>
      </c>
      <c r="J1218" s="8">
        <v>20240101</v>
      </c>
      <c r="K1218" s="8" t="str">
        <f t="shared" si="90"/>
        <v>1/1/2024</v>
      </c>
      <c r="L1218" s="8" t="s">
        <v>56</v>
      </c>
      <c r="M1218" s="8">
        <v>20</v>
      </c>
      <c r="N1218" s="8">
        <v>80</v>
      </c>
      <c r="O1218" s="6" t="s">
        <v>3947</v>
      </c>
      <c r="P1218" s="6" t="s">
        <v>3954</v>
      </c>
    </row>
    <row r="1219" spans="1:16" ht="15" customHeight="1" x14ac:dyDescent="0.2">
      <c r="A1219" s="7" t="s">
        <v>3900</v>
      </c>
      <c r="B1219" s="7">
        <v>8244481</v>
      </c>
      <c r="C1219" s="6">
        <v>-1</v>
      </c>
      <c r="D1219" s="8">
        <v>921376684</v>
      </c>
      <c r="E1219" s="8" t="str">
        <f t="shared" si="91"/>
        <v>92137668422</v>
      </c>
      <c r="F1219" s="8" t="s">
        <v>1432</v>
      </c>
      <c r="G1219" s="8">
        <v>-1</v>
      </c>
      <c r="H1219" s="8">
        <v>20250401</v>
      </c>
      <c r="I1219" s="8" t="str">
        <f t="shared" ref="I1219:I1282" si="92">TEXT(DATE(LEFT(H1219,4), MID(H1219,5,2), RIGHT(H1219,2)), "M/d/yyyy")</f>
        <v>4/1/2025</v>
      </c>
      <c r="J1219" s="8">
        <v>20200501</v>
      </c>
      <c r="K1219" s="8" t="str">
        <f t="shared" ref="K1219:K1282" si="93">TEXT(DATE(LEFT(J1219,4), MID(J1219,5,2), RIGHT(J1219,2)), "M/d/yyyy")</f>
        <v>5/1/2020</v>
      </c>
      <c r="L1219" s="8" t="s">
        <v>56</v>
      </c>
      <c r="M1219" s="8">
        <v>20</v>
      </c>
      <c r="N1219" s="8">
        <v>-20</v>
      </c>
      <c r="O1219" s="6" t="s">
        <v>3947</v>
      </c>
    </row>
    <row r="1220" spans="1:16" ht="15" customHeight="1" x14ac:dyDescent="0.2">
      <c r="A1220" s="7" t="s">
        <v>3900</v>
      </c>
      <c r="B1220" s="7">
        <v>8244481</v>
      </c>
      <c r="C1220" s="6">
        <v>-1</v>
      </c>
      <c r="D1220" s="8">
        <v>921492711</v>
      </c>
      <c r="E1220" s="8" t="str">
        <f t="shared" si="91"/>
        <v>92149271122</v>
      </c>
      <c r="F1220" s="8" t="s">
        <v>1478</v>
      </c>
      <c r="G1220" s="8">
        <v>-1</v>
      </c>
      <c r="H1220" s="8">
        <v>20250401</v>
      </c>
      <c r="I1220" s="8" t="str">
        <f t="shared" si="92"/>
        <v>4/1/2025</v>
      </c>
      <c r="J1220" s="8">
        <v>20200101</v>
      </c>
      <c r="K1220" s="8" t="str">
        <f t="shared" si="93"/>
        <v>1/1/2020</v>
      </c>
      <c r="L1220" s="8" t="s">
        <v>56</v>
      </c>
      <c r="M1220" s="8">
        <v>20</v>
      </c>
      <c r="N1220" s="8">
        <v>-20</v>
      </c>
      <c r="O1220" s="6" t="s">
        <v>3947</v>
      </c>
    </row>
    <row r="1221" spans="1:16" ht="15" customHeight="1" x14ac:dyDescent="0.2">
      <c r="A1221" s="7" t="s">
        <v>3900</v>
      </c>
      <c r="B1221" s="7">
        <v>8244481</v>
      </c>
      <c r="C1221" s="6">
        <v>-1</v>
      </c>
      <c r="D1221" s="8">
        <v>921612308</v>
      </c>
      <c r="E1221" s="8" t="str">
        <f t="shared" si="91"/>
        <v>92161230822</v>
      </c>
      <c r="F1221" s="8" t="s">
        <v>1528</v>
      </c>
      <c r="G1221" s="8">
        <v>-1</v>
      </c>
      <c r="H1221" s="8">
        <v>20250301</v>
      </c>
      <c r="I1221" s="8" t="str">
        <f t="shared" si="92"/>
        <v>3/1/2025</v>
      </c>
      <c r="J1221" s="8">
        <v>20220501</v>
      </c>
      <c r="K1221" s="8" t="str">
        <f t="shared" si="93"/>
        <v>5/1/2022</v>
      </c>
      <c r="L1221" s="8" t="s">
        <v>56</v>
      </c>
      <c r="M1221" s="8">
        <v>20</v>
      </c>
      <c r="N1221" s="8">
        <v>-20</v>
      </c>
      <c r="O1221" s="6" t="s">
        <v>3947</v>
      </c>
    </row>
    <row r="1222" spans="1:16" ht="15" customHeight="1" x14ac:dyDescent="0.2">
      <c r="A1222" s="7" t="s">
        <v>3900</v>
      </c>
      <c r="B1222" s="7">
        <v>8244481</v>
      </c>
      <c r="C1222" s="6">
        <v>-1</v>
      </c>
      <c r="D1222" s="8">
        <v>921612308</v>
      </c>
      <c r="E1222" s="8" t="str">
        <f t="shared" si="91"/>
        <v>92161230822</v>
      </c>
      <c r="F1222" s="8" t="s">
        <v>1528</v>
      </c>
      <c r="G1222" s="8">
        <v>-1</v>
      </c>
      <c r="H1222" s="8">
        <v>20250201</v>
      </c>
      <c r="I1222" s="8" t="str">
        <f t="shared" si="92"/>
        <v>2/1/2025</v>
      </c>
      <c r="J1222" s="8">
        <v>20220501</v>
      </c>
      <c r="K1222" s="8" t="str">
        <f t="shared" si="93"/>
        <v>5/1/2022</v>
      </c>
      <c r="L1222" s="8" t="s">
        <v>56</v>
      </c>
      <c r="M1222" s="8">
        <v>20</v>
      </c>
      <c r="N1222" s="8">
        <v>-20</v>
      </c>
      <c r="O1222" s="6" t="s">
        <v>3947</v>
      </c>
    </row>
    <row r="1223" spans="1:16" ht="15" customHeight="1" x14ac:dyDescent="0.2">
      <c r="A1223" s="7" t="s">
        <v>3900</v>
      </c>
      <c r="B1223" s="7">
        <v>8244481</v>
      </c>
      <c r="C1223" s="6">
        <v>-1</v>
      </c>
      <c r="D1223" s="8">
        <v>921651646</v>
      </c>
      <c r="E1223" s="8" t="str">
        <f t="shared" si="91"/>
        <v>92165164622</v>
      </c>
      <c r="F1223" s="8" t="s">
        <v>1554</v>
      </c>
      <c r="G1223" s="8">
        <v>-1</v>
      </c>
      <c r="H1223" s="8">
        <v>20250401</v>
      </c>
      <c r="I1223" s="8" t="str">
        <f t="shared" si="92"/>
        <v>4/1/2025</v>
      </c>
      <c r="J1223" s="8">
        <v>20230201</v>
      </c>
      <c r="K1223" s="8" t="str">
        <f t="shared" si="93"/>
        <v>2/1/2023</v>
      </c>
      <c r="L1223" s="8" t="s">
        <v>56</v>
      </c>
      <c r="M1223" s="8">
        <v>20</v>
      </c>
      <c r="N1223" s="8">
        <v>-20</v>
      </c>
      <c r="O1223" s="6" t="s">
        <v>3947</v>
      </c>
    </row>
    <row r="1224" spans="1:16" ht="15" customHeight="1" x14ac:dyDescent="0.2">
      <c r="A1224" s="7" t="s">
        <v>3900</v>
      </c>
      <c r="B1224" s="7">
        <v>8244481</v>
      </c>
      <c r="C1224" s="6">
        <v>-1</v>
      </c>
      <c r="D1224" s="8">
        <v>920716095</v>
      </c>
      <c r="E1224" s="8" t="str">
        <f t="shared" si="91"/>
        <v>92071609522</v>
      </c>
      <c r="F1224" s="8" t="s">
        <v>1352</v>
      </c>
      <c r="G1224" s="8">
        <v>-1</v>
      </c>
      <c r="H1224" s="8">
        <v>20250201</v>
      </c>
      <c r="I1224" s="8" t="str">
        <f t="shared" si="92"/>
        <v>2/1/2025</v>
      </c>
      <c r="J1224" s="8">
        <v>20220301</v>
      </c>
      <c r="K1224" s="8" t="str">
        <f t="shared" si="93"/>
        <v>3/1/2022</v>
      </c>
      <c r="L1224" s="8" t="s">
        <v>56</v>
      </c>
      <c r="M1224" s="8">
        <v>20</v>
      </c>
      <c r="N1224" s="8">
        <v>-40</v>
      </c>
      <c r="O1224" s="6" t="s">
        <v>3947</v>
      </c>
      <c r="P1224" s="6" t="s">
        <v>3952</v>
      </c>
    </row>
    <row r="1225" spans="1:16" ht="15" customHeight="1" x14ac:dyDescent="0.2">
      <c r="A1225" s="7" t="s">
        <v>3900</v>
      </c>
      <c r="B1225" s="7">
        <v>8244481</v>
      </c>
      <c r="C1225" s="8">
        <v>1</v>
      </c>
      <c r="D1225" s="8">
        <v>920951871</v>
      </c>
      <c r="E1225" s="8" t="str">
        <f t="shared" si="91"/>
        <v>92095187122</v>
      </c>
      <c r="F1225" s="8" t="s">
        <v>53</v>
      </c>
      <c r="G1225" s="8">
        <v>1</v>
      </c>
      <c r="H1225" s="8">
        <v>20250401</v>
      </c>
      <c r="I1225" s="8" t="str">
        <f t="shared" si="92"/>
        <v>4/1/2025</v>
      </c>
      <c r="J1225" s="8">
        <v>20250101</v>
      </c>
      <c r="K1225" s="8" t="str">
        <f t="shared" si="93"/>
        <v>1/1/2025</v>
      </c>
      <c r="L1225" s="8" t="s">
        <v>56</v>
      </c>
      <c r="M1225" s="8">
        <v>25</v>
      </c>
      <c r="N1225" s="8">
        <v>25</v>
      </c>
      <c r="O1225" s="6" t="s">
        <v>3947</v>
      </c>
    </row>
    <row r="1226" spans="1:16" ht="15" customHeight="1" x14ac:dyDescent="0.2">
      <c r="A1226" s="7" t="s">
        <v>3900</v>
      </c>
      <c r="B1226" s="7">
        <v>8244481</v>
      </c>
      <c r="C1226" s="8">
        <v>1</v>
      </c>
      <c r="D1226" s="8">
        <v>920951871</v>
      </c>
      <c r="E1226" s="8" t="str">
        <f t="shared" si="91"/>
        <v>92095187122</v>
      </c>
      <c r="F1226" s="8" t="s">
        <v>53</v>
      </c>
      <c r="G1226" s="8">
        <v>1</v>
      </c>
      <c r="H1226" s="8">
        <v>20250301</v>
      </c>
      <c r="I1226" s="8" t="str">
        <f t="shared" si="92"/>
        <v>3/1/2025</v>
      </c>
      <c r="J1226" s="8">
        <v>20250101</v>
      </c>
      <c r="K1226" s="8" t="str">
        <f t="shared" si="93"/>
        <v>1/1/2025</v>
      </c>
      <c r="L1226" s="8" t="s">
        <v>56</v>
      </c>
      <c r="M1226" s="8">
        <v>25</v>
      </c>
      <c r="N1226" s="8">
        <v>25</v>
      </c>
      <c r="O1226" s="6" t="s">
        <v>3947</v>
      </c>
    </row>
    <row r="1227" spans="1:16" ht="15" customHeight="1" x14ac:dyDescent="0.2">
      <c r="A1227" s="7" t="s">
        <v>3900</v>
      </c>
      <c r="B1227" s="7">
        <v>8244481</v>
      </c>
      <c r="C1227" s="8">
        <v>1</v>
      </c>
      <c r="D1227" s="8">
        <v>921730914</v>
      </c>
      <c r="E1227" s="8" t="str">
        <f t="shared" si="91"/>
        <v>92173091422</v>
      </c>
      <c r="F1227" s="8" t="s">
        <v>84</v>
      </c>
      <c r="G1227" s="8">
        <v>1</v>
      </c>
      <c r="H1227" s="8">
        <v>20250401</v>
      </c>
      <c r="I1227" s="8" t="str">
        <f t="shared" si="92"/>
        <v>4/1/2025</v>
      </c>
      <c r="J1227" s="8">
        <v>20240801</v>
      </c>
      <c r="K1227" s="8" t="str">
        <f t="shared" si="93"/>
        <v>8/1/2024</v>
      </c>
      <c r="L1227" s="8" t="s">
        <v>56</v>
      </c>
      <c r="M1227" s="8">
        <v>25</v>
      </c>
      <c r="N1227" s="8">
        <v>25</v>
      </c>
      <c r="O1227" s="6" t="s">
        <v>3947</v>
      </c>
    </row>
    <row r="1228" spans="1:16" ht="15" customHeight="1" x14ac:dyDescent="0.2">
      <c r="A1228" s="7" t="s">
        <v>3900</v>
      </c>
      <c r="B1228" s="7">
        <v>8244481</v>
      </c>
      <c r="C1228" s="8">
        <v>1</v>
      </c>
      <c r="D1228" s="8">
        <v>921732105</v>
      </c>
      <c r="E1228" s="8" t="str">
        <f t="shared" si="91"/>
        <v>92173210522</v>
      </c>
      <c r="F1228" s="8" t="s">
        <v>91</v>
      </c>
      <c r="G1228" s="8">
        <v>1</v>
      </c>
      <c r="H1228" s="8">
        <v>20250401</v>
      </c>
      <c r="I1228" s="8" t="str">
        <f t="shared" si="92"/>
        <v>4/1/2025</v>
      </c>
      <c r="J1228" s="8">
        <v>20240801</v>
      </c>
      <c r="K1228" s="8" t="str">
        <f t="shared" si="93"/>
        <v>8/1/2024</v>
      </c>
      <c r="L1228" s="8" t="s">
        <v>56</v>
      </c>
      <c r="M1228" s="8">
        <v>25</v>
      </c>
      <c r="N1228" s="8">
        <v>25</v>
      </c>
      <c r="O1228" s="6" t="s">
        <v>3947</v>
      </c>
    </row>
    <row r="1229" spans="1:16" ht="15" customHeight="1" x14ac:dyDescent="0.2">
      <c r="A1229" s="7" t="s">
        <v>3900</v>
      </c>
      <c r="B1229" s="7">
        <v>8244481</v>
      </c>
      <c r="C1229" s="8">
        <v>1</v>
      </c>
      <c r="D1229" s="8">
        <v>921733906</v>
      </c>
      <c r="E1229" s="8" t="str">
        <f t="shared" si="91"/>
        <v>92173390622</v>
      </c>
      <c r="F1229" s="8" t="s">
        <v>93</v>
      </c>
      <c r="G1229" s="8">
        <v>1</v>
      </c>
      <c r="H1229" s="8">
        <v>20250401</v>
      </c>
      <c r="I1229" s="8" t="str">
        <f t="shared" si="92"/>
        <v>4/1/2025</v>
      </c>
      <c r="J1229" s="8">
        <v>20240901</v>
      </c>
      <c r="K1229" s="8" t="str">
        <f t="shared" si="93"/>
        <v>9/1/2024</v>
      </c>
      <c r="L1229" s="8" t="s">
        <v>56</v>
      </c>
      <c r="M1229" s="8">
        <v>25</v>
      </c>
      <c r="N1229" s="8">
        <v>25</v>
      </c>
      <c r="O1229" s="6" t="s">
        <v>3947</v>
      </c>
    </row>
    <row r="1230" spans="1:16" ht="15" customHeight="1" x14ac:dyDescent="0.2">
      <c r="A1230" s="7" t="s">
        <v>3900</v>
      </c>
      <c r="B1230" s="7">
        <v>8244481</v>
      </c>
      <c r="C1230" s="8">
        <v>1</v>
      </c>
      <c r="D1230" s="8">
        <v>921733944</v>
      </c>
      <c r="E1230" s="8" t="str">
        <f t="shared" si="91"/>
        <v>92173394422</v>
      </c>
      <c r="F1230" s="8" t="s">
        <v>101</v>
      </c>
      <c r="G1230" s="8">
        <v>1</v>
      </c>
      <c r="H1230" s="8">
        <v>20250401</v>
      </c>
      <c r="I1230" s="8" t="str">
        <f t="shared" si="92"/>
        <v>4/1/2025</v>
      </c>
      <c r="J1230" s="8">
        <v>20240801</v>
      </c>
      <c r="K1230" s="8" t="str">
        <f t="shared" si="93"/>
        <v>8/1/2024</v>
      </c>
      <c r="L1230" s="8" t="s">
        <v>56</v>
      </c>
      <c r="M1230" s="8">
        <v>25</v>
      </c>
      <c r="N1230" s="8">
        <v>25</v>
      </c>
      <c r="O1230" s="6" t="s">
        <v>3947</v>
      </c>
    </row>
    <row r="1231" spans="1:16" ht="15" customHeight="1" x14ac:dyDescent="0.2">
      <c r="A1231" s="7" t="s">
        <v>3900</v>
      </c>
      <c r="B1231" s="7">
        <v>8244481</v>
      </c>
      <c r="C1231" s="8">
        <v>1</v>
      </c>
      <c r="D1231" s="8">
        <v>921741039</v>
      </c>
      <c r="E1231" s="8" t="str">
        <f t="shared" si="91"/>
        <v>92174103922</v>
      </c>
      <c r="F1231" s="8" t="s">
        <v>103</v>
      </c>
      <c r="G1231" s="8">
        <v>1</v>
      </c>
      <c r="H1231" s="8">
        <v>20250401</v>
      </c>
      <c r="I1231" s="8" t="str">
        <f t="shared" si="92"/>
        <v>4/1/2025</v>
      </c>
      <c r="J1231" s="8">
        <v>20241001</v>
      </c>
      <c r="K1231" s="8" t="str">
        <f t="shared" si="93"/>
        <v>10/1/2024</v>
      </c>
      <c r="L1231" s="8" t="s">
        <v>56</v>
      </c>
      <c r="M1231" s="8">
        <v>25</v>
      </c>
      <c r="N1231" s="8">
        <v>25</v>
      </c>
      <c r="O1231" s="6" t="s">
        <v>3947</v>
      </c>
    </row>
    <row r="1232" spans="1:16" ht="15" customHeight="1" x14ac:dyDescent="0.2">
      <c r="A1232" s="7" t="s">
        <v>3900</v>
      </c>
      <c r="B1232" s="7">
        <v>8244481</v>
      </c>
      <c r="C1232" s="8">
        <v>1</v>
      </c>
      <c r="D1232" s="8">
        <v>921743288</v>
      </c>
      <c r="E1232" s="8" t="str">
        <f t="shared" si="91"/>
        <v>92174328822</v>
      </c>
      <c r="F1232" s="8" t="s">
        <v>107</v>
      </c>
      <c r="G1232" s="8">
        <v>1</v>
      </c>
      <c r="H1232" s="8">
        <v>20250401</v>
      </c>
      <c r="I1232" s="8" t="str">
        <f t="shared" si="92"/>
        <v>4/1/2025</v>
      </c>
      <c r="J1232" s="8">
        <v>20241101</v>
      </c>
      <c r="K1232" s="8" t="str">
        <f t="shared" si="93"/>
        <v>11/1/2024</v>
      </c>
      <c r="L1232" s="8" t="s">
        <v>56</v>
      </c>
      <c r="M1232" s="8">
        <v>25</v>
      </c>
      <c r="N1232" s="8">
        <v>25</v>
      </c>
      <c r="O1232" s="6" t="s">
        <v>3947</v>
      </c>
    </row>
    <row r="1233" spans="1:15" ht="15" customHeight="1" x14ac:dyDescent="0.2">
      <c r="A1233" s="7" t="s">
        <v>3900</v>
      </c>
      <c r="B1233" s="7">
        <v>8244481</v>
      </c>
      <c r="C1233" s="8">
        <v>1</v>
      </c>
      <c r="D1233" s="8">
        <v>921767016</v>
      </c>
      <c r="E1233" s="8" t="str">
        <f t="shared" si="91"/>
        <v>92176701622</v>
      </c>
      <c r="F1233" s="8" t="s">
        <v>127</v>
      </c>
      <c r="G1233" s="8">
        <v>1</v>
      </c>
      <c r="H1233" s="8">
        <v>20250401</v>
      </c>
      <c r="I1233" s="8" t="str">
        <f t="shared" si="92"/>
        <v>4/1/2025</v>
      </c>
      <c r="J1233" s="8">
        <v>20250101</v>
      </c>
      <c r="K1233" s="8" t="str">
        <f t="shared" si="93"/>
        <v>1/1/2025</v>
      </c>
      <c r="L1233" s="8" t="s">
        <v>56</v>
      </c>
      <c r="M1233" s="8">
        <v>25</v>
      </c>
      <c r="N1233" s="8">
        <v>25</v>
      </c>
      <c r="O1233" s="6" t="s">
        <v>3947</v>
      </c>
    </row>
    <row r="1234" spans="1:15" ht="15" customHeight="1" x14ac:dyDescent="0.2">
      <c r="A1234" s="7" t="s">
        <v>3900</v>
      </c>
      <c r="B1234" s="7">
        <v>8244481</v>
      </c>
      <c r="C1234" s="8">
        <v>1</v>
      </c>
      <c r="D1234" s="8">
        <v>921767016</v>
      </c>
      <c r="E1234" s="8" t="str">
        <f t="shared" si="91"/>
        <v>92176701622</v>
      </c>
      <c r="F1234" s="8" t="s">
        <v>127</v>
      </c>
      <c r="G1234" s="8">
        <v>1</v>
      </c>
      <c r="H1234" s="8">
        <v>20250301</v>
      </c>
      <c r="I1234" s="8" t="str">
        <f t="shared" si="92"/>
        <v>3/1/2025</v>
      </c>
      <c r="J1234" s="8">
        <v>20250101</v>
      </c>
      <c r="K1234" s="8" t="str">
        <f t="shared" si="93"/>
        <v>1/1/2025</v>
      </c>
      <c r="L1234" s="8" t="s">
        <v>56</v>
      </c>
      <c r="M1234" s="8">
        <v>25</v>
      </c>
      <c r="N1234" s="8">
        <v>25</v>
      </c>
      <c r="O1234" s="6" t="s">
        <v>3947</v>
      </c>
    </row>
    <row r="1235" spans="1:15" ht="15" customHeight="1" x14ac:dyDescent="0.2">
      <c r="A1235" s="7" t="s">
        <v>3900</v>
      </c>
      <c r="B1235" s="7">
        <v>8244481</v>
      </c>
      <c r="C1235" s="8">
        <v>1</v>
      </c>
      <c r="D1235" s="8">
        <v>921777029</v>
      </c>
      <c r="E1235" s="8" t="str">
        <f t="shared" si="91"/>
        <v>92177702922</v>
      </c>
      <c r="F1235" s="8" t="s">
        <v>129</v>
      </c>
      <c r="G1235" s="8">
        <v>1</v>
      </c>
      <c r="H1235" s="8">
        <v>20250301</v>
      </c>
      <c r="I1235" s="8" t="str">
        <f t="shared" si="92"/>
        <v>3/1/2025</v>
      </c>
      <c r="J1235" s="8">
        <v>20250201</v>
      </c>
      <c r="K1235" s="8" t="str">
        <f t="shared" si="93"/>
        <v>2/1/2025</v>
      </c>
      <c r="L1235" s="8" t="s">
        <v>56</v>
      </c>
      <c r="M1235" s="8">
        <v>25</v>
      </c>
      <c r="N1235" s="8">
        <v>25</v>
      </c>
      <c r="O1235" s="6" t="s">
        <v>3947</v>
      </c>
    </row>
    <row r="1236" spans="1:15" ht="15" customHeight="1" x14ac:dyDescent="0.2">
      <c r="A1236" s="7" t="s">
        <v>3900</v>
      </c>
      <c r="B1236" s="7">
        <v>8244481</v>
      </c>
      <c r="C1236" s="8">
        <v>1</v>
      </c>
      <c r="D1236" s="8">
        <v>890204026</v>
      </c>
      <c r="E1236" s="8" t="str">
        <f t="shared" si="91"/>
        <v>89020402622</v>
      </c>
      <c r="F1236" s="8" t="s">
        <v>1336</v>
      </c>
      <c r="G1236" s="8">
        <v>1</v>
      </c>
      <c r="H1236" s="8">
        <v>20250401</v>
      </c>
      <c r="I1236" s="8" t="str">
        <f t="shared" si="92"/>
        <v>4/1/2025</v>
      </c>
      <c r="J1236" s="8">
        <v>20240501</v>
      </c>
      <c r="K1236" s="8" t="str">
        <f t="shared" si="93"/>
        <v>5/1/2024</v>
      </c>
      <c r="L1236" s="8" t="s">
        <v>56</v>
      </c>
      <c r="M1236" s="8">
        <v>25</v>
      </c>
      <c r="N1236" s="8">
        <v>25</v>
      </c>
      <c r="O1236" s="6" t="s">
        <v>3947</v>
      </c>
    </row>
    <row r="1237" spans="1:15" ht="15" customHeight="1" x14ac:dyDescent="0.2">
      <c r="A1237" s="7" t="s">
        <v>3900</v>
      </c>
      <c r="B1237" s="7">
        <v>8244481</v>
      </c>
      <c r="C1237" s="8">
        <v>1</v>
      </c>
      <c r="D1237" s="8">
        <v>890599429</v>
      </c>
      <c r="E1237" s="8" t="str">
        <f t="shared" si="91"/>
        <v>89059942922</v>
      </c>
      <c r="F1237" s="8" t="s">
        <v>1340</v>
      </c>
      <c r="G1237" s="8">
        <v>1</v>
      </c>
      <c r="H1237" s="8">
        <v>20250401</v>
      </c>
      <c r="I1237" s="8" t="str">
        <f t="shared" si="92"/>
        <v>4/1/2025</v>
      </c>
      <c r="J1237" s="8">
        <v>20250101</v>
      </c>
      <c r="K1237" s="8" t="str">
        <f t="shared" si="93"/>
        <v>1/1/2025</v>
      </c>
      <c r="L1237" s="8" t="s">
        <v>56</v>
      </c>
      <c r="M1237" s="8">
        <v>25</v>
      </c>
      <c r="N1237" s="8">
        <v>25</v>
      </c>
      <c r="O1237" s="6" t="s">
        <v>3947</v>
      </c>
    </row>
    <row r="1238" spans="1:15" ht="15" customHeight="1" x14ac:dyDescent="0.2">
      <c r="A1238" s="7" t="s">
        <v>3900</v>
      </c>
      <c r="B1238" s="7">
        <v>8244481</v>
      </c>
      <c r="C1238" s="8">
        <v>1</v>
      </c>
      <c r="D1238" s="8">
        <v>890734933</v>
      </c>
      <c r="E1238" s="8" t="str">
        <f t="shared" si="91"/>
        <v>89073493322</v>
      </c>
      <c r="F1238" s="8" t="s">
        <v>1348</v>
      </c>
      <c r="G1238" s="8">
        <v>1</v>
      </c>
      <c r="H1238" s="8">
        <v>20250301</v>
      </c>
      <c r="I1238" s="8" t="str">
        <f t="shared" si="92"/>
        <v>3/1/2025</v>
      </c>
      <c r="J1238" s="8">
        <v>20250101</v>
      </c>
      <c r="K1238" s="8" t="str">
        <f t="shared" si="93"/>
        <v>1/1/2025</v>
      </c>
      <c r="L1238" s="8" t="s">
        <v>56</v>
      </c>
      <c r="M1238" s="8">
        <v>25</v>
      </c>
      <c r="N1238" s="8">
        <v>25</v>
      </c>
      <c r="O1238" s="6" t="s">
        <v>3947</v>
      </c>
    </row>
    <row r="1239" spans="1:15" ht="15" customHeight="1" x14ac:dyDescent="0.2">
      <c r="A1239" s="7" t="s">
        <v>3900</v>
      </c>
      <c r="B1239" s="7">
        <v>8244481</v>
      </c>
      <c r="C1239" s="8">
        <v>1</v>
      </c>
      <c r="D1239" s="8">
        <v>920790382</v>
      </c>
      <c r="E1239" s="8" t="str">
        <f t="shared" si="91"/>
        <v>92079038222</v>
      </c>
      <c r="F1239" s="8" t="s">
        <v>1359</v>
      </c>
      <c r="G1239" s="8">
        <v>1</v>
      </c>
      <c r="H1239" s="8">
        <v>20250401</v>
      </c>
      <c r="I1239" s="8" t="str">
        <f t="shared" si="92"/>
        <v>4/1/2025</v>
      </c>
      <c r="J1239" s="8">
        <v>20250201</v>
      </c>
      <c r="K1239" s="8" t="str">
        <f t="shared" si="93"/>
        <v>2/1/2025</v>
      </c>
      <c r="L1239" s="8" t="s">
        <v>56</v>
      </c>
      <c r="M1239" s="8">
        <v>25</v>
      </c>
      <c r="N1239" s="8">
        <v>25</v>
      </c>
      <c r="O1239" s="6" t="s">
        <v>3947</v>
      </c>
    </row>
    <row r="1240" spans="1:15" ht="15" customHeight="1" x14ac:dyDescent="0.2">
      <c r="A1240" s="7" t="s">
        <v>3900</v>
      </c>
      <c r="B1240" s="7">
        <v>8244481</v>
      </c>
      <c r="C1240" s="8">
        <v>1</v>
      </c>
      <c r="D1240" s="8">
        <v>921041755</v>
      </c>
      <c r="E1240" s="8" t="str">
        <f t="shared" si="91"/>
        <v>92104175522</v>
      </c>
      <c r="F1240" s="8" t="s">
        <v>1377</v>
      </c>
      <c r="G1240" s="8">
        <v>1</v>
      </c>
      <c r="H1240" s="8">
        <v>20250301</v>
      </c>
      <c r="I1240" s="8" t="str">
        <f t="shared" si="92"/>
        <v>3/1/2025</v>
      </c>
      <c r="J1240" s="8">
        <v>20240701</v>
      </c>
      <c r="K1240" s="8" t="str">
        <f t="shared" si="93"/>
        <v>7/1/2024</v>
      </c>
      <c r="L1240" s="8" t="s">
        <v>56</v>
      </c>
      <c r="M1240" s="8">
        <v>25</v>
      </c>
      <c r="N1240" s="8">
        <v>25</v>
      </c>
      <c r="O1240" s="6" t="s">
        <v>3947</v>
      </c>
    </row>
    <row r="1241" spans="1:15" ht="15" customHeight="1" x14ac:dyDescent="0.2">
      <c r="A1241" s="7" t="s">
        <v>3900</v>
      </c>
      <c r="B1241" s="7">
        <v>8244481</v>
      </c>
      <c r="C1241" s="8">
        <v>1</v>
      </c>
      <c r="D1241" s="8">
        <v>921225070</v>
      </c>
      <c r="E1241" s="8" t="str">
        <f t="shared" si="91"/>
        <v>92122507022</v>
      </c>
      <c r="F1241" s="8" t="s">
        <v>1388</v>
      </c>
      <c r="G1241" s="8">
        <v>1</v>
      </c>
      <c r="H1241" s="8">
        <v>20250401</v>
      </c>
      <c r="I1241" s="8" t="str">
        <f t="shared" si="92"/>
        <v>4/1/2025</v>
      </c>
      <c r="J1241" s="8">
        <v>20250101</v>
      </c>
      <c r="K1241" s="8" t="str">
        <f t="shared" si="93"/>
        <v>1/1/2025</v>
      </c>
      <c r="L1241" s="8" t="s">
        <v>56</v>
      </c>
      <c r="M1241" s="8">
        <v>25</v>
      </c>
      <c r="N1241" s="8">
        <v>25</v>
      </c>
      <c r="O1241" s="6" t="s">
        <v>3947</v>
      </c>
    </row>
    <row r="1242" spans="1:15" ht="15" customHeight="1" x14ac:dyDescent="0.2">
      <c r="A1242" s="7" t="s">
        <v>3900</v>
      </c>
      <c r="B1242" s="7">
        <v>8244481</v>
      </c>
      <c r="C1242" s="8">
        <v>1</v>
      </c>
      <c r="D1242" s="8">
        <v>921233848</v>
      </c>
      <c r="E1242" s="8" t="str">
        <f t="shared" ref="E1242:E1305" si="94">CONCATENATE(D1242,22)</f>
        <v>92123384822</v>
      </c>
      <c r="F1242" s="8" t="s">
        <v>1390</v>
      </c>
      <c r="G1242" s="8">
        <v>1</v>
      </c>
      <c r="H1242" s="8">
        <v>20250401</v>
      </c>
      <c r="I1242" s="8" t="str">
        <f t="shared" si="92"/>
        <v>4/1/2025</v>
      </c>
      <c r="J1242" s="8">
        <v>20250101</v>
      </c>
      <c r="K1242" s="8" t="str">
        <f t="shared" si="93"/>
        <v>1/1/2025</v>
      </c>
      <c r="L1242" s="8" t="s">
        <v>56</v>
      </c>
      <c r="M1242" s="8">
        <v>25</v>
      </c>
      <c r="N1242" s="8">
        <v>25</v>
      </c>
      <c r="O1242" s="6" t="s">
        <v>3947</v>
      </c>
    </row>
    <row r="1243" spans="1:15" ht="15" customHeight="1" x14ac:dyDescent="0.2">
      <c r="A1243" s="7" t="s">
        <v>3900</v>
      </c>
      <c r="B1243" s="7">
        <v>8244481</v>
      </c>
      <c r="C1243" s="8">
        <v>1</v>
      </c>
      <c r="D1243" s="8">
        <v>921250107</v>
      </c>
      <c r="E1243" s="8" t="str">
        <f t="shared" si="94"/>
        <v>92125010722</v>
      </c>
      <c r="F1243" s="8" t="s">
        <v>1394</v>
      </c>
      <c r="G1243" s="8">
        <v>1</v>
      </c>
      <c r="H1243" s="8">
        <v>20250401</v>
      </c>
      <c r="I1243" s="8" t="str">
        <f t="shared" si="92"/>
        <v>4/1/2025</v>
      </c>
      <c r="J1243" s="8">
        <v>20250101</v>
      </c>
      <c r="K1243" s="8" t="str">
        <f t="shared" si="93"/>
        <v>1/1/2025</v>
      </c>
      <c r="L1243" s="8" t="s">
        <v>56</v>
      </c>
      <c r="M1243" s="8">
        <v>25</v>
      </c>
      <c r="N1243" s="8">
        <v>25</v>
      </c>
      <c r="O1243" s="6" t="s">
        <v>3947</v>
      </c>
    </row>
    <row r="1244" spans="1:15" ht="15" customHeight="1" x14ac:dyDescent="0.2">
      <c r="A1244" s="7" t="s">
        <v>3900</v>
      </c>
      <c r="B1244" s="7">
        <v>8244481</v>
      </c>
      <c r="C1244" s="8">
        <v>1</v>
      </c>
      <c r="D1244" s="8">
        <v>921250107</v>
      </c>
      <c r="E1244" s="8" t="str">
        <f t="shared" si="94"/>
        <v>92125010722</v>
      </c>
      <c r="F1244" s="8" t="s">
        <v>1394</v>
      </c>
      <c r="G1244" s="8">
        <v>1</v>
      </c>
      <c r="H1244" s="8">
        <v>20250301</v>
      </c>
      <c r="I1244" s="8" t="str">
        <f t="shared" si="92"/>
        <v>3/1/2025</v>
      </c>
      <c r="J1244" s="8">
        <v>20250101</v>
      </c>
      <c r="K1244" s="8" t="str">
        <f t="shared" si="93"/>
        <v>1/1/2025</v>
      </c>
      <c r="L1244" s="8" t="s">
        <v>56</v>
      </c>
      <c r="M1244" s="8">
        <v>25</v>
      </c>
      <c r="N1244" s="8">
        <v>25</v>
      </c>
      <c r="O1244" s="6" t="s">
        <v>3947</v>
      </c>
    </row>
    <row r="1245" spans="1:15" ht="15" customHeight="1" x14ac:dyDescent="0.2">
      <c r="A1245" s="7" t="s">
        <v>3900</v>
      </c>
      <c r="B1245" s="7">
        <v>8244481</v>
      </c>
      <c r="C1245" s="8">
        <v>1</v>
      </c>
      <c r="D1245" s="8">
        <v>921349982</v>
      </c>
      <c r="E1245" s="8" t="str">
        <f t="shared" si="94"/>
        <v>92134998222</v>
      </c>
      <c r="F1245" s="8" t="s">
        <v>1414</v>
      </c>
      <c r="G1245" s="8">
        <v>1</v>
      </c>
      <c r="H1245" s="8">
        <v>20250401</v>
      </c>
      <c r="I1245" s="8" t="str">
        <f t="shared" si="92"/>
        <v>4/1/2025</v>
      </c>
      <c r="J1245" s="8">
        <v>20241101</v>
      </c>
      <c r="K1245" s="8" t="str">
        <f t="shared" si="93"/>
        <v>11/1/2024</v>
      </c>
      <c r="L1245" s="8" t="s">
        <v>56</v>
      </c>
      <c r="M1245" s="8">
        <v>25</v>
      </c>
      <c r="N1245" s="8">
        <v>25</v>
      </c>
      <c r="O1245" s="6" t="s">
        <v>3947</v>
      </c>
    </row>
    <row r="1246" spans="1:15" ht="15" customHeight="1" x14ac:dyDescent="0.2">
      <c r="A1246" s="7" t="s">
        <v>3900</v>
      </c>
      <c r="B1246" s="7">
        <v>8244481</v>
      </c>
      <c r="C1246" s="8">
        <v>1</v>
      </c>
      <c r="D1246" s="8">
        <v>921352333</v>
      </c>
      <c r="E1246" s="8" t="str">
        <f t="shared" si="94"/>
        <v>92135233322</v>
      </c>
      <c r="F1246" s="8" t="s">
        <v>1416</v>
      </c>
      <c r="G1246" s="8">
        <v>1</v>
      </c>
      <c r="H1246" s="8">
        <v>20250301</v>
      </c>
      <c r="I1246" s="8" t="str">
        <f t="shared" si="92"/>
        <v>3/1/2025</v>
      </c>
      <c r="J1246" s="8">
        <v>20250101</v>
      </c>
      <c r="K1246" s="8" t="str">
        <f t="shared" si="93"/>
        <v>1/1/2025</v>
      </c>
      <c r="L1246" s="8" t="s">
        <v>56</v>
      </c>
      <c r="M1246" s="8">
        <v>25</v>
      </c>
      <c r="N1246" s="8">
        <v>25</v>
      </c>
      <c r="O1246" s="6" t="s">
        <v>3947</v>
      </c>
    </row>
    <row r="1247" spans="1:15" ht="15" customHeight="1" x14ac:dyDescent="0.2">
      <c r="A1247" s="7" t="s">
        <v>3900</v>
      </c>
      <c r="B1247" s="7">
        <v>8244481</v>
      </c>
      <c r="C1247" s="8">
        <v>1</v>
      </c>
      <c r="D1247" s="8">
        <v>921353221</v>
      </c>
      <c r="E1247" s="8" t="str">
        <f t="shared" si="94"/>
        <v>92135322122</v>
      </c>
      <c r="F1247" s="8" t="s">
        <v>1420</v>
      </c>
      <c r="G1247" s="8">
        <v>1</v>
      </c>
      <c r="H1247" s="8">
        <v>20250401</v>
      </c>
      <c r="I1247" s="8" t="str">
        <f t="shared" si="92"/>
        <v>4/1/2025</v>
      </c>
      <c r="J1247" s="8">
        <v>20240501</v>
      </c>
      <c r="K1247" s="8" t="str">
        <f t="shared" si="93"/>
        <v>5/1/2024</v>
      </c>
      <c r="L1247" s="8" t="s">
        <v>56</v>
      </c>
      <c r="M1247" s="8">
        <v>25</v>
      </c>
      <c r="N1247" s="8">
        <v>25</v>
      </c>
      <c r="O1247" s="6" t="s">
        <v>3947</v>
      </c>
    </row>
    <row r="1248" spans="1:15" ht="15" customHeight="1" x14ac:dyDescent="0.2">
      <c r="A1248" s="7" t="s">
        <v>3900</v>
      </c>
      <c r="B1248" s="7">
        <v>8244481</v>
      </c>
      <c r="C1248" s="8">
        <v>1</v>
      </c>
      <c r="D1248" s="8">
        <v>921361140</v>
      </c>
      <c r="E1248" s="8" t="str">
        <f t="shared" si="94"/>
        <v>92136114022</v>
      </c>
      <c r="F1248" s="8" t="s">
        <v>1422</v>
      </c>
      <c r="G1248" s="8">
        <v>1</v>
      </c>
      <c r="H1248" s="8">
        <v>20250401</v>
      </c>
      <c r="I1248" s="8" t="str">
        <f t="shared" si="92"/>
        <v>4/1/2025</v>
      </c>
      <c r="J1248" s="8">
        <v>20250101</v>
      </c>
      <c r="K1248" s="8" t="str">
        <f t="shared" si="93"/>
        <v>1/1/2025</v>
      </c>
      <c r="L1248" s="8" t="s">
        <v>56</v>
      </c>
      <c r="M1248" s="8">
        <v>25</v>
      </c>
      <c r="N1248" s="8">
        <v>25</v>
      </c>
      <c r="O1248" s="6" t="s">
        <v>3947</v>
      </c>
    </row>
    <row r="1249" spans="1:15" ht="15" customHeight="1" x14ac:dyDescent="0.2">
      <c r="A1249" s="7" t="s">
        <v>3900</v>
      </c>
      <c r="B1249" s="7">
        <v>8244481</v>
      </c>
      <c r="C1249" s="8">
        <v>1</v>
      </c>
      <c r="D1249" s="8">
        <v>921361140</v>
      </c>
      <c r="E1249" s="8" t="str">
        <f t="shared" si="94"/>
        <v>92136114022</v>
      </c>
      <c r="F1249" s="8" t="s">
        <v>1422</v>
      </c>
      <c r="G1249" s="8">
        <v>1</v>
      </c>
      <c r="H1249" s="8">
        <v>20250301</v>
      </c>
      <c r="I1249" s="8" t="str">
        <f t="shared" si="92"/>
        <v>3/1/2025</v>
      </c>
      <c r="J1249" s="8">
        <v>20250101</v>
      </c>
      <c r="K1249" s="8" t="str">
        <f t="shared" si="93"/>
        <v>1/1/2025</v>
      </c>
      <c r="L1249" s="8" t="s">
        <v>56</v>
      </c>
      <c r="M1249" s="8">
        <v>25</v>
      </c>
      <c r="N1249" s="8">
        <v>25</v>
      </c>
      <c r="O1249" s="6" t="s">
        <v>3947</v>
      </c>
    </row>
    <row r="1250" spans="1:15" ht="15" customHeight="1" x14ac:dyDescent="0.2">
      <c r="A1250" s="7" t="s">
        <v>3900</v>
      </c>
      <c r="B1250" s="7">
        <v>8244481</v>
      </c>
      <c r="C1250" s="8">
        <v>1</v>
      </c>
      <c r="D1250" s="8">
        <v>921397044</v>
      </c>
      <c r="E1250" s="8" t="str">
        <f t="shared" si="94"/>
        <v>92139704422</v>
      </c>
      <c r="F1250" s="8" t="s">
        <v>1439</v>
      </c>
      <c r="G1250" s="8">
        <v>1</v>
      </c>
      <c r="H1250" s="8">
        <v>20250401</v>
      </c>
      <c r="I1250" s="8" t="str">
        <f t="shared" si="92"/>
        <v>4/1/2025</v>
      </c>
      <c r="J1250" s="8">
        <v>20250101</v>
      </c>
      <c r="K1250" s="8" t="str">
        <f t="shared" si="93"/>
        <v>1/1/2025</v>
      </c>
      <c r="L1250" s="8" t="s">
        <v>56</v>
      </c>
      <c r="M1250" s="8">
        <v>25</v>
      </c>
      <c r="N1250" s="8">
        <v>25</v>
      </c>
      <c r="O1250" s="6" t="s">
        <v>3947</v>
      </c>
    </row>
    <row r="1251" spans="1:15" ht="15" customHeight="1" x14ac:dyDescent="0.2">
      <c r="A1251" s="7" t="s">
        <v>3900</v>
      </c>
      <c r="B1251" s="7">
        <v>8244481</v>
      </c>
      <c r="C1251" s="8">
        <v>1</v>
      </c>
      <c r="D1251" s="8">
        <v>921397044</v>
      </c>
      <c r="E1251" s="8" t="str">
        <f t="shared" si="94"/>
        <v>92139704422</v>
      </c>
      <c r="F1251" s="8" t="s">
        <v>1439</v>
      </c>
      <c r="G1251" s="8">
        <v>1</v>
      </c>
      <c r="H1251" s="8">
        <v>20250301</v>
      </c>
      <c r="I1251" s="8" t="str">
        <f t="shared" si="92"/>
        <v>3/1/2025</v>
      </c>
      <c r="J1251" s="8">
        <v>20250101</v>
      </c>
      <c r="K1251" s="8" t="str">
        <f t="shared" si="93"/>
        <v>1/1/2025</v>
      </c>
      <c r="L1251" s="8" t="s">
        <v>56</v>
      </c>
      <c r="M1251" s="8">
        <v>25</v>
      </c>
      <c r="N1251" s="8">
        <v>25</v>
      </c>
      <c r="O1251" s="6" t="s">
        <v>3947</v>
      </c>
    </row>
    <row r="1252" spans="1:15" ht="15" customHeight="1" x14ac:dyDescent="0.2">
      <c r="A1252" s="7" t="s">
        <v>3900</v>
      </c>
      <c r="B1252" s="7">
        <v>8244481</v>
      </c>
      <c r="C1252" s="8">
        <v>1</v>
      </c>
      <c r="D1252" s="8">
        <v>921398434</v>
      </c>
      <c r="E1252" s="8" t="str">
        <f t="shared" si="94"/>
        <v>92139843422</v>
      </c>
      <c r="F1252" s="8" t="s">
        <v>1441</v>
      </c>
      <c r="G1252" s="8">
        <v>1</v>
      </c>
      <c r="H1252" s="8">
        <v>20250401</v>
      </c>
      <c r="I1252" s="8" t="str">
        <f t="shared" si="92"/>
        <v>4/1/2025</v>
      </c>
      <c r="J1252" s="8">
        <v>20250101</v>
      </c>
      <c r="K1252" s="8" t="str">
        <f t="shared" si="93"/>
        <v>1/1/2025</v>
      </c>
      <c r="L1252" s="8" t="s">
        <v>56</v>
      </c>
      <c r="M1252" s="8">
        <v>25</v>
      </c>
      <c r="N1252" s="8">
        <v>25</v>
      </c>
      <c r="O1252" s="6" t="s">
        <v>3947</v>
      </c>
    </row>
    <row r="1253" spans="1:15" ht="15" customHeight="1" x14ac:dyDescent="0.2">
      <c r="A1253" s="7" t="s">
        <v>3900</v>
      </c>
      <c r="B1253" s="7">
        <v>8244481</v>
      </c>
      <c r="C1253" s="8">
        <v>1</v>
      </c>
      <c r="D1253" s="8">
        <v>921410536</v>
      </c>
      <c r="E1253" s="8" t="str">
        <f t="shared" si="94"/>
        <v>92141053622</v>
      </c>
      <c r="F1253" s="8" t="s">
        <v>1445</v>
      </c>
      <c r="G1253" s="8">
        <v>1</v>
      </c>
      <c r="H1253" s="8">
        <v>20250301</v>
      </c>
      <c r="I1253" s="8" t="str">
        <f t="shared" si="92"/>
        <v>3/1/2025</v>
      </c>
      <c r="J1253" s="8">
        <v>20250101</v>
      </c>
      <c r="K1253" s="8" t="str">
        <f t="shared" si="93"/>
        <v>1/1/2025</v>
      </c>
      <c r="L1253" s="8" t="s">
        <v>56</v>
      </c>
      <c r="M1253" s="8">
        <v>25</v>
      </c>
      <c r="N1253" s="8">
        <v>25</v>
      </c>
      <c r="O1253" s="6" t="s">
        <v>3947</v>
      </c>
    </row>
    <row r="1254" spans="1:15" ht="15" customHeight="1" x14ac:dyDescent="0.2">
      <c r="A1254" s="7" t="s">
        <v>3900</v>
      </c>
      <c r="B1254" s="7">
        <v>8244481</v>
      </c>
      <c r="C1254" s="8">
        <v>1</v>
      </c>
      <c r="D1254" s="8">
        <v>921453082</v>
      </c>
      <c r="E1254" s="8" t="str">
        <f t="shared" si="94"/>
        <v>92145308222</v>
      </c>
      <c r="F1254" s="8" t="s">
        <v>1458</v>
      </c>
      <c r="G1254" s="8">
        <v>1</v>
      </c>
      <c r="H1254" s="8">
        <v>20250401</v>
      </c>
      <c r="I1254" s="8" t="str">
        <f t="shared" si="92"/>
        <v>4/1/2025</v>
      </c>
      <c r="J1254" s="8">
        <v>20240701</v>
      </c>
      <c r="K1254" s="8" t="str">
        <f t="shared" si="93"/>
        <v>7/1/2024</v>
      </c>
      <c r="L1254" s="8" t="s">
        <v>56</v>
      </c>
      <c r="M1254" s="8">
        <v>25</v>
      </c>
      <c r="N1254" s="8">
        <v>25</v>
      </c>
      <c r="O1254" s="6" t="s">
        <v>3947</v>
      </c>
    </row>
    <row r="1255" spans="1:15" ht="15" customHeight="1" x14ac:dyDescent="0.2">
      <c r="A1255" s="7" t="s">
        <v>3900</v>
      </c>
      <c r="B1255" s="7">
        <v>8244481</v>
      </c>
      <c r="C1255" s="8">
        <v>1</v>
      </c>
      <c r="D1255" s="8">
        <v>921529574</v>
      </c>
      <c r="E1255" s="8" t="str">
        <f t="shared" si="94"/>
        <v>92152957422</v>
      </c>
      <c r="F1255" s="8" t="s">
        <v>1498</v>
      </c>
      <c r="G1255" s="8">
        <v>1</v>
      </c>
      <c r="H1255" s="8">
        <v>20250401</v>
      </c>
      <c r="I1255" s="8" t="str">
        <f t="shared" si="92"/>
        <v>4/1/2025</v>
      </c>
      <c r="J1255" s="8">
        <v>20241001</v>
      </c>
      <c r="K1255" s="8" t="str">
        <f t="shared" si="93"/>
        <v>10/1/2024</v>
      </c>
      <c r="L1255" s="8" t="s">
        <v>56</v>
      </c>
      <c r="M1255" s="8">
        <v>25</v>
      </c>
      <c r="N1255" s="8">
        <v>25</v>
      </c>
      <c r="O1255" s="6" t="s">
        <v>3947</v>
      </c>
    </row>
    <row r="1256" spans="1:15" ht="15" customHeight="1" x14ac:dyDescent="0.2">
      <c r="A1256" s="7" t="s">
        <v>3900</v>
      </c>
      <c r="B1256" s="7">
        <v>8244481</v>
      </c>
      <c r="C1256" s="8">
        <v>1</v>
      </c>
      <c r="D1256" s="8">
        <v>921538152</v>
      </c>
      <c r="E1256" s="8" t="str">
        <f t="shared" si="94"/>
        <v>92153815222</v>
      </c>
      <c r="F1256" s="8" t="s">
        <v>1500</v>
      </c>
      <c r="G1256" s="8">
        <v>1</v>
      </c>
      <c r="H1256" s="8">
        <v>20250401</v>
      </c>
      <c r="I1256" s="8" t="str">
        <f t="shared" si="92"/>
        <v>4/1/2025</v>
      </c>
      <c r="J1256" s="8">
        <v>20250101</v>
      </c>
      <c r="K1256" s="8" t="str">
        <f t="shared" si="93"/>
        <v>1/1/2025</v>
      </c>
      <c r="L1256" s="8" t="s">
        <v>56</v>
      </c>
      <c r="M1256" s="8">
        <v>25</v>
      </c>
      <c r="N1256" s="8">
        <v>25</v>
      </c>
      <c r="O1256" s="6" t="s">
        <v>3947</v>
      </c>
    </row>
    <row r="1257" spans="1:15" ht="15" customHeight="1" x14ac:dyDescent="0.2">
      <c r="A1257" s="7" t="s">
        <v>3900</v>
      </c>
      <c r="B1257" s="7">
        <v>8244481</v>
      </c>
      <c r="C1257" s="8">
        <v>1</v>
      </c>
      <c r="D1257" s="8">
        <v>921576503</v>
      </c>
      <c r="E1257" s="8" t="str">
        <f t="shared" si="94"/>
        <v>92157650322</v>
      </c>
      <c r="F1257" s="8" t="s">
        <v>1510</v>
      </c>
      <c r="G1257" s="8">
        <v>1</v>
      </c>
      <c r="H1257" s="8">
        <v>20250401</v>
      </c>
      <c r="I1257" s="8" t="str">
        <f t="shared" si="92"/>
        <v>4/1/2025</v>
      </c>
      <c r="J1257" s="8">
        <v>20250101</v>
      </c>
      <c r="K1257" s="8" t="str">
        <f t="shared" si="93"/>
        <v>1/1/2025</v>
      </c>
      <c r="L1257" s="8" t="s">
        <v>56</v>
      </c>
      <c r="M1257" s="8">
        <v>25</v>
      </c>
      <c r="N1257" s="8">
        <v>25</v>
      </c>
      <c r="O1257" s="6" t="s">
        <v>3947</v>
      </c>
    </row>
    <row r="1258" spans="1:15" ht="15" customHeight="1" x14ac:dyDescent="0.2">
      <c r="A1258" s="7" t="s">
        <v>3900</v>
      </c>
      <c r="B1258" s="7">
        <v>8244481</v>
      </c>
      <c r="C1258" s="8">
        <v>1</v>
      </c>
      <c r="D1258" s="8">
        <v>921576503</v>
      </c>
      <c r="E1258" s="8" t="str">
        <f t="shared" si="94"/>
        <v>92157650322</v>
      </c>
      <c r="F1258" s="8" t="s">
        <v>1510</v>
      </c>
      <c r="G1258" s="8">
        <v>1</v>
      </c>
      <c r="H1258" s="8">
        <v>20250301</v>
      </c>
      <c r="I1258" s="8" t="str">
        <f t="shared" si="92"/>
        <v>3/1/2025</v>
      </c>
      <c r="J1258" s="8">
        <v>20250101</v>
      </c>
      <c r="K1258" s="8" t="str">
        <f t="shared" si="93"/>
        <v>1/1/2025</v>
      </c>
      <c r="L1258" s="8" t="s">
        <v>56</v>
      </c>
      <c r="M1258" s="8">
        <v>25</v>
      </c>
      <c r="N1258" s="8">
        <v>25</v>
      </c>
      <c r="O1258" s="6" t="s">
        <v>3947</v>
      </c>
    </row>
    <row r="1259" spans="1:15" ht="15" customHeight="1" x14ac:dyDescent="0.2">
      <c r="A1259" s="7" t="s">
        <v>3900</v>
      </c>
      <c r="B1259" s="7">
        <v>8244481</v>
      </c>
      <c r="C1259" s="8">
        <v>1</v>
      </c>
      <c r="D1259" s="8">
        <v>921606018</v>
      </c>
      <c r="E1259" s="8" t="str">
        <f t="shared" si="94"/>
        <v>92160601822</v>
      </c>
      <c r="F1259" s="8" t="s">
        <v>1526</v>
      </c>
      <c r="G1259" s="8">
        <v>1</v>
      </c>
      <c r="H1259" s="8">
        <v>20250401</v>
      </c>
      <c r="I1259" s="8" t="str">
        <f t="shared" si="92"/>
        <v>4/1/2025</v>
      </c>
      <c r="J1259" s="8">
        <v>20250101</v>
      </c>
      <c r="K1259" s="8" t="str">
        <f t="shared" si="93"/>
        <v>1/1/2025</v>
      </c>
      <c r="L1259" s="8" t="s">
        <v>56</v>
      </c>
      <c r="M1259" s="8">
        <v>25</v>
      </c>
      <c r="N1259" s="8">
        <v>25</v>
      </c>
      <c r="O1259" s="6" t="s">
        <v>3947</v>
      </c>
    </row>
    <row r="1260" spans="1:15" ht="15" customHeight="1" x14ac:dyDescent="0.2">
      <c r="A1260" s="7" t="s">
        <v>3900</v>
      </c>
      <c r="B1260" s="7">
        <v>8244481</v>
      </c>
      <c r="C1260" s="8">
        <v>1</v>
      </c>
      <c r="D1260" s="8">
        <v>921606018</v>
      </c>
      <c r="E1260" s="8" t="str">
        <f t="shared" si="94"/>
        <v>92160601822</v>
      </c>
      <c r="F1260" s="8" t="s">
        <v>1526</v>
      </c>
      <c r="G1260" s="8">
        <v>1</v>
      </c>
      <c r="H1260" s="8">
        <v>20250301</v>
      </c>
      <c r="I1260" s="8" t="str">
        <f t="shared" si="92"/>
        <v>3/1/2025</v>
      </c>
      <c r="J1260" s="8">
        <v>20250101</v>
      </c>
      <c r="K1260" s="8" t="str">
        <f t="shared" si="93"/>
        <v>1/1/2025</v>
      </c>
      <c r="L1260" s="8" t="s">
        <v>56</v>
      </c>
      <c r="M1260" s="8">
        <v>25</v>
      </c>
      <c r="N1260" s="8">
        <v>25</v>
      </c>
      <c r="O1260" s="6" t="s">
        <v>3947</v>
      </c>
    </row>
    <row r="1261" spans="1:15" ht="15" customHeight="1" x14ac:dyDescent="0.2">
      <c r="A1261" s="7" t="s">
        <v>3900</v>
      </c>
      <c r="B1261" s="7">
        <v>8244481</v>
      </c>
      <c r="C1261" s="8">
        <v>1</v>
      </c>
      <c r="D1261" s="8">
        <v>921716068</v>
      </c>
      <c r="E1261" s="8" t="str">
        <f t="shared" si="94"/>
        <v>92171606822</v>
      </c>
      <c r="F1261" s="8" t="s">
        <v>1627</v>
      </c>
      <c r="G1261" s="8">
        <v>1</v>
      </c>
      <c r="H1261" s="8">
        <v>20250401</v>
      </c>
      <c r="I1261" s="8" t="str">
        <f t="shared" si="92"/>
        <v>4/1/2025</v>
      </c>
      <c r="J1261" s="8">
        <v>20240401</v>
      </c>
      <c r="K1261" s="8" t="str">
        <f t="shared" si="93"/>
        <v>4/1/2024</v>
      </c>
      <c r="L1261" s="8" t="s">
        <v>56</v>
      </c>
      <c r="M1261" s="8">
        <v>25</v>
      </c>
      <c r="N1261" s="8">
        <v>25</v>
      </c>
      <c r="O1261" s="6" t="s">
        <v>3947</v>
      </c>
    </row>
    <row r="1262" spans="1:15" ht="15" customHeight="1" x14ac:dyDescent="0.2">
      <c r="A1262" s="7" t="s">
        <v>3900</v>
      </c>
      <c r="B1262" s="7">
        <v>8244481</v>
      </c>
      <c r="C1262" s="8">
        <v>1</v>
      </c>
      <c r="D1262" s="8">
        <v>921716171</v>
      </c>
      <c r="E1262" s="8" t="str">
        <f t="shared" si="94"/>
        <v>92171617122</v>
      </c>
      <c r="F1262" s="8" t="s">
        <v>1629</v>
      </c>
      <c r="G1262" s="8">
        <v>1</v>
      </c>
      <c r="H1262" s="8">
        <v>20250401</v>
      </c>
      <c r="I1262" s="8" t="str">
        <f t="shared" si="92"/>
        <v>4/1/2025</v>
      </c>
      <c r="J1262" s="8">
        <v>20240401</v>
      </c>
      <c r="K1262" s="8" t="str">
        <f t="shared" si="93"/>
        <v>4/1/2024</v>
      </c>
      <c r="L1262" s="8" t="s">
        <v>56</v>
      </c>
      <c r="M1262" s="8">
        <v>25</v>
      </c>
      <c r="N1262" s="8">
        <v>25</v>
      </c>
      <c r="O1262" s="6" t="s">
        <v>3947</v>
      </c>
    </row>
    <row r="1263" spans="1:15" ht="15" customHeight="1" x14ac:dyDescent="0.2">
      <c r="A1263" s="7" t="s">
        <v>3900</v>
      </c>
      <c r="B1263" s="7">
        <v>8244481</v>
      </c>
      <c r="C1263" s="8">
        <v>1</v>
      </c>
      <c r="D1263" s="8">
        <v>921721256</v>
      </c>
      <c r="E1263" s="8" t="str">
        <f t="shared" si="94"/>
        <v>92172125622</v>
      </c>
      <c r="F1263" s="8" t="s">
        <v>1639</v>
      </c>
      <c r="G1263" s="8">
        <v>1</v>
      </c>
      <c r="H1263" s="8">
        <v>20250401</v>
      </c>
      <c r="I1263" s="8" t="str">
        <f t="shared" si="92"/>
        <v>4/1/2025</v>
      </c>
      <c r="J1263" s="8">
        <v>20241201</v>
      </c>
      <c r="K1263" s="8" t="str">
        <f t="shared" si="93"/>
        <v>12/1/2024</v>
      </c>
      <c r="L1263" s="8" t="s">
        <v>56</v>
      </c>
      <c r="M1263" s="8">
        <v>25</v>
      </c>
      <c r="N1263" s="8">
        <v>25</v>
      </c>
      <c r="O1263" s="6" t="s">
        <v>3947</v>
      </c>
    </row>
    <row r="1264" spans="1:15" ht="15" customHeight="1" x14ac:dyDescent="0.2">
      <c r="A1264" s="7" t="s">
        <v>3900</v>
      </c>
      <c r="B1264" s="7">
        <v>8244481</v>
      </c>
      <c r="C1264" s="8">
        <v>1</v>
      </c>
      <c r="D1264" s="8">
        <v>921721352</v>
      </c>
      <c r="E1264" s="8" t="str">
        <f t="shared" si="94"/>
        <v>92172135222</v>
      </c>
      <c r="F1264" s="8" t="s">
        <v>1641</v>
      </c>
      <c r="G1264" s="8">
        <v>1</v>
      </c>
      <c r="H1264" s="8">
        <v>20250401</v>
      </c>
      <c r="I1264" s="8" t="str">
        <f t="shared" si="92"/>
        <v>4/1/2025</v>
      </c>
      <c r="J1264" s="8">
        <v>20240501</v>
      </c>
      <c r="K1264" s="8" t="str">
        <f t="shared" si="93"/>
        <v>5/1/2024</v>
      </c>
      <c r="L1264" s="8" t="s">
        <v>56</v>
      </c>
      <c r="M1264" s="8">
        <v>25</v>
      </c>
      <c r="N1264" s="8">
        <v>25</v>
      </c>
      <c r="O1264" s="6" t="s">
        <v>3947</v>
      </c>
    </row>
    <row r="1265" spans="1:15" ht="15" customHeight="1" x14ac:dyDescent="0.2">
      <c r="A1265" s="7" t="s">
        <v>3900</v>
      </c>
      <c r="B1265" s="7">
        <v>8244481</v>
      </c>
      <c r="C1265" s="8">
        <v>1</v>
      </c>
      <c r="D1265" s="8">
        <v>921723763</v>
      </c>
      <c r="E1265" s="8" t="str">
        <f t="shared" si="94"/>
        <v>92172376322</v>
      </c>
      <c r="F1265" s="8" t="s">
        <v>1645</v>
      </c>
      <c r="G1265" s="8">
        <v>1</v>
      </c>
      <c r="H1265" s="8">
        <v>20250401</v>
      </c>
      <c r="I1265" s="8" t="str">
        <f t="shared" si="92"/>
        <v>4/1/2025</v>
      </c>
      <c r="J1265" s="8">
        <v>20240601</v>
      </c>
      <c r="K1265" s="8" t="str">
        <f t="shared" si="93"/>
        <v>6/1/2024</v>
      </c>
      <c r="L1265" s="8" t="s">
        <v>56</v>
      </c>
      <c r="M1265" s="8">
        <v>25</v>
      </c>
      <c r="N1265" s="8">
        <v>25</v>
      </c>
      <c r="O1265" s="6" t="s">
        <v>3947</v>
      </c>
    </row>
    <row r="1266" spans="1:15" ht="15" customHeight="1" x14ac:dyDescent="0.2">
      <c r="A1266" s="7" t="s">
        <v>3900</v>
      </c>
      <c r="B1266" s="7">
        <v>8244481</v>
      </c>
      <c r="C1266" s="8">
        <v>1</v>
      </c>
      <c r="D1266" s="8">
        <v>921725502</v>
      </c>
      <c r="E1266" s="8" t="str">
        <f t="shared" si="94"/>
        <v>92172550222</v>
      </c>
      <c r="F1266" s="8" t="s">
        <v>1647</v>
      </c>
      <c r="G1266" s="8">
        <v>1</v>
      </c>
      <c r="H1266" s="8">
        <v>20250401</v>
      </c>
      <c r="I1266" s="8" t="str">
        <f t="shared" si="92"/>
        <v>4/1/2025</v>
      </c>
      <c r="J1266" s="8">
        <v>20240601</v>
      </c>
      <c r="K1266" s="8" t="str">
        <f t="shared" si="93"/>
        <v>6/1/2024</v>
      </c>
      <c r="L1266" s="8" t="s">
        <v>56</v>
      </c>
      <c r="M1266" s="8">
        <v>25</v>
      </c>
      <c r="N1266" s="8">
        <v>25</v>
      </c>
      <c r="O1266" s="6" t="s">
        <v>3947</v>
      </c>
    </row>
    <row r="1267" spans="1:15" ht="15" customHeight="1" x14ac:dyDescent="0.2">
      <c r="A1267" s="7" t="s">
        <v>3900</v>
      </c>
      <c r="B1267" s="7">
        <v>8244481</v>
      </c>
      <c r="C1267" s="8">
        <v>1</v>
      </c>
      <c r="D1267" s="8">
        <v>921726908</v>
      </c>
      <c r="E1267" s="8" t="str">
        <f t="shared" si="94"/>
        <v>92172690822</v>
      </c>
      <c r="F1267" s="8" t="s">
        <v>1649</v>
      </c>
      <c r="G1267" s="8">
        <v>1</v>
      </c>
      <c r="H1267" s="8">
        <v>20250401</v>
      </c>
      <c r="I1267" s="8" t="str">
        <f t="shared" si="92"/>
        <v>4/1/2025</v>
      </c>
      <c r="J1267" s="8">
        <v>20240701</v>
      </c>
      <c r="K1267" s="8" t="str">
        <f t="shared" si="93"/>
        <v>7/1/2024</v>
      </c>
      <c r="L1267" s="8" t="s">
        <v>56</v>
      </c>
      <c r="M1267" s="8">
        <v>25</v>
      </c>
      <c r="N1267" s="8">
        <v>25</v>
      </c>
      <c r="O1267" s="6" t="s">
        <v>3947</v>
      </c>
    </row>
    <row r="1268" spans="1:15" ht="15" customHeight="1" x14ac:dyDescent="0.2">
      <c r="A1268" s="7" t="s">
        <v>3900</v>
      </c>
      <c r="B1268" s="7">
        <v>8244481</v>
      </c>
      <c r="C1268" s="8">
        <v>1</v>
      </c>
      <c r="D1268" s="8">
        <v>921729233</v>
      </c>
      <c r="E1268" s="8" t="str">
        <f t="shared" si="94"/>
        <v>92172923322</v>
      </c>
      <c r="F1268" s="8" t="s">
        <v>1651</v>
      </c>
      <c r="G1268" s="8">
        <v>1</v>
      </c>
      <c r="H1268" s="8">
        <v>20250401</v>
      </c>
      <c r="I1268" s="8" t="str">
        <f t="shared" si="92"/>
        <v>4/1/2025</v>
      </c>
      <c r="J1268" s="8">
        <v>20240701</v>
      </c>
      <c r="K1268" s="8" t="str">
        <f t="shared" si="93"/>
        <v>7/1/2024</v>
      </c>
      <c r="L1268" s="8" t="s">
        <v>56</v>
      </c>
      <c r="M1268" s="8">
        <v>25</v>
      </c>
      <c r="N1268" s="8">
        <v>25</v>
      </c>
      <c r="O1268" s="6" t="s">
        <v>3947</v>
      </c>
    </row>
    <row r="1269" spans="1:15" ht="15" customHeight="1" x14ac:dyDescent="0.2">
      <c r="A1269" s="7" t="s">
        <v>3900</v>
      </c>
      <c r="B1269" s="7">
        <v>8244481</v>
      </c>
      <c r="C1269" s="8">
        <v>1</v>
      </c>
      <c r="D1269" s="8">
        <v>921730642</v>
      </c>
      <c r="E1269" s="8" t="str">
        <f t="shared" si="94"/>
        <v>92173064222</v>
      </c>
      <c r="F1269" s="8" t="s">
        <v>1653</v>
      </c>
      <c r="G1269" s="8">
        <v>1</v>
      </c>
      <c r="H1269" s="8">
        <v>20250401</v>
      </c>
      <c r="I1269" s="8" t="str">
        <f t="shared" si="92"/>
        <v>4/1/2025</v>
      </c>
      <c r="J1269" s="8">
        <v>20240701</v>
      </c>
      <c r="K1269" s="8" t="str">
        <f t="shared" si="93"/>
        <v>7/1/2024</v>
      </c>
      <c r="L1269" s="8" t="s">
        <v>56</v>
      </c>
      <c r="M1269" s="8">
        <v>25</v>
      </c>
      <c r="N1269" s="8">
        <v>25</v>
      </c>
      <c r="O1269" s="6" t="s">
        <v>3947</v>
      </c>
    </row>
    <row r="1270" spans="1:15" ht="15" customHeight="1" x14ac:dyDescent="0.2">
      <c r="A1270" s="7" t="s">
        <v>3900</v>
      </c>
      <c r="B1270" s="7">
        <v>8244481</v>
      </c>
      <c r="C1270" s="8">
        <v>1</v>
      </c>
      <c r="D1270" s="8">
        <v>921735969</v>
      </c>
      <c r="E1270" s="8" t="str">
        <f t="shared" si="94"/>
        <v>92173596922</v>
      </c>
      <c r="F1270" s="8" t="s">
        <v>1657</v>
      </c>
      <c r="G1270" s="8">
        <v>1</v>
      </c>
      <c r="H1270" s="8">
        <v>20250401</v>
      </c>
      <c r="I1270" s="8" t="str">
        <f t="shared" si="92"/>
        <v>4/1/2025</v>
      </c>
      <c r="J1270" s="8">
        <v>20240901</v>
      </c>
      <c r="K1270" s="8" t="str">
        <f t="shared" si="93"/>
        <v>9/1/2024</v>
      </c>
      <c r="L1270" s="8" t="s">
        <v>56</v>
      </c>
      <c r="M1270" s="8">
        <v>25</v>
      </c>
      <c r="N1270" s="8">
        <v>25</v>
      </c>
      <c r="O1270" s="6" t="s">
        <v>3947</v>
      </c>
    </row>
    <row r="1271" spans="1:15" ht="15" customHeight="1" x14ac:dyDescent="0.2">
      <c r="A1271" s="7" t="s">
        <v>3900</v>
      </c>
      <c r="B1271" s="7">
        <v>8244481</v>
      </c>
      <c r="C1271" s="8">
        <v>1</v>
      </c>
      <c r="D1271" s="8">
        <v>921740609</v>
      </c>
      <c r="E1271" s="8" t="str">
        <f t="shared" si="94"/>
        <v>92174060922</v>
      </c>
      <c r="F1271" s="8" t="s">
        <v>1659</v>
      </c>
      <c r="G1271" s="8">
        <v>1</v>
      </c>
      <c r="H1271" s="8">
        <v>20250401</v>
      </c>
      <c r="I1271" s="8" t="str">
        <f t="shared" si="92"/>
        <v>4/1/2025</v>
      </c>
      <c r="J1271" s="8">
        <v>20241001</v>
      </c>
      <c r="K1271" s="8" t="str">
        <f t="shared" si="93"/>
        <v>10/1/2024</v>
      </c>
      <c r="L1271" s="8" t="s">
        <v>56</v>
      </c>
      <c r="M1271" s="8">
        <v>25</v>
      </c>
      <c r="N1271" s="8">
        <v>25</v>
      </c>
      <c r="O1271" s="6" t="s">
        <v>3947</v>
      </c>
    </row>
    <row r="1272" spans="1:15" ht="15" customHeight="1" x14ac:dyDescent="0.2">
      <c r="A1272" s="7" t="s">
        <v>3900</v>
      </c>
      <c r="B1272" s="7">
        <v>8244481</v>
      </c>
      <c r="C1272" s="8">
        <v>1</v>
      </c>
      <c r="D1272" s="8">
        <v>921745110</v>
      </c>
      <c r="E1272" s="8" t="str">
        <f t="shared" si="94"/>
        <v>92174511022</v>
      </c>
      <c r="F1272" s="8" t="s">
        <v>1661</v>
      </c>
      <c r="G1272" s="8">
        <v>1</v>
      </c>
      <c r="H1272" s="8">
        <v>20250401</v>
      </c>
      <c r="I1272" s="8" t="str">
        <f t="shared" si="92"/>
        <v>4/1/2025</v>
      </c>
      <c r="J1272" s="8">
        <v>20250101</v>
      </c>
      <c r="K1272" s="8" t="str">
        <f t="shared" si="93"/>
        <v>1/1/2025</v>
      </c>
      <c r="L1272" s="8" t="s">
        <v>56</v>
      </c>
      <c r="M1272" s="8">
        <v>25</v>
      </c>
      <c r="N1272" s="8">
        <v>25</v>
      </c>
      <c r="O1272" s="6" t="s">
        <v>3947</v>
      </c>
    </row>
    <row r="1273" spans="1:15" ht="15" customHeight="1" x14ac:dyDescent="0.2">
      <c r="A1273" s="7" t="s">
        <v>3900</v>
      </c>
      <c r="B1273" s="7">
        <v>8244481</v>
      </c>
      <c r="C1273" s="8">
        <v>1</v>
      </c>
      <c r="D1273" s="8">
        <v>921746082</v>
      </c>
      <c r="E1273" s="8" t="str">
        <f t="shared" si="94"/>
        <v>92174608222</v>
      </c>
      <c r="F1273" s="8" t="s">
        <v>1663</v>
      </c>
      <c r="G1273" s="8">
        <v>1</v>
      </c>
      <c r="H1273" s="8">
        <v>20250401</v>
      </c>
      <c r="I1273" s="8" t="str">
        <f t="shared" si="92"/>
        <v>4/1/2025</v>
      </c>
      <c r="J1273" s="8">
        <v>20250101</v>
      </c>
      <c r="K1273" s="8" t="str">
        <f t="shared" si="93"/>
        <v>1/1/2025</v>
      </c>
      <c r="L1273" s="8" t="s">
        <v>56</v>
      </c>
      <c r="M1273" s="8">
        <v>25</v>
      </c>
      <c r="N1273" s="8">
        <v>25</v>
      </c>
      <c r="O1273" s="6" t="s">
        <v>3947</v>
      </c>
    </row>
    <row r="1274" spans="1:15" ht="15" customHeight="1" x14ac:dyDescent="0.2">
      <c r="A1274" s="7" t="s">
        <v>3900</v>
      </c>
      <c r="B1274" s="7">
        <v>8244481</v>
      </c>
      <c r="C1274" s="8">
        <v>1</v>
      </c>
      <c r="D1274" s="8">
        <v>921747239</v>
      </c>
      <c r="E1274" s="8" t="str">
        <f t="shared" si="94"/>
        <v>92174723922</v>
      </c>
      <c r="F1274" s="8" t="s">
        <v>1667</v>
      </c>
      <c r="G1274" s="8">
        <v>1</v>
      </c>
      <c r="H1274" s="8">
        <v>20250401</v>
      </c>
      <c r="I1274" s="8" t="str">
        <f t="shared" si="92"/>
        <v>4/1/2025</v>
      </c>
      <c r="J1274" s="8">
        <v>20250101</v>
      </c>
      <c r="K1274" s="8" t="str">
        <f t="shared" si="93"/>
        <v>1/1/2025</v>
      </c>
      <c r="L1274" s="8" t="s">
        <v>56</v>
      </c>
      <c r="M1274" s="8">
        <v>25</v>
      </c>
      <c r="N1274" s="8">
        <v>25</v>
      </c>
      <c r="O1274" s="6" t="s">
        <v>3947</v>
      </c>
    </row>
    <row r="1275" spans="1:15" ht="15" customHeight="1" x14ac:dyDescent="0.2">
      <c r="A1275" s="7" t="s">
        <v>3900</v>
      </c>
      <c r="B1275" s="7">
        <v>8244481</v>
      </c>
      <c r="C1275" s="8">
        <v>1</v>
      </c>
      <c r="D1275" s="8">
        <v>921747239</v>
      </c>
      <c r="E1275" s="8" t="str">
        <f t="shared" si="94"/>
        <v>92174723922</v>
      </c>
      <c r="F1275" s="8" t="s">
        <v>1667</v>
      </c>
      <c r="G1275" s="8">
        <v>1</v>
      </c>
      <c r="H1275" s="8">
        <v>20250301</v>
      </c>
      <c r="I1275" s="8" t="str">
        <f t="shared" si="92"/>
        <v>3/1/2025</v>
      </c>
      <c r="J1275" s="8">
        <v>20250101</v>
      </c>
      <c r="K1275" s="8" t="str">
        <f t="shared" si="93"/>
        <v>1/1/2025</v>
      </c>
      <c r="L1275" s="8" t="s">
        <v>56</v>
      </c>
      <c r="M1275" s="8">
        <v>25</v>
      </c>
      <c r="N1275" s="8">
        <v>25</v>
      </c>
      <c r="O1275" s="6" t="s">
        <v>3947</v>
      </c>
    </row>
    <row r="1276" spans="1:15" ht="15" customHeight="1" x14ac:dyDescent="0.2">
      <c r="A1276" s="7" t="s">
        <v>3900</v>
      </c>
      <c r="B1276" s="7">
        <v>8244481</v>
      </c>
      <c r="C1276" s="8">
        <v>1</v>
      </c>
      <c r="D1276" s="8">
        <v>921748597</v>
      </c>
      <c r="E1276" s="8" t="str">
        <f t="shared" si="94"/>
        <v>92174859722</v>
      </c>
      <c r="F1276" s="8" t="s">
        <v>1673</v>
      </c>
      <c r="G1276" s="8">
        <v>1</v>
      </c>
      <c r="H1276" s="8">
        <v>20250401</v>
      </c>
      <c r="I1276" s="8" t="str">
        <f t="shared" si="92"/>
        <v>4/1/2025</v>
      </c>
      <c r="J1276" s="8">
        <v>20241201</v>
      </c>
      <c r="K1276" s="8" t="str">
        <f t="shared" si="93"/>
        <v>12/1/2024</v>
      </c>
      <c r="L1276" s="8" t="s">
        <v>56</v>
      </c>
      <c r="M1276" s="8">
        <v>25</v>
      </c>
      <c r="N1276" s="8">
        <v>25</v>
      </c>
      <c r="O1276" s="6" t="s">
        <v>3947</v>
      </c>
    </row>
    <row r="1277" spans="1:15" ht="15" customHeight="1" x14ac:dyDescent="0.2">
      <c r="A1277" s="7" t="s">
        <v>3900</v>
      </c>
      <c r="B1277" s="7">
        <v>8244481</v>
      </c>
      <c r="C1277" s="8">
        <v>1</v>
      </c>
      <c r="D1277" s="8">
        <v>921749211</v>
      </c>
      <c r="E1277" s="8" t="str">
        <f t="shared" si="94"/>
        <v>92174921122</v>
      </c>
      <c r="F1277" s="8" t="s">
        <v>1675</v>
      </c>
      <c r="G1277" s="8">
        <v>1</v>
      </c>
      <c r="H1277" s="8">
        <v>20250401</v>
      </c>
      <c r="I1277" s="8" t="str">
        <f t="shared" si="92"/>
        <v>4/1/2025</v>
      </c>
      <c r="J1277" s="8">
        <v>20250101</v>
      </c>
      <c r="K1277" s="8" t="str">
        <f t="shared" si="93"/>
        <v>1/1/2025</v>
      </c>
      <c r="L1277" s="8" t="s">
        <v>56</v>
      </c>
      <c r="M1277" s="8">
        <v>25</v>
      </c>
      <c r="N1277" s="8">
        <v>25</v>
      </c>
      <c r="O1277" s="6" t="s">
        <v>3947</v>
      </c>
    </row>
    <row r="1278" spans="1:15" ht="15" customHeight="1" x14ac:dyDescent="0.2">
      <c r="A1278" s="7" t="s">
        <v>3900</v>
      </c>
      <c r="B1278" s="7">
        <v>8244481</v>
      </c>
      <c r="C1278" s="8">
        <v>1</v>
      </c>
      <c r="D1278" s="8">
        <v>921749262</v>
      </c>
      <c r="E1278" s="8" t="str">
        <f t="shared" si="94"/>
        <v>92174926222</v>
      </c>
      <c r="F1278" s="8" t="s">
        <v>1677</v>
      </c>
      <c r="G1278" s="8">
        <v>1</v>
      </c>
      <c r="H1278" s="8">
        <v>20250401</v>
      </c>
      <c r="I1278" s="8" t="str">
        <f t="shared" si="92"/>
        <v>4/1/2025</v>
      </c>
      <c r="J1278" s="8">
        <v>20250101</v>
      </c>
      <c r="K1278" s="8" t="str">
        <f t="shared" si="93"/>
        <v>1/1/2025</v>
      </c>
      <c r="L1278" s="8" t="s">
        <v>56</v>
      </c>
      <c r="M1278" s="8">
        <v>25</v>
      </c>
      <c r="N1278" s="8">
        <v>25</v>
      </c>
      <c r="O1278" s="6" t="s">
        <v>3947</v>
      </c>
    </row>
    <row r="1279" spans="1:15" ht="15" customHeight="1" x14ac:dyDescent="0.2">
      <c r="A1279" s="7" t="s">
        <v>3900</v>
      </c>
      <c r="B1279" s="7">
        <v>8244481</v>
      </c>
      <c r="C1279" s="8">
        <v>1</v>
      </c>
      <c r="D1279" s="8">
        <v>921751727</v>
      </c>
      <c r="E1279" s="8" t="str">
        <f t="shared" si="94"/>
        <v>92175172722</v>
      </c>
      <c r="F1279" s="8" t="s">
        <v>1681</v>
      </c>
      <c r="G1279" s="8">
        <v>1</v>
      </c>
      <c r="H1279" s="8">
        <v>20250401</v>
      </c>
      <c r="I1279" s="8" t="str">
        <f t="shared" si="92"/>
        <v>4/1/2025</v>
      </c>
      <c r="J1279" s="8">
        <v>20250101</v>
      </c>
      <c r="K1279" s="8" t="str">
        <f t="shared" si="93"/>
        <v>1/1/2025</v>
      </c>
      <c r="L1279" s="8" t="s">
        <v>56</v>
      </c>
      <c r="M1279" s="8">
        <v>25</v>
      </c>
      <c r="N1279" s="8">
        <v>25</v>
      </c>
      <c r="O1279" s="6" t="s">
        <v>3947</v>
      </c>
    </row>
    <row r="1280" spans="1:15" ht="15" customHeight="1" x14ac:dyDescent="0.2">
      <c r="A1280" s="7" t="s">
        <v>3900</v>
      </c>
      <c r="B1280" s="7">
        <v>8244481</v>
      </c>
      <c r="C1280" s="8">
        <v>1</v>
      </c>
      <c r="D1280" s="8">
        <v>921752609</v>
      </c>
      <c r="E1280" s="8" t="str">
        <f t="shared" si="94"/>
        <v>92175260922</v>
      </c>
      <c r="F1280" s="8" t="s">
        <v>1685</v>
      </c>
      <c r="G1280" s="8">
        <v>1</v>
      </c>
      <c r="H1280" s="8">
        <v>20250401</v>
      </c>
      <c r="I1280" s="8" t="str">
        <f t="shared" si="92"/>
        <v>4/1/2025</v>
      </c>
      <c r="J1280" s="8">
        <v>20250101</v>
      </c>
      <c r="K1280" s="8" t="str">
        <f t="shared" si="93"/>
        <v>1/1/2025</v>
      </c>
      <c r="L1280" s="8" t="s">
        <v>56</v>
      </c>
      <c r="M1280" s="8">
        <v>25</v>
      </c>
      <c r="N1280" s="8">
        <v>25</v>
      </c>
      <c r="O1280" s="6" t="s">
        <v>3947</v>
      </c>
    </row>
    <row r="1281" spans="1:15" ht="15" customHeight="1" x14ac:dyDescent="0.2">
      <c r="A1281" s="7" t="s">
        <v>3900</v>
      </c>
      <c r="B1281" s="7">
        <v>8244481</v>
      </c>
      <c r="C1281" s="8">
        <v>1</v>
      </c>
      <c r="D1281" s="8">
        <v>921752640</v>
      </c>
      <c r="E1281" s="8" t="str">
        <f t="shared" si="94"/>
        <v>92175264022</v>
      </c>
      <c r="F1281" s="8" t="s">
        <v>1687</v>
      </c>
      <c r="G1281" s="8">
        <v>1</v>
      </c>
      <c r="H1281" s="8">
        <v>20250401</v>
      </c>
      <c r="I1281" s="8" t="str">
        <f t="shared" si="92"/>
        <v>4/1/2025</v>
      </c>
      <c r="J1281" s="8">
        <v>20250101</v>
      </c>
      <c r="K1281" s="8" t="str">
        <f t="shared" si="93"/>
        <v>1/1/2025</v>
      </c>
      <c r="L1281" s="8" t="s">
        <v>56</v>
      </c>
      <c r="M1281" s="8">
        <v>25</v>
      </c>
      <c r="N1281" s="8">
        <v>25</v>
      </c>
      <c r="O1281" s="6" t="s">
        <v>3947</v>
      </c>
    </row>
    <row r="1282" spans="1:15" ht="15" customHeight="1" x14ac:dyDescent="0.2">
      <c r="A1282" s="7" t="s">
        <v>3900</v>
      </c>
      <c r="B1282" s="7">
        <v>8244481</v>
      </c>
      <c r="C1282" s="8">
        <v>1</v>
      </c>
      <c r="D1282" s="8">
        <v>921752870</v>
      </c>
      <c r="E1282" s="8" t="str">
        <f t="shared" si="94"/>
        <v>92175287022</v>
      </c>
      <c r="F1282" s="8" t="s">
        <v>1689</v>
      </c>
      <c r="G1282" s="8">
        <v>1</v>
      </c>
      <c r="H1282" s="8">
        <v>20250401</v>
      </c>
      <c r="I1282" s="8" t="str">
        <f t="shared" si="92"/>
        <v>4/1/2025</v>
      </c>
      <c r="J1282" s="8">
        <v>20250101</v>
      </c>
      <c r="K1282" s="8" t="str">
        <f t="shared" si="93"/>
        <v>1/1/2025</v>
      </c>
      <c r="L1282" s="8" t="s">
        <v>56</v>
      </c>
      <c r="M1282" s="8">
        <v>25</v>
      </c>
      <c r="N1282" s="8">
        <v>25</v>
      </c>
      <c r="O1282" s="6" t="s">
        <v>3947</v>
      </c>
    </row>
    <row r="1283" spans="1:15" ht="15" customHeight="1" x14ac:dyDescent="0.2">
      <c r="A1283" s="7" t="s">
        <v>3900</v>
      </c>
      <c r="B1283" s="7">
        <v>8244481</v>
      </c>
      <c r="C1283" s="8">
        <v>1</v>
      </c>
      <c r="D1283" s="8">
        <v>921753446</v>
      </c>
      <c r="E1283" s="8" t="str">
        <f t="shared" si="94"/>
        <v>92175344622</v>
      </c>
      <c r="F1283" s="8" t="s">
        <v>1691</v>
      </c>
      <c r="G1283" s="8">
        <v>1</v>
      </c>
      <c r="H1283" s="8">
        <v>20250401</v>
      </c>
      <c r="I1283" s="8" t="str">
        <f t="shared" ref="I1283:I1346" si="95">TEXT(DATE(LEFT(H1283,4), MID(H1283,5,2), RIGHT(H1283,2)), "M/d/yyyy")</f>
        <v>4/1/2025</v>
      </c>
      <c r="J1283" s="8">
        <v>20250101</v>
      </c>
      <c r="K1283" s="8" t="str">
        <f t="shared" ref="K1283:K1346" si="96">TEXT(DATE(LEFT(J1283,4), MID(J1283,5,2), RIGHT(J1283,2)), "M/d/yyyy")</f>
        <v>1/1/2025</v>
      </c>
      <c r="L1283" s="8" t="s">
        <v>56</v>
      </c>
      <c r="M1283" s="8">
        <v>25</v>
      </c>
      <c r="N1283" s="8">
        <v>25</v>
      </c>
      <c r="O1283" s="6" t="s">
        <v>3947</v>
      </c>
    </row>
    <row r="1284" spans="1:15" ht="15" customHeight="1" x14ac:dyDescent="0.2">
      <c r="A1284" s="7" t="s">
        <v>3900</v>
      </c>
      <c r="B1284" s="7">
        <v>8244481</v>
      </c>
      <c r="C1284" s="8">
        <v>1</v>
      </c>
      <c r="D1284" s="8">
        <v>921755095</v>
      </c>
      <c r="E1284" s="8" t="str">
        <f t="shared" si="94"/>
        <v>92175509522</v>
      </c>
      <c r="F1284" s="8" t="s">
        <v>1693</v>
      </c>
      <c r="G1284" s="8">
        <v>1</v>
      </c>
      <c r="H1284" s="8">
        <v>20250401</v>
      </c>
      <c r="I1284" s="8" t="str">
        <f t="shared" si="95"/>
        <v>4/1/2025</v>
      </c>
      <c r="J1284" s="8">
        <v>20250101</v>
      </c>
      <c r="K1284" s="8" t="str">
        <f t="shared" si="96"/>
        <v>1/1/2025</v>
      </c>
      <c r="L1284" s="8" t="s">
        <v>56</v>
      </c>
      <c r="M1284" s="8">
        <v>25</v>
      </c>
      <c r="N1284" s="8">
        <v>25</v>
      </c>
      <c r="O1284" s="6" t="s">
        <v>3947</v>
      </c>
    </row>
    <row r="1285" spans="1:15" ht="15" customHeight="1" x14ac:dyDescent="0.2">
      <c r="A1285" s="7" t="s">
        <v>3900</v>
      </c>
      <c r="B1285" s="7">
        <v>8244481</v>
      </c>
      <c r="C1285" s="8">
        <v>1</v>
      </c>
      <c r="D1285" s="8">
        <v>921759705</v>
      </c>
      <c r="E1285" s="8" t="str">
        <f t="shared" si="94"/>
        <v>92175970522</v>
      </c>
      <c r="F1285" s="8" t="s">
        <v>1697</v>
      </c>
      <c r="G1285" s="8">
        <v>1</v>
      </c>
      <c r="H1285" s="8">
        <v>20250401</v>
      </c>
      <c r="I1285" s="8" t="str">
        <f t="shared" si="95"/>
        <v>4/1/2025</v>
      </c>
      <c r="J1285" s="8">
        <v>20250101</v>
      </c>
      <c r="K1285" s="8" t="str">
        <f t="shared" si="96"/>
        <v>1/1/2025</v>
      </c>
      <c r="L1285" s="8" t="s">
        <v>56</v>
      </c>
      <c r="M1285" s="8">
        <v>25</v>
      </c>
      <c r="N1285" s="8">
        <v>25</v>
      </c>
      <c r="O1285" s="6" t="s">
        <v>3947</v>
      </c>
    </row>
    <row r="1286" spans="1:15" ht="15" customHeight="1" x14ac:dyDescent="0.2">
      <c r="A1286" s="7" t="s">
        <v>3900</v>
      </c>
      <c r="B1286" s="7">
        <v>8244481</v>
      </c>
      <c r="C1286" s="8">
        <v>1</v>
      </c>
      <c r="D1286" s="8">
        <v>921759734</v>
      </c>
      <c r="E1286" s="8" t="str">
        <f t="shared" si="94"/>
        <v>92175973422</v>
      </c>
      <c r="F1286" s="8" t="s">
        <v>1699</v>
      </c>
      <c r="G1286" s="8">
        <v>1</v>
      </c>
      <c r="H1286" s="8">
        <v>20250401</v>
      </c>
      <c r="I1286" s="8" t="str">
        <f t="shared" si="95"/>
        <v>4/1/2025</v>
      </c>
      <c r="J1286" s="8">
        <v>20250101</v>
      </c>
      <c r="K1286" s="8" t="str">
        <f t="shared" si="96"/>
        <v>1/1/2025</v>
      </c>
      <c r="L1286" s="8" t="s">
        <v>56</v>
      </c>
      <c r="M1286" s="8">
        <v>25</v>
      </c>
      <c r="N1286" s="8">
        <v>25</v>
      </c>
      <c r="O1286" s="6" t="s">
        <v>3947</v>
      </c>
    </row>
    <row r="1287" spans="1:15" ht="15" customHeight="1" x14ac:dyDescent="0.2">
      <c r="A1287" s="7" t="s">
        <v>3900</v>
      </c>
      <c r="B1287" s="7">
        <v>8244481</v>
      </c>
      <c r="C1287" s="8">
        <v>1</v>
      </c>
      <c r="D1287" s="8">
        <v>921761905</v>
      </c>
      <c r="E1287" s="8" t="str">
        <f t="shared" si="94"/>
        <v>92176190522</v>
      </c>
      <c r="F1287" s="8" t="s">
        <v>1703</v>
      </c>
      <c r="G1287" s="8">
        <v>1</v>
      </c>
      <c r="H1287" s="8">
        <v>20250401</v>
      </c>
      <c r="I1287" s="8" t="str">
        <f t="shared" si="95"/>
        <v>4/1/2025</v>
      </c>
      <c r="J1287" s="8">
        <v>20250101</v>
      </c>
      <c r="K1287" s="8" t="str">
        <f t="shared" si="96"/>
        <v>1/1/2025</v>
      </c>
      <c r="L1287" s="8" t="s">
        <v>56</v>
      </c>
      <c r="M1287" s="8">
        <v>25</v>
      </c>
      <c r="N1287" s="8">
        <v>25</v>
      </c>
      <c r="O1287" s="6" t="s">
        <v>3947</v>
      </c>
    </row>
    <row r="1288" spans="1:15" ht="15" customHeight="1" x14ac:dyDescent="0.2">
      <c r="A1288" s="7" t="s">
        <v>3900</v>
      </c>
      <c r="B1288" s="7">
        <v>8244481</v>
      </c>
      <c r="C1288" s="8">
        <v>1</v>
      </c>
      <c r="D1288" s="8">
        <v>921762131</v>
      </c>
      <c r="E1288" s="8" t="str">
        <f t="shared" si="94"/>
        <v>92176213122</v>
      </c>
      <c r="F1288" s="8" t="s">
        <v>1705</v>
      </c>
      <c r="G1288" s="8">
        <v>1</v>
      </c>
      <c r="H1288" s="8">
        <v>20250401</v>
      </c>
      <c r="I1288" s="8" t="str">
        <f t="shared" si="95"/>
        <v>4/1/2025</v>
      </c>
      <c r="J1288" s="8">
        <v>20250101</v>
      </c>
      <c r="K1288" s="8" t="str">
        <f t="shared" si="96"/>
        <v>1/1/2025</v>
      </c>
      <c r="L1288" s="8" t="s">
        <v>56</v>
      </c>
      <c r="M1288" s="8">
        <v>25</v>
      </c>
      <c r="N1288" s="8">
        <v>25</v>
      </c>
      <c r="O1288" s="6" t="s">
        <v>3947</v>
      </c>
    </row>
    <row r="1289" spans="1:15" ht="15" customHeight="1" x14ac:dyDescent="0.2">
      <c r="A1289" s="7" t="s">
        <v>3900</v>
      </c>
      <c r="B1289" s="7">
        <v>8244481</v>
      </c>
      <c r="C1289" s="8">
        <v>1</v>
      </c>
      <c r="D1289" s="8">
        <v>921762136</v>
      </c>
      <c r="E1289" s="8" t="str">
        <f t="shared" si="94"/>
        <v>92176213622</v>
      </c>
      <c r="F1289" s="8" t="s">
        <v>1707</v>
      </c>
      <c r="G1289" s="8">
        <v>1</v>
      </c>
      <c r="H1289" s="8">
        <v>20250301</v>
      </c>
      <c r="I1289" s="8" t="str">
        <f t="shared" si="95"/>
        <v>3/1/2025</v>
      </c>
      <c r="J1289" s="8">
        <v>20250101</v>
      </c>
      <c r="K1289" s="8" t="str">
        <f t="shared" si="96"/>
        <v>1/1/2025</v>
      </c>
      <c r="L1289" s="8" t="s">
        <v>56</v>
      </c>
      <c r="M1289" s="8">
        <v>25</v>
      </c>
      <c r="N1289" s="8">
        <v>25</v>
      </c>
      <c r="O1289" s="6" t="s">
        <v>3947</v>
      </c>
    </row>
    <row r="1290" spans="1:15" ht="15" customHeight="1" x14ac:dyDescent="0.2">
      <c r="A1290" s="7" t="s">
        <v>3900</v>
      </c>
      <c r="B1290" s="7">
        <v>8244481</v>
      </c>
      <c r="C1290" s="8">
        <v>1</v>
      </c>
      <c r="D1290" s="8">
        <v>921763130</v>
      </c>
      <c r="E1290" s="8" t="str">
        <f t="shared" si="94"/>
        <v>92176313022</v>
      </c>
      <c r="F1290" s="8" t="s">
        <v>1709</v>
      </c>
      <c r="G1290" s="8">
        <v>1</v>
      </c>
      <c r="H1290" s="8">
        <v>20250401</v>
      </c>
      <c r="I1290" s="8" t="str">
        <f t="shared" si="95"/>
        <v>4/1/2025</v>
      </c>
      <c r="J1290" s="8">
        <v>20250101</v>
      </c>
      <c r="K1290" s="8" t="str">
        <f t="shared" si="96"/>
        <v>1/1/2025</v>
      </c>
      <c r="L1290" s="8" t="s">
        <v>56</v>
      </c>
      <c r="M1290" s="8">
        <v>25</v>
      </c>
      <c r="N1290" s="8">
        <v>25</v>
      </c>
      <c r="O1290" s="6" t="s">
        <v>3947</v>
      </c>
    </row>
    <row r="1291" spans="1:15" ht="15" customHeight="1" x14ac:dyDescent="0.2">
      <c r="A1291" s="7" t="s">
        <v>3900</v>
      </c>
      <c r="B1291" s="7">
        <v>8244481</v>
      </c>
      <c r="C1291" s="8">
        <v>1</v>
      </c>
      <c r="D1291" s="8">
        <v>921764774</v>
      </c>
      <c r="E1291" s="8" t="str">
        <f t="shared" si="94"/>
        <v>92176477422</v>
      </c>
      <c r="F1291" s="8" t="s">
        <v>1719</v>
      </c>
      <c r="G1291" s="8">
        <v>1</v>
      </c>
      <c r="H1291" s="8">
        <v>20250401</v>
      </c>
      <c r="I1291" s="8" t="str">
        <f t="shared" si="95"/>
        <v>4/1/2025</v>
      </c>
      <c r="J1291" s="8">
        <v>20250101</v>
      </c>
      <c r="K1291" s="8" t="str">
        <f t="shared" si="96"/>
        <v>1/1/2025</v>
      </c>
      <c r="L1291" s="8" t="s">
        <v>56</v>
      </c>
      <c r="M1291" s="8">
        <v>25</v>
      </c>
      <c r="N1291" s="8">
        <v>25</v>
      </c>
      <c r="O1291" s="6" t="s">
        <v>3947</v>
      </c>
    </row>
    <row r="1292" spans="1:15" ht="15" customHeight="1" x14ac:dyDescent="0.2">
      <c r="A1292" s="7" t="s">
        <v>3900</v>
      </c>
      <c r="B1292" s="7">
        <v>8244481</v>
      </c>
      <c r="C1292" s="8">
        <v>1</v>
      </c>
      <c r="D1292" s="8">
        <v>921765449</v>
      </c>
      <c r="E1292" s="8" t="str">
        <f t="shared" si="94"/>
        <v>92176544922</v>
      </c>
      <c r="F1292" s="8" t="s">
        <v>1721</v>
      </c>
      <c r="G1292" s="8">
        <v>1</v>
      </c>
      <c r="H1292" s="8">
        <v>20250401</v>
      </c>
      <c r="I1292" s="8" t="str">
        <f t="shared" si="95"/>
        <v>4/1/2025</v>
      </c>
      <c r="J1292" s="8">
        <v>20250101</v>
      </c>
      <c r="K1292" s="8" t="str">
        <f t="shared" si="96"/>
        <v>1/1/2025</v>
      </c>
      <c r="L1292" s="8" t="s">
        <v>56</v>
      </c>
      <c r="M1292" s="8">
        <v>25</v>
      </c>
      <c r="N1292" s="8">
        <v>25</v>
      </c>
      <c r="O1292" s="6" t="s">
        <v>3947</v>
      </c>
    </row>
    <row r="1293" spans="1:15" ht="15" customHeight="1" x14ac:dyDescent="0.2">
      <c r="A1293" s="7" t="s">
        <v>3900</v>
      </c>
      <c r="B1293" s="7">
        <v>8244481</v>
      </c>
      <c r="C1293" s="8">
        <v>1</v>
      </c>
      <c r="D1293" s="8">
        <v>921765449</v>
      </c>
      <c r="E1293" s="8" t="str">
        <f t="shared" si="94"/>
        <v>92176544922</v>
      </c>
      <c r="F1293" s="8" t="s">
        <v>1721</v>
      </c>
      <c r="G1293" s="8">
        <v>1</v>
      </c>
      <c r="H1293" s="8">
        <v>20250301</v>
      </c>
      <c r="I1293" s="8" t="str">
        <f t="shared" si="95"/>
        <v>3/1/2025</v>
      </c>
      <c r="J1293" s="8">
        <v>20250101</v>
      </c>
      <c r="K1293" s="8" t="str">
        <f t="shared" si="96"/>
        <v>1/1/2025</v>
      </c>
      <c r="L1293" s="8" t="s">
        <v>56</v>
      </c>
      <c r="M1293" s="8">
        <v>25</v>
      </c>
      <c r="N1293" s="8">
        <v>25</v>
      </c>
      <c r="O1293" s="6" t="s">
        <v>3947</v>
      </c>
    </row>
    <row r="1294" spans="1:15" ht="15" customHeight="1" x14ac:dyDescent="0.2">
      <c r="A1294" s="7" t="s">
        <v>3900</v>
      </c>
      <c r="B1294" s="7">
        <v>8244481</v>
      </c>
      <c r="C1294" s="8">
        <v>1</v>
      </c>
      <c r="D1294" s="8">
        <v>921766913</v>
      </c>
      <c r="E1294" s="8" t="str">
        <f t="shared" si="94"/>
        <v>92176691322</v>
      </c>
      <c r="F1294" s="8" t="s">
        <v>1725</v>
      </c>
      <c r="G1294" s="8">
        <v>1</v>
      </c>
      <c r="H1294" s="8">
        <v>20250401</v>
      </c>
      <c r="I1294" s="8" t="str">
        <f t="shared" si="95"/>
        <v>4/1/2025</v>
      </c>
      <c r="J1294" s="8">
        <v>20250101</v>
      </c>
      <c r="K1294" s="8" t="str">
        <f t="shared" si="96"/>
        <v>1/1/2025</v>
      </c>
      <c r="L1294" s="8" t="s">
        <v>56</v>
      </c>
      <c r="M1294" s="8">
        <v>25</v>
      </c>
      <c r="N1294" s="8">
        <v>25</v>
      </c>
      <c r="O1294" s="6" t="s">
        <v>3947</v>
      </c>
    </row>
    <row r="1295" spans="1:15" ht="15" customHeight="1" x14ac:dyDescent="0.2">
      <c r="A1295" s="7" t="s">
        <v>3900</v>
      </c>
      <c r="B1295" s="7">
        <v>8244481</v>
      </c>
      <c r="C1295" s="8">
        <v>1</v>
      </c>
      <c r="D1295" s="8">
        <v>921767556</v>
      </c>
      <c r="E1295" s="8" t="str">
        <f t="shared" si="94"/>
        <v>92176755622</v>
      </c>
      <c r="F1295" s="8" t="s">
        <v>1727</v>
      </c>
      <c r="G1295" s="8">
        <v>1</v>
      </c>
      <c r="H1295" s="8">
        <v>20250401</v>
      </c>
      <c r="I1295" s="8" t="str">
        <f t="shared" si="95"/>
        <v>4/1/2025</v>
      </c>
      <c r="J1295" s="8">
        <v>20250101</v>
      </c>
      <c r="K1295" s="8" t="str">
        <f t="shared" si="96"/>
        <v>1/1/2025</v>
      </c>
      <c r="L1295" s="8" t="s">
        <v>56</v>
      </c>
      <c r="M1295" s="8">
        <v>25</v>
      </c>
      <c r="N1295" s="8">
        <v>25</v>
      </c>
      <c r="O1295" s="6" t="s">
        <v>3947</v>
      </c>
    </row>
    <row r="1296" spans="1:15" ht="15" customHeight="1" x14ac:dyDescent="0.2">
      <c r="A1296" s="7" t="s">
        <v>3900</v>
      </c>
      <c r="B1296" s="7">
        <v>8244481</v>
      </c>
      <c r="C1296" s="8">
        <v>1</v>
      </c>
      <c r="D1296" s="8">
        <v>921767556</v>
      </c>
      <c r="E1296" s="8" t="str">
        <f t="shared" si="94"/>
        <v>92176755622</v>
      </c>
      <c r="F1296" s="8" t="s">
        <v>1727</v>
      </c>
      <c r="G1296" s="8">
        <v>1</v>
      </c>
      <c r="H1296" s="8">
        <v>20250301</v>
      </c>
      <c r="I1296" s="8" t="str">
        <f t="shared" si="95"/>
        <v>3/1/2025</v>
      </c>
      <c r="J1296" s="8">
        <v>20250101</v>
      </c>
      <c r="K1296" s="8" t="str">
        <f t="shared" si="96"/>
        <v>1/1/2025</v>
      </c>
      <c r="L1296" s="8" t="s">
        <v>56</v>
      </c>
      <c r="M1296" s="8">
        <v>25</v>
      </c>
      <c r="N1296" s="8">
        <v>25</v>
      </c>
      <c r="O1296" s="6" t="s">
        <v>3947</v>
      </c>
    </row>
    <row r="1297" spans="1:16" ht="15" customHeight="1" x14ac:dyDescent="0.2">
      <c r="A1297" s="7" t="s">
        <v>3900</v>
      </c>
      <c r="B1297" s="7">
        <v>8244481</v>
      </c>
      <c r="C1297" s="8">
        <v>1</v>
      </c>
      <c r="D1297" s="8">
        <v>921767605</v>
      </c>
      <c r="E1297" s="8" t="str">
        <f t="shared" si="94"/>
        <v>92176760522</v>
      </c>
      <c r="F1297" s="8" t="s">
        <v>1729</v>
      </c>
      <c r="G1297" s="8">
        <v>1</v>
      </c>
      <c r="H1297" s="8">
        <v>20250301</v>
      </c>
      <c r="I1297" s="8" t="str">
        <f t="shared" si="95"/>
        <v>3/1/2025</v>
      </c>
      <c r="J1297" s="8">
        <v>20250101</v>
      </c>
      <c r="K1297" s="8" t="str">
        <f t="shared" si="96"/>
        <v>1/1/2025</v>
      </c>
      <c r="L1297" s="8" t="s">
        <v>56</v>
      </c>
      <c r="M1297" s="8">
        <v>25</v>
      </c>
      <c r="N1297" s="8">
        <v>25</v>
      </c>
      <c r="O1297" s="6" t="s">
        <v>3947</v>
      </c>
    </row>
    <row r="1298" spans="1:16" ht="15" customHeight="1" x14ac:dyDescent="0.2">
      <c r="A1298" s="7" t="s">
        <v>3900</v>
      </c>
      <c r="B1298" s="7">
        <v>8244481</v>
      </c>
      <c r="C1298" s="8">
        <v>1</v>
      </c>
      <c r="D1298" s="8">
        <v>921768179</v>
      </c>
      <c r="E1298" s="8" t="str">
        <f t="shared" si="94"/>
        <v>92176817922</v>
      </c>
      <c r="F1298" s="8" t="s">
        <v>1731</v>
      </c>
      <c r="G1298" s="8">
        <v>1</v>
      </c>
      <c r="H1298" s="8">
        <v>20250401</v>
      </c>
      <c r="I1298" s="8" t="str">
        <f t="shared" si="95"/>
        <v>4/1/2025</v>
      </c>
      <c r="J1298" s="8">
        <v>20250101</v>
      </c>
      <c r="K1298" s="8" t="str">
        <f t="shared" si="96"/>
        <v>1/1/2025</v>
      </c>
      <c r="L1298" s="8" t="s">
        <v>56</v>
      </c>
      <c r="M1298" s="8">
        <v>25</v>
      </c>
      <c r="N1298" s="8">
        <v>25</v>
      </c>
      <c r="O1298" s="6" t="s">
        <v>3947</v>
      </c>
    </row>
    <row r="1299" spans="1:16" ht="15" customHeight="1" x14ac:dyDescent="0.2">
      <c r="A1299" s="7" t="s">
        <v>3900</v>
      </c>
      <c r="B1299" s="7">
        <v>8244481</v>
      </c>
      <c r="C1299" s="8">
        <v>1</v>
      </c>
      <c r="D1299" s="8">
        <v>921768491</v>
      </c>
      <c r="E1299" s="8" t="str">
        <f t="shared" si="94"/>
        <v>92176849122</v>
      </c>
      <c r="F1299" s="8" t="s">
        <v>1733</v>
      </c>
      <c r="G1299" s="8">
        <v>1</v>
      </c>
      <c r="H1299" s="8">
        <v>20250301</v>
      </c>
      <c r="I1299" s="8" t="str">
        <f t="shared" si="95"/>
        <v>3/1/2025</v>
      </c>
      <c r="J1299" s="8">
        <v>20250101</v>
      </c>
      <c r="K1299" s="8" t="str">
        <f t="shared" si="96"/>
        <v>1/1/2025</v>
      </c>
      <c r="L1299" s="8" t="s">
        <v>56</v>
      </c>
      <c r="M1299" s="8">
        <v>25</v>
      </c>
      <c r="N1299" s="8">
        <v>25</v>
      </c>
      <c r="O1299" s="6" t="s">
        <v>3947</v>
      </c>
    </row>
    <row r="1300" spans="1:16" ht="15" customHeight="1" x14ac:dyDescent="0.2">
      <c r="A1300" s="7" t="s">
        <v>3900</v>
      </c>
      <c r="B1300" s="7">
        <v>8244481</v>
      </c>
      <c r="C1300" s="8">
        <v>1</v>
      </c>
      <c r="D1300" s="8">
        <v>921777795</v>
      </c>
      <c r="E1300" s="8" t="str">
        <f t="shared" si="94"/>
        <v>92177779522</v>
      </c>
      <c r="F1300" s="8" t="s">
        <v>1739</v>
      </c>
      <c r="G1300" s="8">
        <v>1</v>
      </c>
      <c r="H1300" s="8">
        <v>20250401</v>
      </c>
      <c r="I1300" s="8" t="str">
        <f t="shared" si="95"/>
        <v>4/1/2025</v>
      </c>
      <c r="J1300" s="8">
        <v>20250131</v>
      </c>
      <c r="K1300" s="8" t="str">
        <f t="shared" si="96"/>
        <v>1/31/2025</v>
      </c>
      <c r="L1300" s="8" t="s">
        <v>56</v>
      </c>
      <c r="M1300" s="8">
        <v>25</v>
      </c>
      <c r="N1300" s="8">
        <v>25</v>
      </c>
      <c r="O1300" s="6" t="s">
        <v>3947</v>
      </c>
    </row>
    <row r="1301" spans="1:16" ht="15" customHeight="1" x14ac:dyDescent="0.2">
      <c r="A1301" s="7" t="s">
        <v>3900</v>
      </c>
      <c r="B1301" s="7">
        <v>8244481</v>
      </c>
      <c r="C1301" s="8">
        <v>1</v>
      </c>
      <c r="D1301" s="8">
        <v>921777795</v>
      </c>
      <c r="E1301" s="8" t="str">
        <f t="shared" si="94"/>
        <v>92177779522</v>
      </c>
      <c r="F1301" s="8" t="s">
        <v>1739</v>
      </c>
      <c r="G1301" s="8">
        <v>1</v>
      </c>
      <c r="H1301" s="8">
        <v>20250301</v>
      </c>
      <c r="I1301" s="8" t="str">
        <f t="shared" si="95"/>
        <v>3/1/2025</v>
      </c>
      <c r="J1301" s="8">
        <v>20250131</v>
      </c>
      <c r="K1301" s="8" t="str">
        <f t="shared" si="96"/>
        <v>1/31/2025</v>
      </c>
      <c r="L1301" s="8" t="s">
        <v>56</v>
      </c>
      <c r="M1301" s="8">
        <v>25</v>
      </c>
      <c r="N1301" s="8">
        <v>25</v>
      </c>
      <c r="O1301" s="6" t="s">
        <v>3947</v>
      </c>
    </row>
    <row r="1302" spans="1:16" ht="15" customHeight="1" x14ac:dyDescent="0.2">
      <c r="A1302" s="7" t="s">
        <v>3900</v>
      </c>
      <c r="B1302" s="7">
        <v>8244481</v>
      </c>
      <c r="C1302" s="8">
        <v>1</v>
      </c>
      <c r="D1302" s="8">
        <v>921778284</v>
      </c>
      <c r="E1302" s="8" t="str">
        <f t="shared" si="94"/>
        <v>92177828422</v>
      </c>
      <c r="F1302" s="8" t="s">
        <v>1742</v>
      </c>
      <c r="G1302" s="8">
        <v>1</v>
      </c>
      <c r="H1302" s="8">
        <v>20250301</v>
      </c>
      <c r="I1302" s="8" t="str">
        <f t="shared" si="95"/>
        <v>3/1/2025</v>
      </c>
      <c r="J1302" s="8">
        <v>20250201</v>
      </c>
      <c r="K1302" s="8" t="str">
        <f t="shared" si="96"/>
        <v>2/1/2025</v>
      </c>
      <c r="L1302" s="8" t="s">
        <v>56</v>
      </c>
      <c r="M1302" s="8">
        <v>25</v>
      </c>
      <c r="N1302" s="8">
        <v>25</v>
      </c>
      <c r="O1302" s="6" t="s">
        <v>3947</v>
      </c>
    </row>
    <row r="1303" spans="1:16" ht="15" customHeight="1" x14ac:dyDescent="0.2">
      <c r="A1303" s="7" t="s">
        <v>3900</v>
      </c>
      <c r="B1303" s="7">
        <v>8244481</v>
      </c>
      <c r="C1303" s="8">
        <v>1</v>
      </c>
      <c r="D1303" s="8">
        <v>921779798</v>
      </c>
      <c r="E1303" s="8" t="str">
        <f t="shared" si="94"/>
        <v>92177979822</v>
      </c>
      <c r="F1303" s="8" t="s">
        <v>1744</v>
      </c>
      <c r="G1303" s="8">
        <v>1</v>
      </c>
      <c r="H1303" s="8">
        <v>20250401</v>
      </c>
      <c r="I1303" s="8" t="str">
        <f t="shared" si="95"/>
        <v>4/1/2025</v>
      </c>
      <c r="J1303" s="8">
        <v>20250301</v>
      </c>
      <c r="K1303" s="8" t="str">
        <f t="shared" si="96"/>
        <v>3/1/2025</v>
      </c>
      <c r="L1303" s="8" t="s">
        <v>56</v>
      </c>
      <c r="M1303" s="8">
        <v>25</v>
      </c>
      <c r="N1303" s="8">
        <v>25</v>
      </c>
      <c r="O1303" s="6" t="s">
        <v>3947</v>
      </c>
    </row>
    <row r="1304" spans="1:16" ht="15" customHeight="1" x14ac:dyDescent="0.2">
      <c r="A1304" s="7" t="s">
        <v>3900</v>
      </c>
      <c r="B1304" s="7">
        <v>8244481</v>
      </c>
      <c r="C1304" s="8">
        <v>1</v>
      </c>
      <c r="D1304" s="8">
        <v>921779805</v>
      </c>
      <c r="E1304" s="8" t="str">
        <f t="shared" si="94"/>
        <v>92177980522</v>
      </c>
      <c r="F1304" s="8" t="s">
        <v>1746</v>
      </c>
      <c r="G1304" s="8">
        <v>1</v>
      </c>
      <c r="H1304" s="8">
        <v>20250401</v>
      </c>
      <c r="I1304" s="8" t="str">
        <f t="shared" si="95"/>
        <v>4/1/2025</v>
      </c>
      <c r="J1304" s="8">
        <v>20250301</v>
      </c>
      <c r="K1304" s="8" t="str">
        <f t="shared" si="96"/>
        <v>3/1/2025</v>
      </c>
      <c r="L1304" s="8" t="s">
        <v>56</v>
      </c>
      <c r="M1304" s="8">
        <v>25</v>
      </c>
      <c r="N1304" s="8">
        <v>25</v>
      </c>
      <c r="O1304" s="6" t="s">
        <v>3947</v>
      </c>
    </row>
    <row r="1305" spans="1:16" ht="15" customHeight="1" x14ac:dyDescent="0.2">
      <c r="A1305" s="7" t="s">
        <v>3900</v>
      </c>
      <c r="B1305" s="7">
        <v>8244481</v>
      </c>
      <c r="C1305" s="8">
        <v>2</v>
      </c>
      <c r="D1305" s="8">
        <v>921733907</v>
      </c>
      <c r="E1305" s="8" t="str">
        <f t="shared" si="94"/>
        <v>92173390722</v>
      </c>
      <c r="F1305" s="8" t="s">
        <v>97</v>
      </c>
      <c r="G1305" s="8">
        <v>1</v>
      </c>
      <c r="H1305" s="8">
        <v>20250401</v>
      </c>
      <c r="I1305" s="8" t="str">
        <f t="shared" si="95"/>
        <v>4/1/2025</v>
      </c>
      <c r="J1305" s="8">
        <v>20240901</v>
      </c>
      <c r="K1305" s="8" t="str">
        <f t="shared" si="96"/>
        <v>9/1/2024</v>
      </c>
      <c r="L1305" s="8" t="s">
        <v>56</v>
      </c>
      <c r="M1305" s="8">
        <v>25</v>
      </c>
      <c r="N1305" s="8">
        <v>50</v>
      </c>
      <c r="O1305" s="6" t="s">
        <v>3947</v>
      </c>
      <c r="P1305" s="6" t="s">
        <v>3952</v>
      </c>
    </row>
    <row r="1306" spans="1:16" ht="15" customHeight="1" x14ac:dyDescent="0.2">
      <c r="A1306" s="7" t="s">
        <v>3900</v>
      </c>
      <c r="B1306" s="7">
        <v>8244481</v>
      </c>
      <c r="C1306" s="8">
        <v>2</v>
      </c>
      <c r="D1306" s="8">
        <v>921027309</v>
      </c>
      <c r="E1306" s="8" t="str">
        <f t="shared" ref="E1306:E1333" si="97">CONCATENATE(D1306,22)</f>
        <v>92102730922</v>
      </c>
      <c r="F1306" s="8" t="s">
        <v>1371</v>
      </c>
      <c r="G1306" s="8">
        <v>1</v>
      </c>
      <c r="H1306" s="8">
        <v>20250401</v>
      </c>
      <c r="I1306" s="8" t="str">
        <f t="shared" si="95"/>
        <v>4/1/2025</v>
      </c>
      <c r="J1306" s="8">
        <v>20250101</v>
      </c>
      <c r="K1306" s="8" t="str">
        <f t="shared" si="96"/>
        <v>1/1/2025</v>
      </c>
      <c r="L1306" s="8" t="s">
        <v>56</v>
      </c>
      <c r="M1306" s="8">
        <v>25</v>
      </c>
      <c r="N1306" s="8">
        <v>50</v>
      </c>
      <c r="O1306" s="6" t="s">
        <v>3947</v>
      </c>
      <c r="P1306" s="6" t="s">
        <v>3952</v>
      </c>
    </row>
    <row r="1307" spans="1:16" ht="15" customHeight="1" x14ac:dyDescent="0.2">
      <c r="A1307" s="7" t="s">
        <v>3900</v>
      </c>
      <c r="B1307" s="7">
        <v>8244481</v>
      </c>
      <c r="C1307" s="8">
        <v>2</v>
      </c>
      <c r="D1307" s="8">
        <v>921549113</v>
      </c>
      <c r="E1307" s="8" t="str">
        <f t="shared" si="97"/>
        <v>92154911322</v>
      </c>
      <c r="F1307" s="8" t="s">
        <v>1502</v>
      </c>
      <c r="G1307" s="8">
        <v>1</v>
      </c>
      <c r="H1307" s="8">
        <v>20250401</v>
      </c>
      <c r="I1307" s="8" t="str">
        <f t="shared" si="95"/>
        <v>4/1/2025</v>
      </c>
      <c r="J1307" s="8">
        <v>20250101</v>
      </c>
      <c r="K1307" s="8" t="str">
        <f t="shared" si="96"/>
        <v>1/1/2025</v>
      </c>
      <c r="L1307" s="8" t="s">
        <v>56</v>
      </c>
      <c r="M1307" s="8">
        <v>25</v>
      </c>
      <c r="N1307" s="8">
        <v>50</v>
      </c>
      <c r="O1307" s="6" t="s">
        <v>3947</v>
      </c>
      <c r="P1307" s="6" t="s">
        <v>3952</v>
      </c>
    </row>
    <row r="1308" spans="1:16" ht="15" customHeight="1" x14ac:dyDescent="0.2">
      <c r="A1308" s="7" t="s">
        <v>3900</v>
      </c>
      <c r="B1308" s="7">
        <v>8244481</v>
      </c>
      <c r="C1308" s="8">
        <v>2</v>
      </c>
      <c r="D1308" s="8">
        <v>921586800</v>
      </c>
      <c r="E1308" s="8" t="str">
        <f t="shared" si="97"/>
        <v>92158680022</v>
      </c>
      <c r="F1308" s="8" t="s">
        <v>1516</v>
      </c>
      <c r="G1308" s="8">
        <v>1</v>
      </c>
      <c r="H1308" s="8">
        <v>20250301</v>
      </c>
      <c r="I1308" s="8" t="str">
        <f t="shared" si="95"/>
        <v>3/1/2025</v>
      </c>
      <c r="J1308" s="8">
        <v>20250101</v>
      </c>
      <c r="K1308" s="8" t="str">
        <f t="shared" si="96"/>
        <v>1/1/2025</v>
      </c>
      <c r="L1308" s="8" t="s">
        <v>56</v>
      </c>
      <c r="M1308" s="8">
        <v>25</v>
      </c>
      <c r="N1308" s="8">
        <v>50</v>
      </c>
      <c r="O1308" s="6" t="s">
        <v>3947</v>
      </c>
      <c r="P1308" s="6" t="s">
        <v>3952</v>
      </c>
    </row>
    <row r="1309" spans="1:16" ht="15" customHeight="1" x14ac:dyDescent="0.2">
      <c r="A1309" s="7" t="s">
        <v>3900</v>
      </c>
      <c r="B1309" s="7">
        <v>8244481</v>
      </c>
      <c r="C1309" s="8">
        <v>2</v>
      </c>
      <c r="D1309" s="8">
        <v>921719361</v>
      </c>
      <c r="E1309" s="8" t="str">
        <f t="shared" si="97"/>
        <v>92171936122</v>
      </c>
      <c r="F1309" s="8" t="s">
        <v>1631</v>
      </c>
      <c r="G1309" s="8">
        <v>1</v>
      </c>
      <c r="H1309" s="8">
        <v>20250401</v>
      </c>
      <c r="I1309" s="8" t="str">
        <f t="shared" si="95"/>
        <v>4/1/2025</v>
      </c>
      <c r="J1309" s="8">
        <v>20240501</v>
      </c>
      <c r="K1309" s="8" t="str">
        <f t="shared" si="96"/>
        <v>5/1/2024</v>
      </c>
      <c r="L1309" s="8" t="s">
        <v>56</v>
      </c>
      <c r="M1309" s="8">
        <v>25</v>
      </c>
      <c r="N1309" s="8">
        <v>50</v>
      </c>
      <c r="O1309" s="6" t="s">
        <v>3947</v>
      </c>
      <c r="P1309" s="6" t="s">
        <v>3952</v>
      </c>
    </row>
    <row r="1310" spans="1:16" ht="15" customHeight="1" x14ac:dyDescent="0.2">
      <c r="A1310" s="7" t="s">
        <v>3900</v>
      </c>
      <c r="B1310" s="7">
        <v>8244481</v>
      </c>
      <c r="C1310" s="8">
        <v>2</v>
      </c>
      <c r="D1310" s="8">
        <v>921719863</v>
      </c>
      <c r="E1310" s="8" t="str">
        <f t="shared" si="97"/>
        <v>92171986322</v>
      </c>
      <c r="F1310" s="8" t="s">
        <v>1633</v>
      </c>
      <c r="G1310" s="8">
        <v>1</v>
      </c>
      <c r="H1310" s="8">
        <v>20250401</v>
      </c>
      <c r="I1310" s="8" t="str">
        <f t="shared" si="95"/>
        <v>4/1/2025</v>
      </c>
      <c r="J1310" s="8">
        <v>20240401</v>
      </c>
      <c r="K1310" s="8" t="str">
        <f t="shared" si="96"/>
        <v>4/1/2024</v>
      </c>
      <c r="L1310" s="8" t="s">
        <v>56</v>
      </c>
      <c r="M1310" s="8">
        <v>25</v>
      </c>
      <c r="N1310" s="8">
        <v>50</v>
      </c>
      <c r="O1310" s="6" t="s">
        <v>3947</v>
      </c>
      <c r="P1310" s="6" t="s">
        <v>3952</v>
      </c>
    </row>
    <row r="1311" spans="1:16" ht="15" customHeight="1" x14ac:dyDescent="0.2">
      <c r="A1311" s="7" t="s">
        <v>3900</v>
      </c>
      <c r="B1311" s="7">
        <v>8244481</v>
      </c>
      <c r="C1311" s="8">
        <v>2</v>
      </c>
      <c r="D1311" s="8">
        <v>921719863</v>
      </c>
      <c r="E1311" s="8" t="str">
        <f t="shared" si="97"/>
        <v>92171986322</v>
      </c>
      <c r="F1311" s="8" t="s">
        <v>1633</v>
      </c>
      <c r="G1311" s="8">
        <v>1</v>
      </c>
      <c r="H1311" s="8">
        <v>20250301</v>
      </c>
      <c r="I1311" s="8" t="str">
        <f t="shared" si="95"/>
        <v>3/1/2025</v>
      </c>
      <c r="J1311" s="8">
        <v>20240401</v>
      </c>
      <c r="K1311" s="8" t="str">
        <f t="shared" si="96"/>
        <v>4/1/2024</v>
      </c>
      <c r="L1311" s="8" t="s">
        <v>56</v>
      </c>
      <c r="M1311" s="8">
        <v>25</v>
      </c>
      <c r="N1311" s="8">
        <v>50</v>
      </c>
      <c r="O1311" s="6" t="s">
        <v>3947</v>
      </c>
      <c r="P1311" s="6" t="s">
        <v>3952</v>
      </c>
    </row>
    <row r="1312" spans="1:16" ht="15" customHeight="1" x14ac:dyDescent="0.2">
      <c r="A1312" s="7" t="s">
        <v>3900</v>
      </c>
      <c r="B1312" s="7">
        <v>8244481</v>
      </c>
      <c r="C1312" s="8">
        <v>2</v>
      </c>
      <c r="D1312" s="8">
        <v>921720093</v>
      </c>
      <c r="E1312" s="8" t="str">
        <f t="shared" si="97"/>
        <v>92172009322</v>
      </c>
      <c r="F1312" s="8" t="s">
        <v>1635</v>
      </c>
      <c r="G1312" s="8">
        <v>1</v>
      </c>
      <c r="H1312" s="8">
        <v>20250401</v>
      </c>
      <c r="I1312" s="8" t="str">
        <f t="shared" si="95"/>
        <v>4/1/2025</v>
      </c>
      <c r="J1312" s="8">
        <v>20240501</v>
      </c>
      <c r="K1312" s="8" t="str">
        <f t="shared" si="96"/>
        <v>5/1/2024</v>
      </c>
      <c r="L1312" s="8" t="s">
        <v>56</v>
      </c>
      <c r="M1312" s="8">
        <v>25</v>
      </c>
      <c r="N1312" s="8">
        <v>50</v>
      </c>
      <c r="O1312" s="6" t="s">
        <v>3947</v>
      </c>
      <c r="P1312" s="6" t="s">
        <v>3952</v>
      </c>
    </row>
    <row r="1313" spans="1:16" ht="15" customHeight="1" x14ac:dyDescent="0.2">
      <c r="A1313" s="7" t="s">
        <v>3900</v>
      </c>
      <c r="B1313" s="7">
        <v>8244481</v>
      </c>
      <c r="C1313" s="8">
        <v>2</v>
      </c>
      <c r="D1313" s="8">
        <v>921723632</v>
      </c>
      <c r="E1313" s="8" t="str">
        <f t="shared" si="97"/>
        <v>92172363222</v>
      </c>
      <c r="F1313" s="8" t="s">
        <v>1643</v>
      </c>
      <c r="G1313" s="8">
        <v>1</v>
      </c>
      <c r="H1313" s="8">
        <v>20250401</v>
      </c>
      <c r="I1313" s="8" t="str">
        <f t="shared" si="95"/>
        <v>4/1/2025</v>
      </c>
      <c r="J1313" s="8">
        <v>20240601</v>
      </c>
      <c r="K1313" s="8" t="str">
        <f t="shared" si="96"/>
        <v>6/1/2024</v>
      </c>
      <c r="L1313" s="8" t="s">
        <v>56</v>
      </c>
      <c r="M1313" s="8">
        <v>25</v>
      </c>
      <c r="N1313" s="8">
        <v>50</v>
      </c>
      <c r="O1313" s="6" t="s">
        <v>3947</v>
      </c>
      <c r="P1313" s="6" t="s">
        <v>3952</v>
      </c>
    </row>
    <row r="1314" spans="1:16" ht="15" customHeight="1" x14ac:dyDescent="0.2">
      <c r="A1314" s="7" t="s">
        <v>3900</v>
      </c>
      <c r="B1314" s="7">
        <v>8244481</v>
      </c>
      <c r="C1314" s="8">
        <v>2</v>
      </c>
      <c r="D1314" s="8">
        <v>921747895</v>
      </c>
      <c r="E1314" s="8" t="str">
        <f t="shared" si="97"/>
        <v>92174789522</v>
      </c>
      <c r="F1314" s="8" t="s">
        <v>1671</v>
      </c>
      <c r="G1314" s="8">
        <v>1</v>
      </c>
      <c r="H1314" s="8">
        <v>20250301</v>
      </c>
      <c r="I1314" s="8" t="str">
        <f t="shared" si="95"/>
        <v>3/1/2025</v>
      </c>
      <c r="J1314" s="8">
        <v>20250101</v>
      </c>
      <c r="K1314" s="8" t="str">
        <f t="shared" si="96"/>
        <v>1/1/2025</v>
      </c>
      <c r="L1314" s="8" t="s">
        <v>56</v>
      </c>
      <c r="M1314" s="8">
        <v>25</v>
      </c>
      <c r="N1314" s="8">
        <v>50</v>
      </c>
      <c r="O1314" s="6" t="s">
        <v>3947</v>
      </c>
      <c r="P1314" s="6" t="s">
        <v>3952</v>
      </c>
    </row>
    <row r="1315" spans="1:16" ht="15" customHeight="1" x14ac:dyDescent="0.2">
      <c r="A1315" s="7" t="s">
        <v>3900</v>
      </c>
      <c r="B1315" s="7">
        <v>8244481</v>
      </c>
      <c r="C1315" s="8">
        <v>2</v>
      </c>
      <c r="D1315" s="8">
        <v>921751692</v>
      </c>
      <c r="E1315" s="8" t="str">
        <f t="shared" si="97"/>
        <v>92175169222</v>
      </c>
      <c r="F1315" s="8" t="s">
        <v>1679</v>
      </c>
      <c r="G1315" s="8">
        <v>1</v>
      </c>
      <c r="H1315" s="8">
        <v>20250401</v>
      </c>
      <c r="I1315" s="8" t="str">
        <f t="shared" si="95"/>
        <v>4/1/2025</v>
      </c>
      <c r="J1315" s="8">
        <v>20250101</v>
      </c>
      <c r="K1315" s="8" t="str">
        <f t="shared" si="96"/>
        <v>1/1/2025</v>
      </c>
      <c r="L1315" s="8" t="s">
        <v>56</v>
      </c>
      <c r="M1315" s="8">
        <v>25</v>
      </c>
      <c r="N1315" s="8">
        <v>50</v>
      </c>
      <c r="O1315" s="6" t="s">
        <v>3947</v>
      </c>
      <c r="P1315" s="6" t="s">
        <v>3952</v>
      </c>
    </row>
    <row r="1316" spans="1:16" ht="15" customHeight="1" x14ac:dyDescent="0.2">
      <c r="A1316" s="7" t="s">
        <v>3900</v>
      </c>
      <c r="B1316" s="7">
        <v>8244481</v>
      </c>
      <c r="C1316" s="8">
        <v>2</v>
      </c>
      <c r="D1316" s="8">
        <v>921759307</v>
      </c>
      <c r="E1316" s="8" t="str">
        <f t="shared" si="97"/>
        <v>92175930722</v>
      </c>
      <c r="F1316" s="8" t="s">
        <v>1695</v>
      </c>
      <c r="G1316" s="8">
        <v>1</v>
      </c>
      <c r="H1316" s="8">
        <v>20250401</v>
      </c>
      <c r="I1316" s="8" t="str">
        <f t="shared" si="95"/>
        <v>4/1/2025</v>
      </c>
      <c r="J1316" s="8">
        <v>20250101</v>
      </c>
      <c r="K1316" s="8" t="str">
        <f t="shared" si="96"/>
        <v>1/1/2025</v>
      </c>
      <c r="L1316" s="8" t="s">
        <v>56</v>
      </c>
      <c r="M1316" s="8">
        <v>25</v>
      </c>
      <c r="N1316" s="8">
        <v>50</v>
      </c>
      <c r="O1316" s="6" t="s">
        <v>3947</v>
      </c>
      <c r="P1316" s="6" t="s">
        <v>3952</v>
      </c>
    </row>
    <row r="1317" spans="1:16" ht="15" customHeight="1" x14ac:dyDescent="0.2">
      <c r="A1317" s="7" t="s">
        <v>3900</v>
      </c>
      <c r="B1317" s="7">
        <v>8244481</v>
      </c>
      <c r="C1317" s="8">
        <v>2</v>
      </c>
      <c r="D1317" s="8">
        <v>921760141</v>
      </c>
      <c r="E1317" s="8" t="str">
        <f t="shared" si="97"/>
        <v>92176014122</v>
      </c>
      <c r="F1317" s="8" t="s">
        <v>1701</v>
      </c>
      <c r="G1317" s="8">
        <v>1</v>
      </c>
      <c r="H1317" s="8">
        <v>20250401</v>
      </c>
      <c r="I1317" s="8" t="str">
        <f t="shared" si="95"/>
        <v>4/1/2025</v>
      </c>
      <c r="J1317" s="8">
        <v>20250101</v>
      </c>
      <c r="K1317" s="8" t="str">
        <f t="shared" si="96"/>
        <v>1/1/2025</v>
      </c>
      <c r="L1317" s="8" t="s">
        <v>56</v>
      </c>
      <c r="M1317" s="8">
        <v>25</v>
      </c>
      <c r="N1317" s="8">
        <v>50</v>
      </c>
      <c r="O1317" s="6" t="s">
        <v>3947</v>
      </c>
      <c r="P1317" s="6" t="s">
        <v>3952</v>
      </c>
    </row>
    <row r="1318" spans="1:16" ht="15" customHeight="1" x14ac:dyDescent="0.2">
      <c r="A1318" s="7" t="s">
        <v>3900</v>
      </c>
      <c r="B1318" s="7">
        <v>8244481</v>
      </c>
      <c r="C1318" s="8">
        <v>2</v>
      </c>
      <c r="D1318" s="8">
        <v>921765563</v>
      </c>
      <c r="E1318" s="8" t="str">
        <f t="shared" si="97"/>
        <v>92176556322</v>
      </c>
      <c r="F1318" s="8" t="s">
        <v>1723</v>
      </c>
      <c r="G1318" s="8">
        <v>1</v>
      </c>
      <c r="H1318" s="8">
        <v>20250401</v>
      </c>
      <c r="I1318" s="8" t="str">
        <f t="shared" si="95"/>
        <v>4/1/2025</v>
      </c>
      <c r="J1318" s="8">
        <v>20250101</v>
      </c>
      <c r="K1318" s="8" t="str">
        <f t="shared" si="96"/>
        <v>1/1/2025</v>
      </c>
      <c r="L1318" s="8" t="s">
        <v>56</v>
      </c>
      <c r="M1318" s="8">
        <v>25</v>
      </c>
      <c r="N1318" s="8">
        <v>50</v>
      </c>
      <c r="O1318" s="6" t="s">
        <v>3947</v>
      </c>
      <c r="P1318" s="6" t="s">
        <v>3952</v>
      </c>
    </row>
    <row r="1319" spans="1:16" ht="15" customHeight="1" x14ac:dyDescent="0.2">
      <c r="A1319" s="7" t="s">
        <v>3900</v>
      </c>
      <c r="B1319" s="7">
        <v>8244481</v>
      </c>
      <c r="C1319" s="8">
        <v>2</v>
      </c>
      <c r="D1319" s="8">
        <v>921775321</v>
      </c>
      <c r="E1319" s="8" t="str">
        <f t="shared" si="97"/>
        <v>92177532122</v>
      </c>
      <c r="F1319" s="8" t="s">
        <v>1735</v>
      </c>
      <c r="G1319" s="8">
        <v>1</v>
      </c>
      <c r="H1319" s="8">
        <v>20250401</v>
      </c>
      <c r="I1319" s="8" t="str">
        <f t="shared" si="95"/>
        <v>4/1/2025</v>
      </c>
      <c r="J1319" s="8">
        <v>20250201</v>
      </c>
      <c r="K1319" s="8" t="str">
        <f t="shared" si="96"/>
        <v>2/1/2025</v>
      </c>
      <c r="L1319" s="8" t="s">
        <v>56</v>
      </c>
      <c r="M1319" s="8">
        <v>25</v>
      </c>
      <c r="N1319" s="8">
        <v>50</v>
      </c>
      <c r="O1319" s="6" t="s">
        <v>3947</v>
      </c>
      <c r="P1319" s="6" t="s">
        <v>3952</v>
      </c>
    </row>
    <row r="1320" spans="1:16" ht="15" customHeight="1" x14ac:dyDescent="0.2">
      <c r="A1320" s="7" t="s">
        <v>3900</v>
      </c>
      <c r="B1320" s="7">
        <v>8244481</v>
      </c>
      <c r="C1320" s="8">
        <v>3</v>
      </c>
      <c r="D1320" s="8">
        <v>921014479</v>
      </c>
      <c r="E1320" s="8" t="str">
        <f t="shared" si="97"/>
        <v>92101447922</v>
      </c>
      <c r="F1320" s="8" t="s">
        <v>1369</v>
      </c>
      <c r="G1320" s="8">
        <v>1</v>
      </c>
      <c r="H1320" s="8">
        <v>20250401</v>
      </c>
      <c r="I1320" s="8" t="str">
        <f t="shared" si="95"/>
        <v>4/1/2025</v>
      </c>
      <c r="J1320" s="8">
        <v>20250201</v>
      </c>
      <c r="K1320" s="8" t="str">
        <f t="shared" si="96"/>
        <v>2/1/2025</v>
      </c>
      <c r="L1320" s="8" t="s">
        <v>56</v>
      </c>
      <c r="M1320" s="8">
        <v>25</v>
      </c>
      <c r="N1320" s="8">
        <v>75</v>
      </c>
      <c r="O1320" s="6" t="s">
        <v>3947</v>
      </c>
      <c r="P1320" s="6" t="s">
        <v>3953</v>
      </c>
    </row>
    <row r="1321" spans="1:16" ht="15" customHeight="1" x14ac:dyDescent="0.2">
      <c r="A1321" s="7" t="s">
        <v>3900</v>
      </c>
      <c r="B1321" s="7">
        <v>8244481</v>
      </c>
      <c r="C1321" s="8">
        <v>3</v>
      </c>
      <c r="D1321" s="8">
        <v>921014479</v>
      </c>
      <c r="E1321" s="8" t="str">
        <f t="shared" si="97"/>
        <v>92101447922</v>
      </c>
      <c r="F1321" s="8" t="s">
        <v>1369</v>
      </c>
      <c r="G1321" s="8">
        <v>1</v>
      </c>
      <c r="H1321" s="8">
        <v>20250301</v>
      </c>
      <c r="I1321" s="8" t="str">
        <f t="shared" si="95"/>
        <v>3/1/2025</v>
      </c>
      <c r="J1321" s="8">
        <v>20250201</v>
      </c>
      <c r="K1321" s="8" t="str">
        <f t="shared" si="96"/>
        <v>2/1/2025</v>
      </c>
      <c r="L1321" s="8" t="s">
        <v>56</v>
      </c>
      <c r="M1321" s="8">
        <v>25</v>
      </c>
      <c r="N1321" s="8">
        <v>75</v>
      </c>
      <c r="O1321" s="6" t="s">
        <v>3947</v>
      </c>
      <c r="P1321" s="6" t="s">
        <v>3953</v>
      </c>
    </row>
    <row r="1322" spans="1:16" ht="15" customHeight="1" x14ac:dyDescent="0.2">
      <c r="A1322" s="7" t="s">
        <v>3900</v>
      </c>
      <c r="B1322" s="7">
        <v>8244481</v>
      </c>
      <c r="C1322" s="8">
        <v>3</v>
      </c>
      <c r="D1322" s="8">
        <v>921353220</v>
      </c>
      <c r="E1322" s="8" t="str">
        <f t="shared" si="97"/>
        <v>92135322022</v>
      </c>
      <c r="F1322" s="8" t="s">
        <v>1418</v>
      </c>
      <c r="G1322" s="8">
        <v>1</v>
      </c>
      <c r="H1322" s="8">
        <v>20250401</v>
      </c>
      <c r="I1322" s="8" t="str">
        <f t="shared" si="95"/>
        <v>4/1/2025</v>
      </c>
      <c r="J1322" s="8">
        <v>20240501</v>
      </c>
      <c r="K1322" s="8" t="str">
        <f t="shared" si="96"/>
        <v>5/1/2024</v>
      </c>
      <c r="L1322" s="8" t="s">
        <v>56</v>
      </c>
      <c r="M1322" s="8">
        <v>25</v>
      </c>
      <c r="N1322" s="8">
        <v>75</v>
      </c>
      <c r="O1322" s="6" t="s">
        <v>3947</v>
      </c>
      <c r="P1322" s="6" t="s">
        <v>3953</v>
      </c>
    </row>
    <row r="1323" spans="1:16" ht="15" customHeight="1" x14ac:dyDescent="0.2">
      <c r="A1323" s="7" t="s">
        <v>3900</v>
      </c>
      <c r="B1323" s="7">
        <v>8244481</v>
      </c>
      <c r="C1323" s="8">
        <v>3</v>
      </c>
      <c r="D1323" s="8">
        <v>921514199</v>
      </c>
      <c r="E1323" s="8" t="str">
        <f t="shared" si="97"/>
        <v>92151419922</v>
      </c>
      <c r="F1323" s="8" t="s">
        <v>1484</v>
      </c>
      <c r="G1323" s="8">
        <v>1</v>
      </c>
      <c r="H1323" s="8">
        <v>20250401</v>
      </c>
      <c r="I1323" s="8" t="str">
        <f t="shared" si="95"/>
        <v>4/1/2025</v>
      </c>
      <c r="J1323" s="8">
        <v>20250101</v>
      </c>
      <c r="K1323" s="8" t="str">
        <f t="shared" si="96"/>
        <v>1/1/2025</v>
      </c>
      <c r="L1323" s="8" t="s">
        <v>56</v>
      </c>
      <c r="M1323" s="8">
        <v>25</v>
      </c>
      <c r="N1323" s="8">
        <v>75</v>
      </c>
      <c r="O1323" s="6" t="s">
        <v>3947</v>
      </c>
      <c r="P1323" s="6" t="s">
        <v>3953</v>
      </c>
    </row>
    <row r="1324" spans="1:16" ht="15" customHeight="1" x14ac:dyDescent="0.2">
      <c r="A1324" s="7" t="s">
        <v>3900</v>
      </c>
      <c r="B1324" s="7">
        <v>8244481</v>
      </c>
      <c r="C1324" s="8">
        <v>3</v>
      </c>
      <c r="D1324" s="8">
        <v>921514199</v>
      </c>
      <c r="E1324" s="8" t="str">
        <f t="shared" si="97"/>
        <v>92151419922</v>
      </c>
      <c r="F1324" s="8" t="s">
        <v>1484</v>
      </c>
      <c r="G1324" s="8">
        <v>1</v>
      </c>
      <c r="H1324" s="8">
        <v>20250301</v>
      </c>
      <c r="I1324" s="8" t="str">
        <f t="shared" si="95"/>
        <v>3/1/2025</v>
      </c>
      <c r="J1324" s="8">
        <v>20250101</v>
      </c>
      <c r="K1324" s="8" t="str">
        <f t="shared" si="96"/>
        <v>1/1/2025</v>
      </c>
      <c r="L1324" s="8" t="s">
        <v>56</v>
      </c>
      <c r="M1324" s="8">
        <v>25</v>
      </c>
      <c r="N1324" s="8">
        <v>75</v>
      </c>
      <c r="O1324" s="6" t="s">
        <v>3947</v>
      </c>
      <c r="P1324" s="6" t="s">
        <v>3953</v>
      </c>
    </row>
    <row r="1325" spans="1:16" ht="15" customHeight="1" x14ac:dyDescent="0.2">
      <c r="A1325" s="7" t="s">
        <v>3900</v>
      </c>
      <c r="B1325" s="7">
        <v>8244481</v>
      </c>
      <c r="C1325" s="8">
        <v>3</v>
      </c>
      <c r="D1325" s="8">
        <v>921764312</v>
      </c>
      <c r="E1325" s="8" t="str">
        <f t="shared" si="97"/>
        <v>92176431222</v>
      </c>
      <c r="F1325" s="8" t="s">
        <v>1713</v>
      </c>
      <c r="G1325" s="8">
        <v>1</v>
      </c>
      <c r="H1325" s="8">
        <v>20250401</v>
      </c>
      <c r="I1325" s="8" t="str">
        <f t="shared" si="95"/>
        <v>4/1/2025</v>
      </c>
      <c r="J1325" s="8">
        <v>20250101</v>
      </c>
      <c r="K1325" s="8" t="str">
        <f t="shared" si="96"/>
        <v>1/1/2025</v>
      </c>
      <c r="L1325" s="8" t="s">
        <v>56</v>
      </c>
      <c r="M1325" s="8">
        <v>25</v>
      </c>
      <c r="N1325" s="8">
        <v>75</v>
      </c>
      <c r="O1325" s="6" t="s">
        <v>3947</v>
      </c>
      <c r="P1325" s="6" t="s">
        <v>3953</v>
      </c>
    </row>
    <row r="1326" spans="1:16" ht="15" customHeight="1" x14ac:dyDescent="0.2">
      <c r="A1326" s="7" t="s">
        <v>3900</v>
      </c>
      <c r="B1326" s="7">
        <v>8244481</v>
      </c>
      <c r="C1326" s="8">
        <v>3</v>
      </c>
      <c r="D1326" s="8">
        <v>921764505</v>
      </c>
      <c r="E1326" s="8" t="str">
        <f t="shared" si="97"/>
        <v>92176450522</v>
      </c>
      <c r="F1326" s="8" t="s">
        <v>1716</v>
      </c>
      <c r="G1326" s="8">
        <v>1</v>
      </c>
      <c r="H1326" s="8">
        <v>20250401</v>
      </c>
      <c r="I1326" s="8" t="str">
        <f t="shared" si="95"/>
        <v>4/1/2025</v>
      </c>
      <c r="J1326" s="8">
        <v>20250101</v>
      </c>
      <c r="K1326" s="8" t="str">
        <f t="shared" si="96"/>
        <v>1/1/2025</v>
      </c>
      <c r="L1326" s="8" t="s">
        <v>56</v>
      </c>
      <c r="M1326" s="8">
        <v>25</v>
      </c>
      <c r="N1326" s="8">
        <v>75</v>
      </c>
      <c r="O1326" s="6" t="s">
        <v>3947</v>
      </c>
      <c r="P1326" s="6" t="s">
        <v>3953</v>
      </c>
    </row>
    <row r="1327" spans="1:16" ht="15" customHeight="1" x14ac:dyDescent="0.2">
      <c r="A1327" s="7" t="s">
        <v>3900</v>
      </c>
      <c r="B1327" s="7">
        <v>8244481</v>
      </c>
      <c r="C1327" s="8">
        <v>4</v>
      </c>
      <c r="D1327" s="8">
        <v>890672355</v>
      </c>
      <c r="E1327" s="8" t="str">
        <f t="shared" si="97"/>
        <v>89067235522</v>
      </c>
      <c r="F1327" s="8" t="s">
        <v>1346</v>
      </c>
      <c r="G1327" s="8">
        <v>1</v>
      </c>
      <c r="H1327" s="8">
        <v>20250401</v>
      </c>
      <c r="I1327" s="8" t="str">
        <f t="shared" si="95"/>
        <v>4/1/2025</v>
      </c>
      <c r="J1327" s="8">
        <v>20250101</v>
      </c>
      <c r="K1327" s="8" t="str">
        <f t="shared" si="96"/>
        <v>1/1/2025</v>
      </c>
      <c r="L1327" s="8" t="s">
        <v>56</v>
      </c>
      <c r="M1327" s="8">
        <v>25</v>
      </c>
      <c r="N1327" s="8">
        <v>100</v>
      </c>
      <c r="O1327" s="6" t="s">
        <v>3947</v>
      </c>
      <c r="P1327" s="6" t="s">
        <v>3954</v>
      </c>
    </row>
    <row r="1328" spans="1:16" ht="15" customHeight="1" x14ac:dyDescent="0.2">
      <c r="A1328" s="7" t="s">
        <v>3900</v>
      </c>
      <c r="B1328" s="7">
        <v>8244481</v>
      </c>
      <c r="C1328" s="8">
        <v>4</v>
      </c>
      <c r="D1328" s="8">
        <v>921720459</v>
      </c>
      <c r="E1328" s="8" t="str">
        <f t="shared" si="97"/>
        <v>92172045922</v>
      </c>
      <c r="F1328" s="8" t="s">
        <v>1637</v>
      </c>
      <c r="G1328" s="8">
        <v>1</v>
      </c>
      <c r="H1328" s="8">
        <v>20250401</v>
      </c>
      <c r="I1328" s="8" t="str">
        <f t="shared" si="95"/>
        <v>4/1/2025</v>
      </c>
      <c r="J1328" s="8">
        <v>20240401</v>
      </c>
      <c r="K1328" s="8" t="str">
        <f t="shared" si="96"/>
        <v>4/1/2024</v>
      </c>
      <c r="L1328" s="8" t="s">
        <v>56</v>
      </c>
      <c r="M1328" s="8">
        <v>25</v>
      </c>
      <c r="N1328" s="8">
        <v>100</v>
      </c>
      <c r="O1328" s="6" t="s">
        <v>3947</v>
      </c>
      <c r="P1328" s="6" t="s">
        <v>3954</v>
      </c>
    </row>
    <row r="1329" spans="1:16" ht="15" customHeight="1" x14ac:dyDescent="0.2">
      <c r="A1329" s="7" t="s">
        <v>3900</v>
      </c>
      <c r="B1329" s="7">
        <v>8244481</v>
      </c>
      <c r="C1329" s="8">
        <v>4</v>
      </c>
      <c r="D1329" s="8">
        <v>921776240</v>
      </c>
      <c r="E1329" s="8" t="str">
        <f t="shared" si="97"/>
        <v>92177624022</v>
      </c>
      <c r="F1329" s="8" t="s">
        <v>1737</v>
      </c>
      <c r="G1329" s="8">
        <v>1</v>
      </c>
      <c r="H1329" s="8">
        <v>20250401</v>
      </c>
      <c r="I1329" s="8" t="str">
        <f t="shared" si="95"/>
        <v>4/1/2025</v>
      </c>
      <c r="J1329" s="8">
        <v>20250201</v>
      </c>
      <c r="K1329" s="8" t="str">
        <f t="shared" si="96"/>
        <v>2/1/2025</v>
      </c>
      <c r="L1329" s="8" t="s">
        <v>56</v>
      </c>
      <c r="M1329" s="8">
        <v>25</v>
      </c>
      <c r="N1329" s="8">
        <v>100</v>
      </c>
      <c r="O1329" s="6" t="s">
        <v>3947</v>
      </c>
      <c r="P1329" s="6" t="s">
        <v>3954</v>
      </c>
    </row>
    <row r="1330" spans="1:16" ht="15" customHeight="1" x14ac:dyDescent="0.2">
      <c r="A1330" s="7" t="s">
        <v>3900</v>
      </c>
      <c r="B1330" s="7">
        <v>8244481</v>
      </c>
      <c r="C1330" s="8">
        <v>5</v>
      </c>
      <c r="D1330" s="8">
        <v>921763465</v>
      </c>
      <c r="E1330" s="8" t="str">
        <f t="shared" si="97"/>
        <v>92176346522</v>
      </c>
      <c r="F1330" s="8" t="s">
        <v>1711</v>
      </c>
      <c r="G1330" s="8">
        <v>1</v>
      </c>
      <c r="H1330" s="8">
        <v>20250401</v>
      </c>
      <c r="I1330" s="8" t="str">
        <f t="shared" si="95"/>
        <v>4/1/2025</v>
      </c>
      <c r="J1330" s="8">
        <v>20250101</v>
      </c>
      <c r="K1330" s="8" t="str">
        <f t="shared" si="96"/>
        <v>1/1/2025</v>
      </c>
      <c r="L1330" s="8" t="s">
        <v>56</v>
      </c>
      <c r="M1330" s="8">
        <v>25</v>
      </c>
      <c r="N1330" s="8">
        <v>125</v>
      </c>
      <c r="O1330" s="6" t="s">
        <v>3947</v>
      </c>
      <c r="P1330" s="6" t="s">
        <v>3955</v>
      </c>
    </row>
    <row r="1331" spans="1:16" ht="15" customHeight="1" x14ac:dyDescent="0.2">
      <c r="A1331" s="7" t="s">
        <v>3900</v>
      </c>
      <c r="B1331" s="7">
        <v>8244481</v>
      </c>
      <c r="C1331" s="6">
        <v>-1</v>
      </c>
      <c r="D1331" s="8">
        <v>921731593</v>
      </c>
      <c r="E1331" s="8" t="str">
        <f t="shared" si="97"/>
        <v>92173159322</v>
      </c>
      <c r="F1331" s="8" t="s">
        <v>1655</v>
      </c>
      <c r="G1331" s="8">
        <v>-1</v>
      </c>
      <c r="H1331" s="8">
        <v>20250301</v>
      </c>
      <c r="I1331" s="8" t="str">
        <f t="shared" si="95"/>
        <v>3/1/2025</v>
      </c>
      <c r="J1331" s="8">
        <v>20240801</v>
      </c>
      <c r="K1331" s="8" t="str">
        <f t="shared" si="96"/>
        <v>8/1/2024</v>
      </c>
      <c r="L1331" s="8" t="s">
        <v>56</v>
      </c>
      <c r="M1331" s="8">
        <v>25</v>
      </c>
      <c r="N1331" s="8">
        <v>-25</v>
      </c>
      <c r="O1331" s="6" t="s">
        <v>3947</v>
      </c>
    </row>
    <row r="1332" spans="1:16" ht="15" customHeight="1" x14ac:dyDescent="0.2">
      <c r="A1332" s="7" t="s">
        <v>3900</v>
      </c>
      <c r="B1332" s="7">
        <v>8244481</v>
      </c>
      <c r="C1332" s="6">
        <v>-1</v>
      </c>
      <c r="D1332" s="8">
        <v>921747239</v>
      </c>
      <c r="E1332" s="8" t="str">
        <f t="shared" si="97"/>
        <v>92174723922</v>
      </c>
      <c r="F1332" s="8" t="s">
        <v>1667</v>
      </c>
      <c r="G1332" s="8">
        <v>-1</v>
      </c>
      <c r="H1332" s="8">
        <v>20250301</v>
      </c>
      <c r="I1332" s="8" t="str">
        <f t="shared" si="95"/>
        <v>3/1/2025</v>
      </c>
      <c r="J1332" s="8">
        <v>20250101</v>
      </c>
      <c r="K1332" s="8" t="str">
        <f t="shared" si="96"/>
        <v>1/1/2025</v>
      </c>
      <c r="L1332" s="8" t="s">
        <v>56</v>
      </c>
      <c r="M1332" s="8">
        <v>25</v>
      </c>
      <c r="N1332" s="8">
        <v>-25</v>
      </c>
      <c r="O1332" s="6" t="s">
        <v>3947</v>
      </c>
    </row>
    <row r="1333" spans="1:16" ht="15" customHeight="1" x14ac:dyDescent="0.2">
      <c r="A1333" s="7" t="s">
        <v>3900</v>
      </c>
      <c r="B1333" s="7">
        <v>8244481</v>
      </c>
      <c r="C1333" s="6">
        <v>-1</v>
      </c>
      <c r="D1333" s="8">
        <v>921764505</v>
      </c>
      <c r="E1333" s="8" t="str">
        <f t="shared" si="97"/>
        <v>92176450522</v>
      </c>
      <c r="F1333" s="8" t="s">
        <v>1716</v>
      </c>
      <c r="G1333" s="8">
        <v>-1</v>
      </c>
      <c r="H1333" s="8">
        <v>20250401</v>
      </c>
      <c r="I1333" s="8" t="str">
        <f t="shared" si="95"/>
        <v>4/1/2025</v>
      </c>
      <c r="J1333" s="8">
        <v>20250101</v>
      </c>
      <c r="K1333" s="8" t="str">
        <f t="shared" si="96"/>
        <v>1/1/2025</v>
      </c>
      <c r="L1333" s="8" t="s">
        <v>56</v>
      </c>
      <c r="M1333" s="8">
        <v>25</v>
      </c>
      <c r="N1333" s="8">
        <v>-75</v>
      </c>
      <c r="O1333" s="6" t="s">
        <v>3947</v>
      </c>
      <c r="P1333" s="6" t="s">
        <v>3953</v>
      </c>
    </row>
    <row r="1334" spans="1:16" ht="15" customHeight="1" x14ac:dyDescent="0.2">
      <c r="A1334" s="7" t="s">
        <v>3900</v>
      </c>
      <c r="B1334" s="7">
        <v>8244481</v>
      </c>
      <c r="C1334" s="8">
        <v>1</v>
      </c>
      <c r="D1334" s="8">
        <v>921747473</v>
      </c>
      <c r="E1334" s="8" t="str">
        <f>CONCATENATE(D1334,33)</f>
        <v>92174747333</v>
      </c>
      <c r="F1334" s="8" t="s">
        <v>1669</v>
      </c>
      <c r="G1334" s="8">
        <v>1</v>
      </c>
      <c r="H1334" s="8">
        <v>20250401</v>
      </c>
      <c r="I1334" s="8" t="str">
        <f t="shared" si="95"/>
        <v>4/1/2025</v>
      </c>
      <c r="J1334" s="8">
        <v>20241201</v>
      </c>
      <c r="K1334" s="8" t="str">
        <f t="shared" si="96"/>
        <v>12/1/2024</v>
      </c>
      <c r="L1334" s="8" t="s">
        <v>198</v>
      </c>
      <c r="M1334" s="8">
        <v>20</v>
      </c>
      <c r="N1334" s="8">
        <v>20</v>
      </c>
      <c r="O1334" s="6" t="s">
        <v>3950</v>
      </c>
    </row>
    <row r="1335" spans="1:16" ht="15" customHeight="1" x14ac:dyDescent="0.3">
      <c r="A1335" s="7" t="s">
        <v>3900</v>
      </c>
      <c r="B1335" s="7">
        <v>8244481</v>
      </c>
      <c r="C1335" s="8">
        <v>1</v>
      </c>
      <c r="D1335" s="8">
        <v>921567439</v>
      </c>
      <c r="E1335" s="8" t="str">
        <f t="shared" ref="E1335:E1343" si="98">CONCATENATE(D1335,44)</f>
        <v>92156743944</v>
      </c>
      <c r="F1335" s="8" t="s">
        <v>1506</v>
      </c>
      <c r="G1335" s="8">
        <v>1</v>
      </c>
      <c r="H1335" s="8">
        <v>20250201</v>
      </c>
      <c r="I1335" s="8" t="str">
        <f t="shared" si="95"/>
        <v>2/1/2025</v>
      </c>
      <c r="J1335" s="8">
        <v>20210501</v>
      </c>
      <c r="K1335" s="8" t="str">
        <f t="shared" si="96"/>
        <v>5/1/2021</v>
      </c>
      <c r="L1335" s="8" t="s">
        <v>65</v>
      </c>
      <c r="M1335" s="8">
        <v>25</v>
      </c>
      <c r="N1335" s="8">
        <v>25</v>
      </c>
      <c r="O1335" s="14" t="s">
        <v>3948</v>
      </c>
    </row>
    <row r="1336" spans="1:16" ht="15" customHeight="1" x14ac:dyDescent="0.3">
      <c r="A1336" s="7" t="s">
        <v>3900</v>
      </c>
      <c r="B1336" s="7">
        <v>8244481</v>
      </c>
      <c r="C1336" s="8">
        <v>1</v>
      </c>
      <c r="D1336" s="8">
        <v>921658237</v>
      </c>
      <c r="E1336" s="8" t="str">
        <f t="shared" si="98"/>
        <v>92165823744</v>
      </c>
      <c r="F1336" s="8" t="s">
        <v>1561</v>
      </c>
      <c r="G1336" s="8">
        <v>1</v>
      </c>
      <c r="H1336" s="8">
        <v>20250401</v>
      </c>
      <c r="I1336" s="8" t="str">
        <f t="shared" si="95"/>
        <v>4/1/2025</v>
      </c>
      <c r="J1336" s="8">
        <v>20230501</v>
      </c>
      <c r="K1336" s="8" t="str">
        <f t="shared" si="96"/>
        <v>5/1/2023</v>
      </c>
      <c r="L1336" s="8" t="s">
        <v>65</v>
      </c>
      <c r="M1336" s="8">
        <v>25</v>
      </c>
      <c r="N1336" s="8">
        <v>25</v>
      </c>
      <c r="O1336" s="14" t="s">
        <v>3948</v>
      </c>
    </row>
    <row r="1337" spans="1:16" ht="15" customHeight="1" x14ac:dyDescent="0.3">
      <c r="A1337" s="7" t="s">
        <v>3900</v>
      </c>
      <c r="B1337" s="7">
        <v>8244481</v>
      </c>
      <c r="C1337" s="8">
        <v>3</v>
      </c>
      <c r="D1337" s="8">
        <v>921252130</v>
      </c>
      <c r="E1337" s="8" t="str">
        <f t="shared" si="98"/>
        <v>92125213044</v>
      </c>
      <c r="F1337" s="8" t="s">
        <v>1396</v>
      </c>
      <c r="G1337" s="8">
        <v>1</v>
      </c>
      <c r="H1337" s="8">
        <v>20250401</v>
      </c>
      <c r="I1337" s="8" t="str">
        <f t="shared" si="95"/>
        <v>4/1/2025</v>
      </c>
      <c r="J1337" s="8">
        <v>20240101</v>
      </c>
      <c r="K1337" s="8" t="str">
        <f t="shared" si="96"/>
        <v>1/1/2024</v>
      </c>
      <c r="L1337" s="8" t="s">
        <v>65</v>
      </c>
      <c r="M1337" s="8">
        <v>25</v>
      </c>
      <c r="N1337" s="8">
        <v>75</v>
      </c>
      <c r="O1337" s="14" t="s">
        <v>3948</v>
      </c>
      <c r="P1337" s="6" t="s">
        <v>3953</v>
      </c>
    </row>
    <row r="1338" spans="1:16" ht="15" customHeight="1" x14ac:dyDescent="0.3">
      <c r="A1338" s="7" t="s">
        <v>3900</v>
      </c>
      <c r="B1338" s="7">
        <v>8244481</v>
      </c>
      <c r="C1338" s="8">
        <v>1</v>
      </c>
      <c r="D1338" s="8">
        <v>921379937</v>
      </c>
      <c r="E1338" s="8" t="str">
        <f t="shared" si="98"/>
        <v>92137993744</v>
      </c>
      <c r="F1338" s="8" t="s">
        <v>72</v>
      </c>
      <c r="G1338" s="8">
        <v>1</v>
      </c>
      <c r="H1338" s="8">
        <v>20250401</v>
      </c>
      <c r="I1338" s="8" t="str">
        <f t="shared" si="95"/>
        <v>4/1/2025</v>
      </c>
      <c r="J1338" s="8">
        <v>20250101</v>
      </c>
      <c r="K1338" s="8" t="str">
        <f t="shared" si="96"/>
        <v>1/1/2025</v>
      </c>
      <c r="L1338" s="8" t="s">
        <v>65</v>
      </c>
      <c r="M1338" s="8">
        <v>30</v>
      </c>
      <c r="N1338" s="8">
        <v>30</v>
      </c>
      <c r="O1338" s="14" t="s">
        <v>3948</v>
      </c>
    </row>
    <row r="1339" spans="1:16" ht="15" customHeight="1" x14ac:dyDescent="0.3">
      <c r="A1339" s="7" t="s">
        <v>3900</v>
      </c>
      <c r="B1339" s="7">
        <v>8244481</v>
      </c>
      <c r="C1339" s="8">
        <v>1</v>
      </c>
      <c r="D1339" s="8">
        <v>921751918</v>
      </c>
      <c r="E1339" s="8" t="str">
        <f t="shared" si="98"/>
        <v>92175191844</v>
      </c>
      <c r="F1339" s="8" t="s">
        <v>122</v>
      </c>
      <c r="G1339" s="8">
        <v>1</v>
      </c>
      <c r="H1339" s="8">
        <v>20250401</v>
      </c>
      <c r="I1339" s="8" t="str">
        <f t="shared" si="95"/>
        <v>4/1/2025</v>
      </c>
      <c r="J1339" s="8">
        <v>20250101</v>
      </c>
      <c r="K1339" s="8" t="str">
        <f t="shared" si="96"/>
        <v>1/1/2025</v>
      </c>
      <c r="L1339" s="8" t="s">
        <v>65</v>
      </c>
      <c r="M1339" s="8">
        <v>30</v>
      </c>
      <c r="N1339" s="8">
        <v>30</v>
      </c>
      <c r="O1339" s="14" t="s">
        <v>3948</v>
      </c>
    </row>
    <row r="1340" spans="1:16" ht="15" customHeight="1" x14ac:dyDescent="0.3">
      <c r="A1340" s="7" t="s">
        <v>3900</v>
      </c>
      <c r="B1340" s="7">
        <v>8244481</v>
      </c>
      <c r="C1340" s="8">
        <v>1</v>
      </c>
      <c r="D1340" s="8">
        <v>921764752</v>
      </c>
      <c r="E1340" s="8" t="str">
        <f t="shared" si="98"/>
        <v>92176475244</v>
      </c>
      <c r="F1340" s="8" t="s">
        <v>125</v>
      </c>
      <c r="G1340" s="8">
        <v>1</v>
      </c>
      <c r="H1340" s="8">
        <v>20250401</v>
      </c>
      <c r="I1340" s="8" t="str">
        <f t="shared" si="95"/>
        <v>4/1/2025</v>
      </c>
      <c r="J1340" s="8">
        <v>20250101</v>
      </c>
      <c r="K1340" s="8" t="str">
        <f t="shared" si="96"/>
        <v>1/1/2025</v>
      </c>
      <c r="L1340" s="8" t="s">
        <v>65</v>
      </c>
      <c r="M1340" s="8">
        <v>30</v>
      </c>
      <c r="N1340" s="8">
        <v>30</v>
      </c>
      <c r="O1340" s="14" t="s">
        <v>3948</v>
      </c>
    </row>
    <row r="1341" spans="1:16" ht="15" customHeight="1" x14ac:dyDescent="0.3">
      <c r="A1341" s="7" t="s">
        <v>3900</v>
      </c>
      <c r="B1341" s="7">
        <v>8244481</v>
      </c>
      <c r="C1341" s="8">
        <v>1</v>
      </c>
      <c r="D1341" s="8">
        <v>921316212</v>
      </c>
      <c r="E1341" s="8" t="str">
        <f t="shared" si="98"/>
        <v>92131621244</v>
      </c>
      <c r="F1341" s="8" t="s">
        <v>1404</v>
      </c>
      <c r="G1341" s="8">
        <v>1</v>
      </c>
      <c r="H1341" s="8">
        <v>20250301</v>
      </c>
      <c r="I1341" s="8" t="str">
        <f t="shared" si="95"/>
        <v>3/1/2025</v>
      </c>
      <c r="J1341" s="8">
        <v>20250101</v>
      </c>
      <c r="K1341" s="8" t="str">
        <f t="shared" si="96"/>
        <v>1/1/2025</v>
      </c>
      <c r="L1341" s="8" t="s">
        <v>65</v>
      </c>
      <c r="M1341" s="8">
        <v>30</v>
      </c>
      <c r="N1341" s="8">
        <v>30</v>
      </c>
      <c r="O1341" s="14" t="s">
        <v>3948</v>
      </c>
    </row>
    <row r="1342" spans="1:16" ht="15" customHeight="1" x14ac:dyDescent="0.3">
      <c r="A1342" s="7" t="s">
        <v>3900</v>
      </c>
      <c r="B1342" s="7">
        <v>8244481</v>
      </c>
      <c r="C1342" s="8">
        <v>1</v>
      </c>
      <c r="D1342" s="8">
        <v>921746998</v>
      </c>
      <c r="E1342" s="8" t="str">
        <f t="shared" si="98"/>
        <v>92174699844</v>
      </c>
      <c r="F1342" s="8" t="s">
        <v>1665</v>
      </c>
      <c r="G1342" s="8">
        <v>1</v>
      </c>
      <c r="H1342" s="8">
        <v>20250401</v>
      </c>
      <c r="I1342" s="8" t="str">
        <f t="shared" si="95"/>
        <v>4/1/2025</v>
      </c>
      <c r="J1342" s="8">
        <v>20250101</v>
      </c>
      <c r="K1342" s="8" t="str">
        <f t="shared" si="96"/>
        <v>1/1/2025</v>
      </c>
      <c r="L1342" s="8" t="s">
        <v>65</v>
      </c>
      <c r="M1342" s="8">
        <v>30</v>
      </c>
      <c r="N1342" s="8">
        <v>30</v>
      </c>
      <c r="O1342" s="14" t="s">
        <v>3948</v>
      </c>
    </row>
    <row r="1343" spans="1:16" ht="15" customHeight="1" x14ac:dyDescent="0.3">
      <c r="A1343" s="7" t="s">
        <v>3900</v>
      </c>
      <c r="B1343" s="7">
        <v>8244481</v>
      </c>
      <c r="C1343" s="8">
        <v>5</v>
      </c>
      <c r="D1343" s="8">
        <v>921752202</v>
      </c>
      <c r="E1343" s="8" t="str">
        <f t="shared" si="98"/>
        <v>92175220244</v>
      </c>
      <c r="F1343" s="8" t="s">
        <v>1683</v>
      </c>
      <c r="G1343" s="8">
        <v>1</v>
      </c>
      <c r="H1343" s="8">
        <v>20250401</v>
      </c>
      <c r="I1343" s="8" t="str">
        <f t="shared" si="95"/>
        <v>4/1/2025</v>
      </c>
      <c r="J1343" s="8">
        <v>20250101</v>
      </c>
      <c r="K1343" s="8" t="str">
        <f t="shared" si="96"/>
        <v>1/1/2025</v>
      </c>
      <c r="L1343" s="8" t="s">
        <v>65</v>
      </c>
      <c r="M1343" s="8">
        <v>30</v>
      </c>
      <c r="N1343" s="8">
        <v>150</v>
      </c>
      <c r="O1343" s="14" t="s">
        <v>3948</v>
      </c>
      <c r="P1343" s="6" t="s">
        <v>3955</v>
      </c>
    </row>
    <row r="1344" spans="1:16" ht="15" customHeight="1" x14ac:dyDescent="0.2">
      <c r="A1344" s="7" t="s">
        <v>3900</v>
      </c>
      <c r="B1344" s="7">
        <v>8244481</v>
      </c>
      <c r="C1344" s="8">
        <v>2</v>
      </c>
      <c r="D1344" s="8">
        <v>921285003</v>
      </c>
      <c r="E1344" s="8" t="str">
        <f>CONCATENATE(D1344,55)</f>
        <v>92128500355</v>
      </c>
      <c r="F1344" s="8" t="s">
        <v>1400</v>
      </c>
      <c r="G1344" s="8">
        <v>1</v>
      </c>
      <c r="H1344" s="8">
        <v>20250401</v>
      </c>
      <c r="I1344" s="8" t="str">
        <f t="shared" si="95"/>
        <v>4/1/2025</v>
      </c>
      <c r="J1344" s="8">
        <v>20210201</v>
      </c>
      <c r="K1344" s="8" t="str">
        <f t="shared" si="96"/>
        <v>2/1/2021</v>
      </c>
      <c r="L1344" s="8" t="s">
        <v>138</v>
      </c>
      <c r="M1344" s="8">
        <v>20</v>
      </c>
      <c r="N1344" s="8">
        <v>40</v>
      </c>
      <c r="O1344" s="6" t="s">
        <v>3946</v>
      </c>
      <c r="P1344" s="6" t="s">
        <v>3952</v>
      </c>
    </row>
    <row r="1345" spans="1:15" ht="15" customHeight="1" x14ac:dyDescent="0.2">
      <c r="A1345" s="7" t="s">
        <v>3900</v>
      </c>
      <c r="B1345" s="7">
        <v>8244481</v>
      </c>
      <c r="D1345" s="8">
        <v>921366675</v>
      </c>
      <c r="E1345" s="8" t="str">
        <f>CONCATENATE(1,D1345)</f>
        <v>1921366675</v>
      </c>
      <c r="F1345" s="8" t="s">
        <v>1424</v>
      </c>
      <c r="G1345" s="8">
        <v>12.47</v>
      </c>
      <c r="H1345" s="8">
        <v>20250401</v>
      </c>
      <c r="I1345" s="8" t="str">
        <f t="shared" si="95"/>
        <v>4/1/2025</v>
      </c>
      <c r="J1345" s="8">
        <v>20250201</v>
      </c>
      <c r="K1345" s="8" t="str">
        <f t="shared" si="96"/>
        <v>2/1/2025</v>
      </c>
      <c r="L1345" s="8" t="s">
        <v>116</v>
      </c>
      <c r="M1345" s="8">
        <v>0.04</v>
      </c>
      <c r="N1345" s="8">
        <v>0.5</v>
      </c>
      <c r="O1345" s="6" t="s">
        <v>3938</v>
      </c>
    </row>
    <row r="1346" spans="1:15" ht="15" customHeight="1" x14ac:dyDescent="0.2">
      <c r="A1346" s="7" t="s">
        <v>3900</v>
      </c>
      <c r="B1346" s="7">
        <v>8244481</v>
      </c>
      <c r="D1346" s="8">
        <v>957178596</v>
      </c>
      <c r="E1346" s="8" t="str">
        <f t="shared" ref="E1346:E1352" si="99">CONCATENATE(D1346,7)</f>
        <v>9571785967</v>
      </c>
      <c r="F1346" s="8" t="s">
        <v>1765</v>
      </c>
      <c r="G1346" s="8">
        <v>55.99</v>
      </c>
      <c r="H1346" s="8">
        <v>20250212</v>
      </c>
      <c r="I1346" s="8" t="str">
        <f t="shared" si="95"/>
        <v>2/12/2025</v>
      </c>
      <c r="J1346" s="8">
        <v>20240701</v>
      </c>
      <c r="K1346" s="8" t="str">
        <f t="shared" si="96"/>
        <v>7/1/2024</v>
      </c>
      <c r="L1346" s="8" t="s">
        <v>398</v>
      </c>
      <c r="M1346" s="8">
        <v>0.1</v>
      </c>
      <c r="N1346" s="8">
        <v>5.6</v>
      </c>
      <c r="O1346" s="6" t="s">
        <v>3942</v>
      </c>
    </row>
    <row r="1347" spans="1:15" ht="15" customHeight="1" x14ac:dyDescent="0.2">
      <c r="A1347" s="7" t="s">
        <v>3900</v>
      </c>
      <c r="B1347" s="7">
        <v>8244481</v>
      </c>
      <c r="D1347" s="8">
        <v>957178596</v>
      </c>
      <c r="E1347" s="8" t="str">
        <f t="shared" si="99"/>
        <v>9571785967</v>
      </c>
      <c r="F1347" s="8" t="s">
        <v>1765</v>
      </c>
      <c r="G1347" s="8">
        <v>142.51</v>
      </c>
      <c r="H1347" s="8">
        <v>20250301</v>
      </c>
      <c r="I1347" s="8" t="str">
        <f t="shared" ref="I1347:I1410" si="100">TEXT(DATE(LEFT(H1347,4), MID(H1347,5,2), RIGHT(H1347,2)), "M/d/yyyy")</f>
        <v>3/1/2025</v>
      </c>
      <c r="J1347" s="8">
        <v>20240701</v>
      </c>
      <c r="K1347" s="8" t="str">
        <f t="shared" ref="K1347:K1410" si="101">TEXT(DATE(LEFT(J1347,4), MID(J1347,5,2), RIGHT(J1347,2)), "M/d/yyyy")</f>
        <v>7/1/2024</v>
      </c>
      <c r="L1347" s="8" t="s">
        <v>398</v>
      </c>
      <c r="M1347" s="8">
        <v>0.1</v>
      </c>
      <c r="N1347" s="8">
        <v>14.25</v>
      </c>
      <c r="O1347" s="6" t="s">
        <v>3942</v>
      </c>
    </row>
    <row r="1348" spans="1:15" ht="15" customHeight="1" x14ac:dyDescent="0.2">
      <c r="A1348" s="7" t="s">
        <v>3900</v>
      </c>
      <c r="B1348" s="7">
        <v>8244481</v>
      </c>
      <c r="D1348" s="8">
        <v>957189095</v>
      </c>
      <c r="E1348" s="8" t="str">
        <f t="shared" si="99"/>
        <v>9571890957</v>
      </c>
      <c r="F1348" s="8" t="s">
        <v>1824</v>
      </c>
      <c r="G1348" s="8">
        <v>174.02</v>
      </c>
      <c r="H1348" s="8">
        <v>20250301</v>
      </c>
      <c r="I1348" s="8" t="str">
        <f t="shared" si="100"/>
        <v>3/1/2025</v>
      </c>
      <c r="J1348" s="8">
        <v>20250101</v>
      </c>
      <c r="K1348" s="8" t="str">
        <f t="shared" si="101"/>
        <v>1/1/2025</v>
      </c>
      <c r="L1348" s="8" t="s">
        <v>398</v>
      </c>
      <c r="M1348" s="8">
        <v>0.1</v>
      </c>
      <c r="N1348" s="8">
        <v>17.399999999999999</v>
      </c>
      <c r="O1348" s="6" t="s">
        <v>3942</v>
      </c>
    </row>
    <row r="1349" spans="1:15" ht="15" customHeight="1" x14ac:dyDescent="0.2">
      <c r="A1349" s="7" t="s">
        <v>3900</v>
      </c>
      <c r="B1349" s="7">
        <v>8244481</v>
      </c>
      <c r="D1349" s="8">
        <v>957193658</v>
      </c>
      <c r="E1349" s="8" t="str">
        <f t="shared" si="99"/>
        <v>9571936587</v>
      </c>
      <c r="F1349" s="8" t="s">
        <v>1830</v>
      </c>
      <c r="G1349" s="8">
        <v>201.47</v>
      </c>
      <c r="H1349" s="8">
        <v>20250301</v>
      </c>
      <c r="I1349" s="8" t="str">
        <f t="shared" si="100"/>
        <v>3/1/2025</v>
      </c>
      <c r="J1349" s="8">
        <v>20250101</v>
      </c>
      <c r="K1349" s="8" t="str">
        <f t="shared" si="101"/>
        <v>1/1/2025</v>
      </c>
      <c r="L1349" s="8" t="s">
        <v>398</v>
      </c>
      <c r="M1349" s="8">
        <v>0.1</v>
      </c>
      <c r="N1349" s="8">
        <v>20.149999999999999</v>
      </c>
      <c r="O1349" s="6" t="s">
        <v>3942</v>
      </c>
    </row>
    <row r="1350" spans="1:15" ht="15" customHeight="1" x14ac:dyDescent="0.2">
      <c r="A1350" s="7" t="s">
        <v>3900</v>
      </c>
      <c r="B1350" s="7">
        <v>8244481</v>
      </c>
      <c r="D1350" s="8">
        <v>957186453</v>
      </c>
      <c r="E1350" s="8" t="str">
        <f t="shared" si="99"/>
        <v>9571864537</v>
      </c>
      <c r="F1350" s="8" t="s">
        <v>1802</v>
      </c>
      <c r="G1350" s="8">
        <v>222.72</v>
      </c>
      <c r="H1350" s="8">
        <v>20250301</v>
      </c>
      <c r="I1350" s="8" t="str">
        <f t="shared" si="100"/>
        <v>3/1/2025</v>
      </c>
      <c r="J1350" s="8">
        <v>20241101</v>
      </c>
      <c r="K1350" s="8" t="str">
        <f t="shared" si="101"/>
        <v>11/1/2024</v>
      </c>
      <c r="L1350" s="8" t="s">
        <v>398</v>
      </c>
      <c r="M1350" s="8">
        <v>0.1</v>
      </c>
      <c r="N1350" s="8">
        <v>22.27</v>
      </c>
      <c r="O1350" s="6" t="s">
        <v>3942</v>
      </c>
    </row>
    <row r="1351" spans="1:15" ht="15" customHeight="1" x14ac:dyDescent="0.2">
      <c r="A1351" s="7" t="s">
        <v>3900</v>
      </c>
      <c r="B1351" s="7">
        <v>8244481</v>
      </c>
      <c r="D1351" s="8">
        <v>957186206</v>
      </c>
      <c r="E1351" s="8" t="str">
        <f t="shared" si="99"/>
        <v>9571862067</v>
      </c>
      <c r="F1351" s="8" t="s">
        <v>1794</v>
      </c>
      <c r="G1351" s="8">
        <v>223.86</v>
      </c>
      <c r="H1351" s="8">
        <v>20250301</v>
      </c>
      <c r="I1351" s="8" t="str">
        <f t="shared" si="100"/>
        <v>3/1/2025</v>
      </c>
      <c r="J1351" s="8">
        <v>20241101</v>
      </c>
      <c r="K1351" s="8" t="str">
        <f t="shared" si="101"/>
        <v>11/1/2024</v>
      </c>
      <c r="L1351" s="8" t="s">
        <v>398</v>
      </c>
      <c r="M1351" s="8">
        <v>0.1</v>
      </c>
      <c r="N1351" s="8">
        <v>22.39</v>
      </c>
      <c r="O1351" s="6" t="s">
        <v>3942</v>
      </c>
    </row>
    <row r="1352" spans="1:15" ht="15" customHeight="1" x14ac:dyDescent="0.2">
      <c r="A1352" s="7" t="s">
        <v>3900</v>
      </c>
      <c r="B1352" s="7">
        <v>8244481</v>
      </c>
      <c r="C1352" s="6">
        <v>-1</v>
      </c>
      <c r="D1352" s="8">
        <v>957178596</v>
      </c>
      <c r="E1352" s="8" t="str">
        <f t="shared" si="99"/>
        <v>9571785967</v>
      </c>
      <c r="F1352" s="8" t="s">
        <v>1765</v>
      </c>
      <c r="G1352" s="6">
        <v>-142.51</v>
      </c>
      <c r="H1352" s="8">
        <v>20250301</v>
      </c>
      <c r="I1352" s="8" t="str">
        <f t="shared" si="100"/>
        <v>3/1/2025</v>
      </c>
      <c r="J1352" s="8">
        <v>20240701</v>
      </c>
      <c r="K1352" s="8" t="str">
        <f t="shared" si="101"/>
        <v>7/1/2024</v>
      </c>
      <c r="L1352" s="8" t="s">
        <v>398</v>
      </c>
      <c r="M1352" s="8">
        <v>0.1</v>
      </c>
      <c r="N1352" s="8">
        <v>-14.25</v>
      </c>
      <c r="O1352" s="6" t="s">
        <v>3942</v>
      </c>
    </row>
    <row r="1353" spans="1:15" ht="15" customHeight="1" x14ac:dyDescent="0.2">
      <c r="A1353" s="7" t="s">
        <v>3900</v>
      </c>
      <c r="B1353" s="7">
        <v>8244481</v>
      </c>
      <c r="D1353" s="8">
        <v>957182209</v>
      </c>
      <c r="E1353" s="8" t="str">
        <f t="shared" ref="E1353:E1374" si="102">CONCATENATE(D1353,9)</f>
        <v>9571822099</v>
      </c>
      <c r="F1353" s="8" t="s">
        <v>1788</v>
      </c>
      <c r="G1353" s="8">
        <v>109.42</v>
      </c>
      <c r="H1353" s="8">
        <v>20250401</v>
      </c>
      <c r="I1353" s="8" t="str">
        <f t="shared" si="100"/>
        <v>4/1/2025</v>
      </c>
      <c r="J1353" s="8">
        <v>20240901</v>
      </c>
      <c r="K1353" s="8" t="str">
        <f t="shared" si="101"/>
        <v>9/1/2024</v>
      </c>
      <c r="L1353" s="8" t="s">
        <v>980</v>
      </c>
      <c r="M1353" s="8">
        <v>0.18</v>
      </c>
      <c r="N1353" s="8">
        <v>19.7</v>
      </c>
      <c r="O1353" s="6" t="s">
        <v>3944</v>
      </c>
    </row>
    <row r="1354" spans="1:15" ht="15" customHeight="1" x14ac:dyDescent="0.2">
      <c r="A1354" s="7" t="s">
        <v>3900</v>
      </c>
      <c r="B1354" s="7">
        <v>8244481</v>
      </c>
      <c r="D1354" s="8">
        <v>957188880</v>
      </c>
      <c r="E1354" s="8" t="str">
        <f t="shared" si="102"/>
        <v>9571888809</v>
      </c>
      <c r="F1354" s="8" t="s">
        <v>1820</v>
      </c>
      <c r="G1354" s="8">
        <v>111.91</v>
      </c>
      <c r="H1354" s="8">
        <v>20250301</v>
      </c>
      <c r="I1354" s="8" t="str">
        <f t="shared" si="100"/>
        <v>3/1/2025</v>
      </c>
      <c r="J1354" s="8">
        <v>20241101</v>
      </c>
      <c r="K1354" s="8" t="str">
        <f t="shared" si="101"/>
        <v>11/1/2024</v>
      </c>
      <c r="L1354" s="8" t="s">
        <v>980</v>
      </c>
      <c r="M1354" s="8">
        <v>0.18</v>
      </c>
      <c r="N1354" s="8">
        <v>20.14</v>
      </c>
      <c r="O1354" s="6" t="s">
        <v>3944</v>
      </c>
    </row>
    <row r="1355" spans="1:15" ht="15" customHeight="1" x14ac:dyDescent="0.2">
      <c r="A1355" s="7" t="s">
        <v>3900</v>
      </c>
      <c r="B1355" s="7">
        <v>8244481</v>
      </c>
      <c r="D1355" s="8">
        <v>957203747</v>
      </c>
      <c r="E1355" s="8" t="str">
        <f t="shared" si="102"/>
        <v>9572037479</v>
      </c>
      <c r="F1355" s="8" t="s">
        <v>1852</v>
      </c>
      <c r="G1355" s="8">
        <v>115.08</v>
      </c>
      <c r="H1355" s="8">
        <v>20250401</v>
      </c>
      <c r="I1355" s="8" t="str">
        <f t="shared" si="100"/>
        <v>4/1/2025</v>
      </c>
      <c r="J1355" s="8">
        <v>20250101</v>
      </c>
      <c r="K1355" s="8" t="str">
        <f t="shared" si="101"/>
        <v>1/1/2025</v>
      </c>
      <c r="L1355" s="8" t="s">
        <v>980</v>
      </c>
      <c r="M1355" s="8">
        <v>0.18</v>
      </c>
      <c r="N1355" s="8">
        <v>20.71</v>
      </c>
      <c r="O1355" s="6" t="s">
        <v>3944</v>
      </c>
    </row>
    <row r="1356" spans="1:15" ht="15" customHeight="1" x14ac:dyDescent="0.2">
      <c r="A1356" s="7" t="s">
        <v>3900</v>
      </c>
      <c r="B1356" s="7">
        <v>8244481</v>
      </c>
      <c r="D1356" s="8">
        <v>957177321</v>
      </c>
      <c r="E1356" s="8" t="str">
        <f t="shared" si="102"/>
        <v>9571773219</v>
      </c>
      <c r="F1356" s="8" t="s">
        <v>1756</v>
      </c>
      <c r="G1356" s="8">
        <v>115.64</v>
      </c>
      <c r="H1356" s="8">
        <v>20250401</v>
      </c>
      <c r="I1356" s="8" t="str">
        <f t="shared" si="100"/>
        <v>4/1/2025</v>
      </c>
      <c r="J1356" s="8">
        <v>20240701</v>
      </c>
      <c r="K1356" s="8" t="str">
        <f t="shared" si="101"/>
        <v>7/1/2024</v>
      </c>
      <c r="L1356" s="8" t="s">
        <v>980</v>
      </c>
      <c r="M1356" s="8">
        <v>0.18</v>
      </c>
      <c r="N1356" s="8">
        <v>20.82</v>
      </c>
      <c r="O1356" s="6" t="s">
        <v>3944</v>
      </c>
    </row>
    <row r="1357" spans="1:15" ht="15" customHeight="1" x14ac:dyDescent="0.2">
      <c r="A1357" s="7" t="s">
        <v>3900</v>
      </c>
      <c r="B1357" s="7">
        <v>8244481</v>
      </c>
      <c r="D1357" s="8">
        <v>957182178</v>
      </c>
      <c r="E1357" s="8" t="str">
        <f t="shared" si="102"/>
        <v>9571821789</v>
      </c>
      <c r="F1357" s="8" t="s">
        <v>1786</v>
      </c>
      <c r="G1357" s="8">
        <v>115.64</v>
      </c>
      <c r="H1357" s="8">
        <v>20250401</v>
      </c>
      <c r="I1357" s="8" t="str">
        <f t="shared" si="100"/>
        <v>4/1/2025</v>
      </c>
      <c r="J1357" s="8">
        <v>20241001</v>
      </c>
      <c r="K1357" s="8" t="str">
        <f t="shared" si="101"/>
        <v>10/1/2024</v>
      </c>
      <c r="L1357" s="8" t="s">
        <v>980</v>
      </c>
      <c r="M1357" s="8">
        <v>0.18</v>
      </c>
      <c r="N1357" s="8">
        <v>20.82</v>
      </c>
      <c r="O1357" s="6" t="s">
        <v>3944</v>
      </c>
    </row>
    <row r="1358" spans="1:15" ht="15" customHeight="1" x14ac:dyDescent="0.2">
      <c r="A1358" s="7" t="s">
        <v>3900</v>
      </c>
      <c r="B1358" s="7">
        <v>8244481</v>
      </c>
      <c r="D1358" s="8">
        <v>957184011</v>
      </c>
      <c r="E1358" s="8" t="str">
        <f t="shared" si="102"/>
        <v>9571840119</v>
      </c>
      <c r="F1358" s="8" t="s">
        <v>1792</v>
      </c>
      <c r="G1358" s="8">
        <v>115.64</v>
      </c>
      <c r="H1358" s="8">
        <v>20250322</v>
      </c>
      <c r="I1358" s="8" t="str">
        <f t="shared" si="100"/>
        <v>3/22/2025</v>
      </c>
      <c r="J1358" s="8">
        <v>20241122</v>
      </c>
      <c r="K1358" s="8" t="str">
        <f t="shared" si="101"/>
        <v>11/22/2024</v>
      </c>
      <c r="L1358" s="8" t="s">
        <v>980</v>
      </c>
      <c r="M1358" s="8">
        <v>0.18</v>
      </c>
      <c r="N1358" s="8">
        <v>20.82</v>
      </c>
      <c r="O1358" s="6" t="s">
        <v>3944</v>
      </c>
    </row>
    <row r="1359" spans="1:15" ht="15" customHeight="1" x14ac:dyDescent="0.2">
      <c r="A1359" s="7" t="s">
        <v>3900</v>
      </c>
      <c r="B1359" s="7">
        <v>8244481</v>
      </c>
      <c r="D1359" s="8">
        <v>957188567</v>
      </c>
      <c r="E1359" s="8" t="str">
        <f t="shared" si="102"/>
        <v>9571885679</v>
      </c>
      <c r="F1359" s="8" t="s">
        <v>1818</v>
      </c>
      <c r="G1359" s="8">
        <v>115.64</v>
      </c>
      <c r="H1359" s="8">
        <v>20250401</v>
      </c>
      <c r="I1359" s="8" t="str">
        <f t="shared" si="100"/>
        <v>4/1/2025</v>
      </c>
      <c r="J1359" s="8">
        <v>20241201</v>
      </c>
      <c r="K1359" s="8" t="str">
        <f t="shared" si="101"/>
        <v>12/1/2024</v>
      </c>
      <c r="L1359" s="8" t="s">
        <v>980</v>
      </c>
      <c r="M1359" s="8">
        <v>0.18</v>
      </c>
      <c r="N1359" s="8">
        <v>20.82</v>
      </c>
      <c r="O1359" s="6" t="s">
        <v>3944</v>
      </c>
    </row>
    <row r="1360" spans="1:15" ht="15" customHeight="1" x14ac:dyDescent="0.2">
      <c r="A1360" s="7" t="s">
        <v>3900</v>
      </c>
      <c r="B1360" s="7">
        <v>8244481</v>
      </c>
      <c r="D1360" s="8">
        <v>957189937</v>
      </c>
      <c r="E1360" s="8" t="str">
        <f t="shared" si="102"/>
        <v>9571899379</v>
      </c>
      <c r="F1360" s="8" t="s">
        <v>1828</v>
      </c>
      <c r="G1360" s="8">
        <v>115.64</v>
      </c>
      <c r="H1360" s="8">
        <v>20250401</v>
      </c>
      <c r="I1360" s="8" t="str">
        <f t="shared" si="100"/>
        <v>4/1/2025</v>
      </c>
      <c r="J1360" s="8">
        <v>20241101</v>
      </c>
      <c r="K1360" s="8" t="str">
        <f t="shared" si="101"/>
        <v>11/1/2024</v>
      </c>
      <c r="L1360" s="8" t="s">
        <v>980</v>
      </c>
      <c r="M1360" s="8">
        <v>0.18</v>
      </c>
      <c r="N1360" s="8">
        <v>20.82</v>
      </c>
      <c r="O1360" s="6" t="s">
        <v>3944</v>
      </c>
    </row>
    <row r="1361" spans="1:15" ht="15" customHeight="1" x14ac:dyDescent="0.2">
      <c r="A1361" s="7" t="s">
        <v>3900</v>
      </c>
      <c r="B1361" s="7">
        <v>8244481</v>
      </c>
      <c r="D1361" s="8">
        <v>957203744</v>
      </c>
      <c r="E1361" s="8" t="str">
        <f t="shared" si="102"/>
        <v>9572037449</v>
      </c>
      <c r="F1361" s="8" t="s">
        <v>1848</v>
      </c>
      <c r="G1361" s="8">
        <v>125.77</v>
      </c>
      <c r="H1361" s="8">
        <v>20250401</v>
      </c>
      <c r="I1361" s="8" t="str">
        <f t="shared" si="100"/>
        <v>4/1/2025</v>
      </c>
      <c r="J1361" s="8">
        <v>20250101</v>
      </c>
      <c r="K1361" s="8" t="str">
        <f t="shared" si="101"/>
        <v>1/1/2025</v>
      </c>
      <c r="L1361" s="8" t="s">
        <v>980</v>
      </c>
      <c r="M1361" s="8">
        <v>0.18</v>
      </c>
      <c r="N1361" s="8">
        <v>22.64</v>
      </c>
      <c r="O1361" s="6" t="s">
        <v>3944</v>
      </c>
    </row>
    <row r="1362" spans="1:15" ht="15" customHeight="1" x14ac:dyDescent="0.2">
      <c r="A1362" s="7" t="s">
        <v>3900</v>
      </c>
      <c r="B1362" s="7">
        <v>8244481</v>
      </c>
      <c r="D1362" s="8">
        <v>957000455</v>
      </c>
      <c r="E1362" s="8" t="str">
        <f t="shared" si="102"/>
        <v>9570004559</v>
      </c>
      <c r="F1362" s="8" t="s">
        <v>1748</v>
      </c>
      <c r="G1362" s="8">
        <v>128.29</v>
      </c>
      <c r="H1362" s="8">
        <v>20250301</v>
      </c>
      <c r="I1362" s="8" t="str">
        <f t="shared" si="100"/>
        <v>3/1/2025</v>
      </c>
      <c r="J1362" s="8">
        <v>20241101</v>
      </c>
      <c r="K1362" s="8" t="str">
        <f t="shared" si="101"/>
        <v>11/1/2024</v>
      </c>
      <c r="L1362" s="8" t="s">
        <v>980</v>
      </c>
      <c r="M1362" s="8">
        <v>0.18</v>
      </c>
      <c r="N1362" s="8">
        <v>23.09</v>
      </c>
      <c r="O1362" s="6" t="s">
        <v>3944</v>
      </c>
    </row>
    <row r="1363" spans="1:15" ht="15" customHeight="1" x14ac:dyDescent="0.2">
      <c r="A1363" s="7" t="s">
        <v>3900</v>
      </c>
      <c r="B1363" s="7">
        <v>8244481</v>
      </c>
      <c r="D1363" s="8">
        <v>957179555</v>
      </c>
      <c r="E1363" s="8" t="str">
        <f t="shared" si="102"/>
        <v>9571795559</v>
      </c>
      <c r="F1363" s="8" t="s">
        <v>1774</v>
      </c>
      <c r="G1363" s="8">
        <v>132.91999999999999</v>
      </c>
      <c r="H1363" s="8">
        <v>20250401</v>
      </c>
      <c r="I1363" s="8" t="str">
        <f t="shared" si="100"/>
        <v>4/1/2025</v>
      </c>
      <c r="J1363" s="8">
        <v>20240801</v>
      </c>
      <c r="K1363" s="8" t="str">
        <f t="shared" si="101"/>
        <v>8/1/2024</v>
      </c>
      <c r="L1363" s="8" t="s">
        <v>980</v>
      </c>
      <c r="M1363" s="8">
        <v>0.18</v>
      </c>
      <c r="N1363" s="8">
        <v>23.93</v>
      </c>
      <c r="O1363" s="6" t="s">
        <v>3944</v>
      </c>
    </row>
    <row r="1364" spans="1:15" ht="15" customHeight="1" x14ac:dyDescent="0.2">
      <c r="A1364" s="7" t="s">
        <v>3900</v>
      </c>
      <c r="B1364" s="7">
        <v>8244481</v>
      </c>
      <c r="D1364" s="8">
        <v>957200943</v>
      </c>
      <c r="E1364" s="8" t="str">
        <f t="shared" si="102"/>
        <v>9572009439</v>
      </c>
      <c r="F1364" s="8" t="s">
        <v>1838</v>
      </c>
      <c r="G1364" s="8">
        <v>132.91999999999999</v>
      </c>
      <c r="H1364" s="8">
        <v>20250301</v>
      </c>
      <c r="I1364" s="8" t="str">
        <f t="shared" si="100"/>
        <v>3/1/2025</v>
      </c>
      <c r="J1364" s="8">
        <v>20250101</v>
      </c>
      <c r="K1364" s="8" t="str">
        <f t="shared" si="101"/>
        <v>1/1/2025</v>
      </c>
      <c r="L1364" s="8" t="s">
        <v>980</v>
      </c>
      <c r="M1364" s="8">
        <v>0.18</v>
      </c>
      <c r="N1364" s="8">
        <v>23.93</v>
      </c>
      <c r="O1364" s="6" t="s">
        <v>3944</v>
      </c>
    </row>
    <row r="1365" spans="1:15" ht="15" customHeight="1" x14ac:dyDescent="0.2">
      <c r="A1365" s="7" t="s">
        <v>3900</v>
      </c>
      <c r="B1365" s="7">
        <v>8244481</v>
      </c>
      <c r="D1365" s="8">
        <v>957186612</v>
      </c>
      <c r="E1365" s="8" t="str">
        <f t="shared" si="102"/>
        <v>9571866129</v>
      </c>
      <c r="F1365" s="8" t="s">
        <v>1810</v>
      </c>
      <c r="G1365" s="8">
        <v>138.28</v>
      </c>
      <c r="H1365" s="8">
        <v>20250301</v>
      </c>
      <c r="I1365" s="8" t="str">
        <f t="shared" si="100"/>
        <v>3/1/2025</v>
      </c>
      <c r="J1365" s="8">
        <v>20241101</v>
      </c>
      <c r="K1365" s="8" t="str">
        <f t="shared" si="101"/>
        <v>11/1/2024</v>
      </c>
      <c r="L1365" s="8" t="s">
        <v>980</v>
      </c>
      <c r="M1365" s="8">
        <v>0.18</v>
      </c>
      <c r="N1365" s="8">
        <v>24.89</v>
      </c>
      <c r="O1365" s="6" t="s">
        <v>3944</v>
      </c>
    </row>
    <row r="1366" spans="1:15" ht="15" customHeight="1" x14ac:dyDescent="0.2">
      <c r="A1366" s="7" t="s">
        <v>3900</v>
      </c>
      <c r="B1366" s="7">
        <v>8244481</v>
      </c>
      <c r="D1366" s="8">
        <v>957187822</v>
      </c>
      <c r="E1366" s="8" t="str">
        <f t="shared" si="102"/>
        <v>9571878229</v>
      </c>
      <c r="F1366" s="8" t="s">
        <v>1814</v>
      </c>
      <c r="G1366" s="8">
        <v>142.91999999999999</v>
      </c>
      <c r="H1366" s="8">
        <v>20250301</v>
      </c>
      <c r="I1366" s="8" t="str">
        <f t="shared" si="100"/>
        <v>3/1/2025</v>
      </c>
      <c r="J1366" s="8">
        <v>20250101</v>
      </c>
      <c r="K1366" s="8" t="str">
        <f t="shared" si="101"/>
        <v>1/1/2025</v>
      </c>
      <c r="L1366" s="8" t="s">
        <v>980</v>
      </c>
      <c r="M1366" s="8">
        <v>0.18</v>
      </c>
      <c r="N1366" s="8">
        <v>25.73</v>
      </c>
      <c r="O1366" s="6" t="s">
        <v>3944</v>
      </c>
    </row>
    <row r="1367" spans="1:15" ht="15" customHeight="1" x14ac:dyDescent="0.2">
      <c r="A1367" s="7" t="s">
        <v>3900</v>
      </c>
      <c r="B1367" s="7">
        <v>8244481</v>
      </c>
      <c r="D1367" s="8">
        <v>957180047</v>
      </c>
      <c r="E1367" s="8" t="str">
        <f t="shared" si="102"/>
        <v>9571800479</v>
      </c>
      <c r="F1367" s="8" t="s">
        <v>1778</v>
      </c>
      <c r="G1367" s="8">
        <v>148.4</v>
      </c>
      <c r="H1367" s="8">
        <v>20250301</v>
      </c>
      <c r="I1367" s="8" t="str">
        <f t="shared" si="100"/>
        <v>3/1/2025</v>
      </c>
      <c r="J1367" s="8">
        <v>20240801</v>
      </c>
      <c r="K1367" s="8" t="str">
        <f t="shared" si="101"/>
        <v>8/1/2024</v>
      </c>
      <c r="L1367" s="8" t="s">
        <v>980</v>
      </c>
      <c r="M1367" s="8">
        <v>0.18</v>
      </c>
      <c r="N1367" s="8">
        <v>26.71</v>
      </c>
      <c r="O1367" s="6" t="s">
        <v>3944</v>
      </c>
    </row>
    <row r="1368" spans="1:15" ht="15" customHeight="1" x14ac:dyDescent="0.2">
      <c r="A1368" s="7" t="s">
        <v>3900</v>
      </c>
      <c r="B1368" s="7">
        <v>8244481</v>
      </c>
      <c r="D1368" s="8">
        <v>957197855</v>
      </c>
      <c r="E1368" s="8" t="str">
        <f t="shared" si="102"/>
        <v>9571978559</v>
      </c>
      <c r="F1368" s="8" t="s">
        <v>1834</v>
      </c>
      <c r="G1368" s="8">
        <v>153.63999999999999</v>
      </c>
      <c r="H1368" s="8">
        <v>20250301</v>
      </c>
      <c r="I1368" s="8" t="str">
        <f t="shared" si="100"/>
        <v>3/1/2025</v>
      </c>
      <c r="J1368" s="8">
        <v>20250101</v>
      </c>
      <c r="K1368" s="8" t="str">
        <f t="shared" si="101"/>
        <v>1/1/2025</v>
      </c>
      <c r="L1368" s="8" t="s">
        <v>980</v>
      </c>
      <c r="M1368" s="8">
        <v>0.18</v>
      </c>
      <c r="N1368" s="8">
        <v>27.66</v>
      </c>
      <c r="O1368" s="6" t="s">
        <v>3944</v>
      </c>
    </row>
    <row r="1369" spans="1:15" ht="15" customHeight="1" x14ac:dyDescent="0.2">
      <c r="A1369" s="7" t="s">
        <v>3900</v>
      </c>
      <c r="B1369" s="7">
        <v>8244481</v>
      </c>
      <c r="D1369" s="8">
        <v>957201955</v>
      </c>
      <c r="E1369" s="8" t="str">
        <f t="shared" si="102"/>
        <v>9572019559</v>
      </c>
      <c r="F1369" s="8" t="s">
        <v>1844</v>
      </c>
      <c r="G1369" s="8">
        <v>167.55</v>
      </c>
      <c r="H1369" s="8">
        <v>20250301</v>
      </c>
      <c r="I1369" s="8" t="str">
        <f t="shared" si="100"/>
        <v>3/1/2025</v>
      </c>
      <c r="J1369" s="8">
        <v>20250101</v>
      </c>
      <c r="K1369" s="8" t="str">
        <f t="shared" si="101"/>
        <v>1/1/2025</v>
      </c>
      <c r="L1369" s="8" t="s">
        <v>980</v>
      </c>
      <c r="M1369" s="8">
        <v>0.18</v>
      </c>
      <c r="N1369" s="8">
        <v>30.16</v>
      </c>
      <c r="O1369" s="6" t="s">
        <v>3944</v>
      </c>
    </row>
    <row r="1370" spans="1:15" ht="15" customHeight="1" x14ac:dyDescent="0.2">
      <c r="A1370" s="7" t="s">
        <v>3900</v>
      </c>
      <c r="B1370" s="7">
        <v>8244481</v>
      </c>
      <c r="D1370" s="8">
        <v>957186610</v>
      </c>
      <c r="E1370" s="8" t="str">
        <f t="shared" si="102"/>
        <v>9571866109</v>
      </c>
      <c r="F1370" s="8" t="s">
        <v>1806</v>
      </c>
      <c r="G1370" s="8">
        <v>174.46</v>
      </c>
      <c r="H1370" s="8">
        <v>20250301</v>
      </c>
      <c r="I1370" s="8" t="str">
        <f t="shared" si="100"/>
        <v>3/1/2025</v>
      </c>
      <c r="J1370" s="8">
        <v>20241101</v>
      </c>
      <c r="K1370" s="8" t="str">
        <f t="shared" si="101"/>
        <v>11/1/2024</v>
      </c>
      <c r="L1370" s="8" t="s">
        <v>980</v>
      </c>
      <c r="M1370" s="8">
        <v>0.18</v>
      </c>
      <c r="N1370" s="8">
        <v>31.4</v>
      </c>
      <c r="O1370" s="6" t="s">
        <v>3944</v>
      </c>
    </row>
    <row r="1371" spans="1:15" ht="15" customHeight="1" x14ac:dyDescent="0.2">
      <c r="A1371" s="7" t="s">
        <v>3900</v>
      </c>
      <c r="B1371" s="7">
        <v>8244481</v>
      </c>
      <c r="D1371" s="8">
        <v>957186310</v>
      </c>
      <c r="E1371" s="8" t="str">
        <f t="shared" si="102"/>
        <v>9571863109</v>
      </c>
      <c r="F1371" s="8" t="s">
        <v>1798</v>
      </c>
      <c r="G1371" s="8">
        <v>176.59</v>
      </c>
      <c r="H1371" s="8">
        <v>20250401</v>
      </c>
      <c r="I1371" s="8" t="str">
        <f t="shared" si="100"/>
        <v>4/1/2025</v>
      </c>
      <c r="J1371" s="8">
        <v>20241101</v>
      </c>
      <c r="K1371" s="8" t="str">
        <f t="shared" si="101"/>
        <v>11/1/2024</v>
      </c>
      <c r="L1371" s="8" t="s">
        <v>980</v>
      </c>
      <c r="M1371" s="8">
        <v>0.18</v>
      </c>
      <c r="N1371" s="8">
        <v>31.79</v>
      </c>
      <c r="O1371" s="6" t="s">
        <v>3944</v>
      </c>
    </row>
    <row r="1372" spans="1:15" ht="15" customHeight="1" x14ac:dyDescent="0.2">
      <c r="A1372" s="7" t="s">
        <v>3900</v>
      </c>
      <c r="B1372" s="7">
        <v>8244481</v>
      </c>
      <c r="D1372" s="8">
        <v>957180048</v>
      </c>
      <c r="E1372" s="8" t="str">
        <f t="shared" si="102"/>
        <v>9571800489</v>
      </c>
      <c r="F1372" s="8" t="s">
        <v>1782</v>
      </c>
      <c r="G1372" s="8">
        <v>177.81</v>
      </c>
      <c r="H1372" s="8">
        <v>20250301</v>
      </c>
      <c r="I1372" s="8" t="str">
        <f t="shared" si="100"/>
        <v>3/1/2025</v>
      </c>
      <c r="J1372" s="8">
        <v>20240801</v>
      </c>
      <c r="K1372" s="8" t="str">
        <f t="shared" si="101"/>
        <v>8/1/2024</v>
      </c>
      <c r="L1372" s="8" t="s">
        <v>980</v>
      </c>
      <c r="M1372" s="8">
        <v>0.18</v>
      </c>
      <c r="N1372" s="8">
        <v>32.01</v>
      </c>
      <c r="O1372" s="6" t="s">
        <v>3944</v>
      </c>
    </row>
    <row r="1373" spans="1:15" ht="15" customHeight="1" x14ac:dyDescent="0.2">
      <c r="A1373" s="7" t="s">
        <v>3900</v>
      </c>
      <c r="B1373" s="7">
        <v>8244481</v>
      </c>
      <c r="D1373" s="8">
        <v>957126566</v>
      </c>
      <c r="E1373" s="8" t="str">
        <f t="shared" si="102"/>
        <v>9571265669</v>
      </c>
      <c r="F1373" s="8" t="s">
        <v>1752</v>
      </c>
      <c r="G1373" s="8">
        <v>190.08</v>
      </c>
      <c r="H1373" s="8">
        <v>20250301</v>
      </c>
      <c r="I1373" s="8" t="str">
        <f t="shared" si="100"/>
        <v>3/1/2025</v>
      </c>
      <c r="J1373" s="8">
        <v>20241101</v>
      </c>
      <c r="K1373" s="8" t="str">
        <f t="shared" si="101"/>
        <v>11/1/2024</v>
      </c>
      <c r="L1373" s="8" t="s">
        <v>980</v>
      </c>
      <c r="M1373" s="8">
        <v>0.18</v>
      </c>
      <c r="N1373" s="8">
        <v>34.21</v>
      </c>
      <c r="O1373" s="6" t="s">
        <v>3944</v>
      </c>
    </row>
    <row r="1374" spans="1:15" ht="15" customHeight="1" x14ac:dyDescent="0.2">
      <c r="A1374" s="7" t="s">
        <v>3900</v>
      </c>
      <c r="B1374" s="7">
        <v>8244481</v>
      </c>
      <c r="D1374" s="8">
        <v>957201150</v>
      </c>
      <c r="E1374" s="8" t="str">
        <f t="shared" si="102"/>
        <v>9572011509</v>
      </c>
      <c r="F1374" s="8" t="s">
        <v>1840</v>
      </c>
      <c r="G1374" s="8">
        <v>239.84</v>
      </c>
      <c r="H1374" s="8">
        <v>20250301</v>
      </c>
      <c r="I1374" s="8" t="str">
        <f t="shared" si="100"/>
        <v>3/1/2025</v>
      </c>
      <c r="J1374" s="8">
        <v>20250101</v>
      </c>
      <c r="K1374" s="8" t="str">
        <f t="shared" si="101"/>
        <v>1/1/2025</v>
      </c>
      <c r="L1374" s="8" t="s">
        <v>980</v>
      </c>
      <c r="M1374" s="8">
        <v>0.18</v>
      </c>
      <c r="N1374" s="8">
        <v>43.17</v>
      </c>
      <c r="O1374" s="6" t="s">
        <v>3944</v>
      </c>
    </row>
    <row r="1375" spans="1:15" ht="15" customHeight="1" x14ac:dyDescent="0.2">
      <c r="A1375" s="7" t="s">
        <v>3900</v>
      </c>
      <c r="B1375" s="7">
        <v>8244481</v>
      </c>
      <c r="D1375" s="8">
        <v>957177416</v>
      </c>
      <c r="E1375" s="8" t="str">
        <f>CONCATENATE(D1375,0)</f>
        <v>9571774160</v>
      </c>
      <c r="F1375" s="8" t="s">
        <v>1760</v>
      </c>
      <c r="G1375" s="8">
        <v>276.75</v>
      </c>
      <c r="H1375" s="8">
        <v>20250301</v>
      </c>
      <c r="I1375" s="8" t="str">
        <f t="shared" si="100"/>
        <v>3/1/2025</v>
      </c>
      <c r="J1375" s="8">
        <v>20240701</v>
      </c>
      <c r="K1375" s="8" t="str">
        <f t="shared" si="101"/>
        <v>7/1/2024</v>
      </c>
      <c r="L1375" s="8" t="s">
        <v>959</v>
      </c>
      <c r="M1375" s="8">
        <v>0.09</v>
      </c>
      <c r="N1375" s="8">
        <v>24.91</v>
      </c>
      <c r="O1375" s="12" t="s">
        <v>3941</v>
      </c>
    </row>
    <row r="1376" spans="1:15" ht="15" customHeight="1" x14ac:dyDescent="0.2">
      <c r="A1376" s="7" t="s">
        <v>3926</v>
      </c>
      <c r="B1376" s="7">
        <v>8405446</v>
      </c>
      <c r="D1376" s="8">
        <v>957205263</v>
      </c>
      <c r="E1376" s="8" t="str">
        <f>CONCATENATE(D1376,1)</f>
        <v>9572052631</v>
      </c>
      <c r="F1376" s="8" t="s">
        <v>3466</v>
      </c>
      <c r="G1376" s="8">
        <v>70.010000000000005</v>
      </c>
      <c r="H1376" s="8">
        <v>20250301</v>
      </c>
      <c r="I1376" s="8" t="str">
        <f t="shared" si="100"/>
        <v>3/1/2025</v>
      </c>
      <c r="J1376" s="8">
        <v>20250201</v>
      </c>
      <c r="K1376" s="8" t="str">
        <f t="shared" si="101"/>
        <v>2/1/2025</v>
      </c>
      <c r="L1376" s="8" t="s">
        <v>398</v>
      </c>
      <c r="M1376" s="8">
        <v>0.125</v>
      </c>
      <c r="N1376" s="8">
        <v>8.75</v>
      </c>
      <c r="O1376" s="6" t="s">
        <v>3943</v>
      </c>
    </row>
    <row r="1377" spans="1:36" ht="15" customHeight="1" x14ac:dyDescent="0.2">
      <c r="A1377" s="7" t="s">
        <v>3926</v>
      </c>
      <c r="B1377" s="7">
        <v>8405446</v>
      </c>
      <c r="C1377" s="8">
        <v>1</v>
      </c>
      <c r="D1377" s="8">
        <v>921778632</v>
      </c>
      <c r="E1377" s="8" t="str">
        <f>CONCATENATE(D1377,22)</f>
        <v>92177863222</v>
      </c>
      <c r="F1377" s="8" t="s">
        <v>3464</v>
      </c>
      <c r="G1377" s="8">
        <v>1</v>
      </c>
      <c r="H1377" s="8">
        <v>20250401</v>
      </c>
      <c r="I1377" s="8" t="str">
        <f t="shared" si="100"/>
        <v>4/1/2025</v>
      </c>
      <c r="J1377" s="8">
        <v>20250301</v>
      </c>
      <c r="K1377" s="8" t="str">
        <f t="shared" si="101"/>
        <v>3/1/2025</v>
      </c>
      <c r="L1377" s="8" t="s">
        <v>56</v>
      </c>
      <c r="M1377" s="8">
        <v>25</v>
      </c>
      <c r="N1377" s="8">
        <v>25</v>
      </c>
      <c r="O1377" s="6" t="s">
        <v>3947</v>
      </c>
    </row>
    <row r="1378" spans="1:36" ht="15" customHeight="1" x14ac:dyDescent="0.3">
      <c r="A1378" s="7" t="s">
        <v>3926</v>
      </c>
      <c r="B1378" s="7">
        <v>8405446</v>
      </c>
      <c r="C1378" s="8">
        <v>1</v>
      </c>
      <c r="D1378" s="8">
        <v>920939671</v>
      </c>
      <c r="E1378" s="8" t="str">
        <f>CONCATENATE(D1378,44)</f>
        <v>92093967144</v>
      </c>
      <c r="F1378" s="8" t="s">
        <v>3458</v>
      </c>
      <c r="G1378" s="8">
        <v>1</v>
      </c>
      <c r="H1378" s="8">
        <v>20250401</v>
      </c>
      <c r="I1378" s="8" t="str">
        <f t="shared" si="100"/>
        <v>4/1/2025</v>
      </c>
      <c r="J1378" s="8">
        <v>20190101</v>
      </c>
      <c r="K1378" s="8" t="str">
        <f t="shared" si="101"/>
        <v>1/1/2019</v>
      </c>
      <c r="L1378" s="8" t="s">
        <v>65</v>
      </c>
      <c r="M1378" s="8">
        <v>25</v>
      </c>
      <c r="N1378" s="8">
        <v>25</v>
      </c>
      <c r="O1378" s="14" t="s">
        <v>3948</v>
      </c>
    </row>
    <row r="1379" spans="1:36" ht="15" customHeight="1" x14ac:dyDescent="0.3">
      <c r="A1379" s="7" t="s">
        <v>3926</v>
      </c>
      <c r="B1379" s="7">
        <v>8405446</v>
      </c>
      <c r="C1379" s="8">
        <v>2</v>
      </c>
      <c r="D1379" s="8">
        <v>921095680</v>
      </c>
      <c r="E1379" s="8" t="str">
        <f>CONCATENATE(D1379,44)</f>
        <v>92109568044</v>
      </c>
      <c r="F1379" s="8" t="s">
        <v>3460</v>
      </c>
      <c r="G1379" s="8">
        <v>1</v>
      </c>
      <c r="H1379" s="8">
        <v>20250401</v>
      </c>
      <c r="I1379" s="8" t="str">
        <f t="shared" si="100"/>
        <v>4/1/2025</v>
      </c>
      <c r="J1379" s="8">
        <v>20210601</v>
      </c>
      <c r="K1379" s="8" t="str">
        <f t="shared" si="101"/>
        <v>6/1/2021</v>
      </c>
      <c r="L1379" s="8" t="s">
        <v>65</v>
      </c>
      <c r="M1379" s="8">
        <v>25</v>
      </c>
      <c r="N1379" s="8">
        <v>50</v>
      </c>
      <c r="O1379" s="14" t="s">
        <v>3948</v>
      </c>
      <c r="P1379" s="6" t="s">
        <v>3952</v>
      </c>
    </row>
    <row r="1380" spans="1:36" ht="15" customHeight="1" x14ac:dyDescent="0.3">
      <c r="A1380" s="7" t="s">
        <v>3926</v>
      </c>
      <c r="B1380" s="7">
        <v>8405446</v>
      </c>
      <c r="C1380" s="8">
        <v>2</v>
      </c>
      <c r="D1380" s="8">
        <v>921555974</v>
      </c>
      <c r="E1380" s="8" t="str">
        <f>CONCATENATE(D1380,44)</f>
        <v>92155597444</v>
      </c>
      <c r="F1380" s="8" t="s">
        <v>3462</v>
      </c>
      <c r="G1380" s="8">
        <v>1</v>
      </c>
      <c r="H1380" s="8">
        <v>20250401</v>
      </c>
      <c r="I1380" s="8" t="str">
        <f t="shared" si="100"/>
        <v>4/1/2025</v>
      </c>
      <c r="J1380" s="8">
        <v>20210201</v>
      </c>
      <c r="K1380" s="8" t="str">
        <f t="shared" si="101"/>
        <v>2/1/2021</v>
      </c>
      <c r="L1380" s="8" t="s">
        <v>65</v>
      </c>
      <c r="M1380" s="8">
        <v>25</v>
      </c>
      <c r="N1380" s="8">
        <v>50</v>
      </c>
      <c r="O1380" s="14" t="s">
        <v>3948</v>
      </c>
      <c r="P1380" s="6" t="s">
        <v>3952</v>
      </c>
    </row>
    <row r="1381" spans="1:36" ht="15" customHeight="1" x14ac:dyDescent="0.2">
      <c r="A1381" s="10" t="s">
        <v>3914</v>
      </c>
      <c r="B1381" s="10">
        <v>16983460</v>
      </c>
      <c r="C1381" s="11">
        <v>2</v>
      </c>
      <c r="D1381" s="11">
        <v>921774585</v>
      </c>
      <c r="E1381" s="8" t="str">
        <f>CONCATENATE(D1381,22)</f>
        <v>92177458522</v>
      </c>
      <c r="F1381" s="11" t="s">
        <v>2936</v>
      </c>
      <c r="G1381" s="8">
        <v>1</v>
      </c>
      <c r="H1381" s="11">
        <v>20250401</v>
      </c>
      <c r="I1381" s="8" t="str">
        <f t="shared" si="100"/>
        <v>4/1/2025</v>
      </c>
      <c r="J1381" s="11">
        <v>20250201</v>
      </c>
      <c r="K1381" s="8" t="str">
        <f t="shared" si="101"/>
        <v>2/1/2025</v>
      </c>
      <c r="L1381" s="11" t="s">
        <v>56</v>
      </c>
      <c r="M1381" s="11">
        <v>25</v>
      </c>
      <c r="N1381" s="11">
        <v>50</v>
      </c>
      <c r="O1381" s="6" t="s">
        <v>3947</v>
      </c>
      <c r="P1381" s="6" t="s">
        <v>3952</v>
      </c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</row>
    <row r="1382" spans="1:36" ht="15" customHeight="1" x14ac:dyDescent="0.2">
      <c r="A1382" s="10" t="s">
        <v>3914</v>
      </c>
      <c r="B1382" s="10">
        <v>16983460</v>
      </c>
      <c r="C1382" s="12"/>
      <c r="D1382" s="11">
        <v>957183023</v>
      </c>
      <c r="E1382" s="8" t="str">
        <f>CONCATENATE(D1382,7)</f>
        <v>9571830237</v>
      </c>
      <c r="F1382" s="11" t="s">
        <v>2942</v>
      </c>
      <c r="G1382" s="11">
        <v>170.27</v>
      </c>
      <c r="H1382" s="11">
        <v>20250301</v>
      </c>
      <c r="I1382" s="8" t="str">
        <f t="shared" si="100"/>
        <v>3/1/2025</v>
      </c>
      <c r="J1382" s="11">
        <v>20241101</v>
      </c>
      <c r="K1382" s="8" t="str">
        <f t="shared" si="101"/>
        <v>11/1/2024</v>
      </c>
      <c r="L1382" s="11" t="s">
        <v>398</v>
      </c>
      <c r="M1382" s="11">
        <v>0.1</v>
      </c>
      <c r="N1382" s="11">
        <v>17.03</v>
      </c>
      <c r="O1382" s="6" t="s">
        <v>3942</v>
      </c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</row>
    <row r="1383" spans="1:36" ht="15" customHeight="1" x14ac:dyDescent="0.2">
      <c r="A1383" s="10" t="s">
        <v>3914</v>
      </c>
      <c r="B1383" s="10">
        <v>16983460</v>
      </c>
      <c r="C1383" s="12"/>
      <c r="D1383" s="11">
        <v>957192247</v>
      </c>
      <c r="E1383" s="8" t="str">
        <f>CONCATENATE(D1383,7)</f>
        <v>9571922477</v>
      </c>
      <c r="F1383" s="11" t="s">
        <v>2944</v>
      </c>
      <c r="G1383" s="11">
        <v>170.76</v>
      </c>
      <c r="H1383" s="11">
        <v>20250301</v>
      </c>
      <c r="I1383" s="8" t="str">
        <f t="shared" si="100"/>
        <v>3/1/2025</v>
      </c>
      <c r="J1383" s="11">
        <v>20241201</v>
      </c>
      <c r="K1383" s="8" t="str">
        <f t="shared" si="101"/>
        <v>12/1/2024</v>
      </c>
      <c r="L1383" s="11" t="s">
        <v>398</v>
      </c>
      <c r="M1383" s="11">
        <v>0.1</v>
      </c>
      <c r="N1383" s="11">
        <v>17.079999999999998</v>
      </c>
      <c r="O1383" s="6" t="s">
        <v>3942</v>
      </c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</row>
    <row r="1384" spans="1:36" ht="15" customHeight="1" x14ac:dyDescent="0.2">
      <c r="A1384" s="10" t="s">
        <v>3914</v>
      </c>
      <c r="B1384" s="10">
        <v>16983460</v>
      </c>
      <c r="C1384" s="12"/>
      <c r="D1384" s="11">
        <v>957087313</v>
      </c>
      <c r="E1384" s="8" t="str">
        <f>CONCATENATE(D1384,0)</f>
        <v>9570873130</v>
      </c>
      <c r="F1384" s="11" t="s">
        <v>2938</v>
      </c>
      <c r="G1384" s="11">
        <v>227.46</v>
      </c>
      <c r="H1384" s="11">
        <v>20250301</v>
      </c>
      <c r="I1384" s="8" t="str">
        <f t="shared" si="100"/>
        <v>3/1/2025</v>
      </c>
      <c r="J1384" s="11">
        <v>20250101</v>
      </c>
      <c r="K1384" s="8" t="str">
        <f t="shared" si="101"/>
        <v>1/1/2025</v>
      </c>
      <c r="L1384" s="11" t="s">
        <v>959</v>
      </c>
      <c r="M1384" s="11">
        <v>0.09</v>
      </c>
      <c r="N1384" s="11">
        <v>20.47</v>
      </c>
      <c r="O1384" s="12" t="s">
        <v>3941</v>
      </c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</row>
    <row r="1385" spans="1:36" ht="15" customHeight="1" x14ac:dyDescent="0.2">
      <c r="A1385" s="7" t="s">
        <v>3901</v>
      </c>
      <c r="B1385" s="7">
        <v>19200754</v>
      </c>
      <c r="C1385" s="8">
        <v>1</v>
      </c>
      <c r="D1385" s="8">
        <v>921563981</v>
      </c>
      <c r="E1385" s="8" t="str">
        <f t="shared" ref="E1385:E1395" si="103">CONCATENATE(D1385,22)</f>
        <v>92156398122</v>
      </c>
      <c r="F1385" s="8" t="s">
        <v>1883</v>
      </c>
      <c r="G1385" s="8">
        <v>1</v>
      </c>
      <c r="H1385" s="8">
        <v>20250401</v>
      </c>
      <c r="I1385" s="8" t="str">
        <f t="shared" si="100"/>
        <v>4/1/2025</v>
      </c>
      <c r="J1385" s="8">
        <v>20210501</v>
      </c>
      <c r="K1385" s="8" t="str">
        <f t="shared" si="101"/>
        <v>5/1/2021</v>
      </c>
      <c r="L1385" s="8" t="s">
        <v>56</v>
      </c>
      <c r="M1385" s="8">
        <v>20</v>
      </c>
      <c r="N1385" s="8">
        <v>20</v>
      </c>
      <c r="O1385" s="6" t="s">
        <v>3947</v>
      </c>
    </row>
    <row r="1386" spans="1:36" ht="15" customHeight="1" x14ac:dyDescent="0.2">
      <c r="A1386" s="7" t="s">
        <v>3901</v>
      </c>
      <c r="B1386" s="7">
        <v>19200754</v>
      </c>
      <c r="C1386" s="8">
        <v>1</v>
      </c>
      <c r="D1386" s="8">
        <v>921625973</v>
      </c>
      <c r="E1386" s="8" t="str">
        <f t="shared" si="103"/>
        <v>92162597322</v>
      </c>
      <c r="F1386" s="8" t="s">
        <v>1889</v>
      </c>
      <c r="G1386" s="8">
        <v>1</v>
      </c>
      <c r="H1386" s="8">
        <v>20250401</v>
      </c>
      <c r="I1386" s="8" t="str">
        <f t="shared" si="100"/>
        <v>4/1/2025</v>
      </c>
      <c r="J1386" s="8">
        <v>20221201</v>
      </c>
      <c r="K1386" s="8" t="str">
        <f t="shared" si="101"/>
        <v>12/1/2022</v>
      </c>
      <c r="L1386" s="8" t="s">
        <v>56</v>
      </c>
      <c r="M1386" s="8">
        <v>20</v>
      </c>
      <c r="N1386" s="8">
        <v>20</v>
      </c>
      <c r="O1386" s="6" t="s">
        <v>3947</v>
      </c>
    </row>
    <row r="1387" spans="1:36" ht="15" customHeight="1" x14ac:dyDescent="0.2">
      <c r="A1387" s="7" t="s">
        <v>3901</v>
      </c>
      <c r="B1387" s="7">
        <v>19200754</v>
      </c>
      <c r="C1387" s="8">
        <v>1</v>
      </c>
      <c r="D1387" s="8">
        <v>921706883</v>
      </c>
      <c r="E1387" s="8" t="str">
        <f t="shared" si="103"/>
        <v>92170688322</v>
      </c>
      <c r="F1387" s="8" t="s">
        <v>1907</v>
      </c>
      <c r="G1387" s="8">
        <v>1</v>
      </c>
      <c r="H1387" s="8">
        <v>20250401</v>
      </c>
      <c r="I1387" s="8" t="str">
        <f t="shared" si="100"/>
        <v>4/1/2025</v>
      </c>
      <c r="J1387" s="8">
        <v>20240201</v>
      </c>
      <c r="K1387" s="8" t="str">
        <f t="shared" si="101"/>
        <v>2/1/2024</v>
      </c>
      <c r="L1387" s="8" t="s">
        <v>56</v>
      </c>
      <c r="M1387" s="8">
        <v>20</v>
      </c>
      <c r="N1387" s="8">
        <v>20</v>
      </c>
      <c r="O1387" s="6" t="s">
        <v>3947</v>
      </c>
    </row>
    <row r="1388" spans="1:36" ht="15" customHeight="1" x14ac:dyDescent="0.2">
      <c r="A1388" s="7" t="s">
        <v>3901</v>
      </c>
      <c r="B1388" s="7">
        <v>19200754</v>
      </c>
      <c r="C1388" s="8">
        <v>1</v>
      </c>
      <c r="D1388" s="8">
        <v>921712039</v>
      </c>
      <c r="E1388" s="8" t="str">
        <f t="shared" si="103"/>
        <v>92171203922</v>
      </c>
      <c r="F1388" s="8" t="s">
        <v>1909</v>
      </c>
      <c r="G1388" s="8">
        <v>1</v>
      </c>
      <c r="H1388" s="8">
        <v>20250401</v>
      </c>
      <c r="I1388" s="8" t="str">
        <f t="shared" si="100"/>
        <v>4/1/2025</v>
      </c>
      <c r="J1388" s="8">
        <v>20240301</v>
      </c>
      <c r="K1388" s="8" t="str">
        <f t="shared" si="101"/>
        <v>3/1/2024</v>
      </c>
      <c r="L1388" s="8" t="s">
        <v>56</v>
      </c>
      <c r="M1388" s="8">
        <v>20</v>
      </c>
      <c r="N1388" s="8">
        <v>20</v>
      </c>
      <c r="O1388" s="6" t="s">
        <v>3947</v>
      </c>
    </row>
    <row r="1389" spans="1:36" ht="15" customHeight="1" x14ac:dyDescent="0.2">
      <c r="A1389" s="7" t="s">
        <v>3901</v>
      </c>
      <c r="B1389" s="7">
        <v>19200754</v>
      </c>
      <c r="C1389" s="8">
        <v>1</v>
      </c>
      <c r="D1389" s="8">
        <v>921713365</v>
      </c>
      <c r="E1389" s="8" t="str">
        <f t="shared" si="103"/>
        <v>92171336522</v>
      </c>
      <c r="F1389" s="8" t="s">
        <v>1911</v>
      </c>
      <c r="G1389" s="8">
        <v>1</v>
      </c>
      <c r="H1389" s="8">
        <v>20250401</v>
      </c>
      <c r="I1389" s="8" t="str">
        <f t="shared" si="100"/>
        <v>4/1/2025</v>
      </c>
      <c r="J1389" s="8">
        <v>20240301</v>
      </c>
      <c r="K1389" s="8" t="str">
        <f t="shared" si="101"/>
        <v>3/1/2024</v>
      </c>
      <c r="L1389" s="8" t="s">
        <v>56</v>
      </c>
      <c r="M1389" s="8">
        <v>20</v>
      </c>
      <c r="N1389" s="8">
        <v>20</v>
      </c>
      <c r="O1389" s="6" t="s">
        <v>3947</v>
      </c>
    </row>
    <row r="1390" spans="1:36" ht="15" customHeight="1" x14ac:dyDescent="0.2">
      <c r="A1390" s="7" t="s">
        <v>3901</v>
      </c>
      <c r="B1390" s="7">
        <v>19200754</v>
      </c>
      <c r="C1390" s="8">
        <v>1</v>
      </c>
      <c r="D1390" s="8">
        <v>921499201</v>
      </c>
      <c r="E1390" s="8" t="str">
        <f t="shared" si="103"/>
        <v>92149920122</v>
      </c>
      <c r="F1390" s="8" t="s">
        <v>1874</v>
      </c>
      <c r="G1390" s="8">
        <v>1</v>
      </c>
      <c r="H1390" s="8">
        <v>20250401</v>
      </c>
      <c r="I1390" s="8" t="str">
        <f t="shared" si="100"/>
        <v>4/1/2025</v>
      </c>
      <c r="J1390" s="8">
        <v>20250101</v>
      </c>
      <c r="K1390" s="8" t="str">
        <f t="shared" si="101"/>
        <v>1/1/2025</v>
      </c>
      <c r="L1390" s="8" t="s">
        <v>56</v>
      </c>
      <c r="M1390" s="8">
        <v>25</v>
      </c>
      <c r="N1390" s="8">
        <v>25</v>
      </c>
      <c r="O1390" s="6" t="s">
        <v>3947</v>
      </c>
    </row>
    <row r="1391" spans="1:36" ht="15" customHeight="1" x14ac:dyDescent="0.2">
      <c r="A1391" s="7" t="s">
        <v>3901</v>
      </c>
      <c r="B1391" s="7">
        <v>19200754</v>
      </c>
      <c r="C1391" s="8">
        <v>1</v>
      </c>
      <c r="D1391" s="8">
        <v>921499201</v>
      </c>
      <c r="E1391" s="8" t="str">
        <f t="shared" si="103"/>
        <v>92149920122</v>
      </c>
      <c r="F1391" s="8" t="s">
        <v>1874</v>
      </c>
      <c r="G1391" s="8">
        <v>1</v>
      </c>
      <c r="H1391" s="8">
        <v>20250301</v>
      </c>
      <c r="I1391" s="8" t="str">
        <f t="shared" si="100"/>
        <v>3/1/2025</v>
      </c>
      <c r="J1391" s="8">
        <v>20250101</v>
      </c>
      <c r="K1391" s="8" t="str">
        <f t="shared" si="101"/>
        <v>1/1/2025</v>
      </c>
      <c r="L1391" s="8" t="s">
        <v>56</v>
      </c>
      <c r="M1391" s="8">
        <v>25</v>
      </c>
      <c r="N1391" s="8">
        <v>25</v>
      </c>
      <c r="O1391" s="6" t="s">
        <v>3947</v>
      </c>
    </row>
    <row r="1392" spans="1:36" ht="15" customHeight="1" x14ac:dyDescent="0.2">
      <c r="A1392" s="7" t="s">
        <v>3901</v>
      </c>
      <c r="B1392" s="7">
        <v>19200754</v>
      </c>
      <c r="C1392" s="8">
        <v>1</v>
      </c>
      <c r="D1392" s="8">
        <v>921749386</v>
      </c>
      <c r="E1392" s="8" t="str">
        <f t="shared" si="103"/>
        <v>92174938622</v>
      </c>
      <c r="F1392" s="8" t="s">
        <v>1918</v>
      </c>
      <c r="G1392" s="8">
        <v>1</v>
      </c>
      <c r="H1392" s="8">
        <v>20250401</v>
      </c>
      <c r="I1392" s="8" t="str">
        <f t="shared" si="100"/>
        <v>4/1/2025</v>
      </c>
      <c r="J1392" s="8">
        <v>20250101</v>
      </c>
      <c r="K1392" s="8" t="str">
        <f t="shared" si="101"/>
        <v>1/1/2025</v>
      </c>
      <c r="L1392" s="8" t="s">
        <v>56</v>
      </c>
      <c r="M1392" s="8">
        <v>25</v>
      </c>
      <c r="N1392" s="8">
        <v>25</v>
      </c>
      <c r="O1392" s="6" t="s">
        <v>3947</v>
      </c>
    </row>
    <row r="1393" spans="1:16" ht="15" customHeight="1" x14ac:dyDescent="0.2">
      <c r="A1393" s="7" t="s">
        <v>3901</v>
      </c>
      <c r="B1393" s="7">
        <v>19200754</v>
      </c>
      <c r="C1393" s="8">
        <v>1</v>
      </c>
      <c r="D1393" s="8">
        <v>921756422</v>
      </c>
      <c r="E1393" s="8" t="str">
        <f t="shared" si="103"/>
        <v>92175642222</v>
      </c>
      <c r="F1393" s="8" t="s">
        <v>1920</v>
      </c>
      <c r="G1393" s="8">
        <v>1</v>
      </c>
      <c r="H1393" s="8">
        <v>20250401</v>
      </c>
      <c r="I1393" s="8" t="str">
        <f t="shared" si="100"/>
        <v>4/1/2025</v>
      </c>
      <c r="J1393" s="8">
        <v>20250101</v>
      </c>
      <c r="K1393" s="8" t="str">
        <f t="shared" si="101"/>
        <v>1/1/2025</v>
      </c>
      <c r="L1393" s="8" t="s">
        <v>56</v>
      </c>
      <c r="M1393" s="8">
        <v>25</v>
      </c>
      <c r="N1393" s="8">
        <v>25</v>
      </c>
      <c r="O1393" s="6" t="s">
        <v>3947</v>
      </c>
    </row>
    <row r="1394" spans="1:16" ht="15" customHeight="1" x14ac:dyDescent="0.2">
      <c r="A1394" s="7" t="s">
        <v>3901</v>
      </c>
      <c r="B1394" s="7">
        <v>19200754</v>
      </c>
      <c r="C1394" s="8">
        <v>1</v>
      </c>
      <c r="D1394" s="8">
        <v>921762373</v>
      </c>
      <c r="E1394" s="8" t="str">
        <f t="shared" si="103"/>
        <v>92176237322</v>
      </c>
      <c r="F1394" s="8" t="s">
        <v>1922</v>
      </c>
      <c r="G1394" s="8">
        <v>1</v>
      </c>
      <c r="H1394" s="8">
        <v>20250401</v>
      </c>
      <c r="I1394" s="8" t="str">
        <f t="shared" si="100"/>
        <v>4/1/2025</v>
      </c>
      <c r="J1394" s="8">
        <v>20250101</v>
      </c>
      <c r="K1394" s="8" t="str">
        <f t="shared" si="101"/>
        <v>1/1/2025</v>
      </c>
      <c r="L1394" s="8" t="s">
        <v>56</v>
      </c>
      <c r="M1394" s="8">
        <v>25</v>
      </c>
      <c r="N1394" s="8">
        <v>25</v>
      </c>
      <c r="O1394" s="6" t="s">
        <v>3947</v>
      </c>
    </row>
    <row r="1395" spans="1:16" ht="15" customHeight="1" x14ac:dyDescent="0.2">
      <c r="A1395" s="7" t="s">
        <v>3901</v>
      </c>
      <c r="B1395" s="7">
        <v>19200754</v>
      </c>
      <c r="C1395" s="8">
        <v>2</v>
      </c>
      <c r="D1395" s="8">
        <v>921595331</v>
      </c>
      <c r="E1395" s="8" t="str">
        <f t="shared" si="103"/>
        <v>92159533122</v>
      </c>
      <c r="F1395" s="8" t="s">
        <v>1885</v>
      </c>
      <c r="G1395" s="8">
        <v>1</v>
      </c>
      <c r="H1395" s="8">
        <v>20250401</v>
      </c>
      <c r="I1395" s="8" t="str">
        <f t="shared" si="100"/>
        <v>4/1/2025</v>
      </c>
      <c r="J1395" s="8">
        <v>20250101</v>
      </c>
      <c r="K1395" s="8" t="str">
        <f t="shared" si="101"/>
        <v>1/1/2025</v>
      </c>
      <c r="L1395" s="8" t="s">
        <v>56</v>
      </c>
      <c r="M1395" s="8">
        <v>25</v>
      </c>
      <c r="N1395" s="8">
        <v>50</v>
      </c>
      <c r="O1395" s="6" t="s">
        <v>3947</v>
      </c>
      <c r="P1395" s="6" t="s">
        <v>3952</v>
      </c>
    </row>
    <row r="1396" spans="1:16" ht="15" customHeight="1" x14ac:dyDescent="0.2">
      <c r="A1396" s="7" t="s">
        <v>3901</v>
      </c>
      <c r="B1396" s="7">
        <v>19200754</v>
      </c>
      <c r="C1396" s="8">
        <v>1</v>
      </c>
      <c r="D1396" s="8">
        <v>920750023</v>
      </c>
      <c r="E1396" s="8" t="str">
        <f t="shared" ref="E1396:E1403" si="104">CONCATENATE(D1396,33)</f>
        <v>92075002333</v>
      </c>
      <c r="F1396" s="8" t="s">
        <v>1857</v>
      </c>
      <c r="G1396" s="8">
        <v>1</v>
      </c>
      <c r="H1396" s="8">
        <v>20250401</v>
      </c>
      <c r="I1396" s="8" t="str">
        <f t="shared" si="100"/>
        <v>4/1/2025</v>
      </c>
      <c r="J1396" s="8">
        <v>20230701</v>
      </c>
      <c r="K1396" s="8" t="str">
        <f t="shared" si="101"/>
        <v>7/1/2023</v>
      </c>
      <c r="L1396" s="8" t="s">
        <v>198</v>
      </c>
      <c r="M1396" s="8">
        <v>15</v>
      </c>
      <c r="N1396" s="8">
        <v>15</v>
      </c>
      <c r="O1396" s="6" t="s">
        <v>3950</v>
      </c>
    </row>
    <row r="1397" spans="1:16" ht="15" customHeight="1" x14ac:dyDescent="0.2">
      <c r="A1397" s="7" t="s">
        <v>3901</v>
      </c>
      <c r="B1397" s="7">
        <v>19200754</v>
      </c>
      <c r="C1397" s="8">
        <v>1</v>
      </c>
      <c r="D1397" s="8">
        <v>921385663</v>
      </c>
      <c r="E1397" s="8" t="str">
        <f t="shared" si="104"/>
        <v>92138566333</v>
      </c>
      <c r="F1397" s="8" t="s">
        <v>1870</v>
      </c>
      <c r="G1397" s="8">
        <v>1</v>
      </c>
      <c r="H1397" s="8">
        <v>20250401</v>
      </c>
      <c r="I1397" s="8" t="str">
        <f t="shared" si="100"/>
        <v>4/1/2025</v>
      </c>
      <c r="J1397" s="8">
        <v>20230101</v>
      </c>
      <c r="K1397" s="8" t="str">
        <f t="shared" si="101"/>
        <v>1/1/2023</v>
      </c>
      <c r="L1397" s="8" t="s">
        <v>198</v>
      </c>
      <c r="M1397" s="8">
        <v>15</v>
      </c>
      <c r="N1397" s="8">
        <v>15</v>
      </c>
      <c r="O1397" s="6" t="s">
        <v>3950</v>
      </c>
    </row>
    <row r="1398" spans="1:16" ht="15" customHeight="1" x14ac:dyDescent="0.2">
      <c r="A1398" s="7" t="s">
        <v>3901</v>
      </c>
      <c r="B1398" s="7">
        <v>19200754</v>
      </c>
      <c r="C1398" s="8">
        <v>1</v>
      </c>
      <c r="D1398" s="8">
        <v>921701331</v>
      </c>
      <c r="E1398" s="8" t="str">
        <f t="shared" si="104"/>
        <v>92170133133</v>
      </c>
      <c r="F1398" s="8" t="s">
        <v>1903</v>
      </c>
      <c r="G1398" s="8">
        <v>1</v>
      </c>
      <c r="H1398" s="8">
        <v>20250401</v>
      </c>
      <c r="I1398" s="8" t="str">
        <f t="shared" si="100"/>
        <v>4/1/2025</v>
      </c>
      <c r="J1398" s="8">
        <v>20240201</v>
      </c>
      <c r="K1398" s="8" t="str">
        <f t="shared" si="101"/>
        <v>2/1/2024</v>
      </c>
      <c r="L1398" s="8" t="s">
        <v>198</v>
      </c>
      <c r="M1398" s="8">
        <v>15</v>
      </c>
      <c r="N1398" s="8">
        <v>15</v>
      </c>
      <c r="O1398" s="6" t="s">
        <v>3950</v>
      </c>
    </row>
    <row r="1399" spans="1:16" ht="15" customHeight="1" x14ac:dyDescent="0.2">
      <c r="A1399" s="7" t="s">
        <v>3901</v>
      </c>
      <c r="B1399" s="7">
        <v>19200754</v>
      </c>
      <c r="C1399" s="8">
        <v>1</v>
      </c>
      <c r="D1399" s="8">
        <v>921701331</v>
      </c>
      <c r="E1399" s="8" t="str">
        <f t="shared" si="104"/>
        <v>92170133133</v>
      </c>
      <c r="F1399" s="8" t="s">
        <v>1903</v>
      </c>
      <c r="G1399" s="8">
        <v>1</v>
      </c>
      <c r="H1399" s="8">
        <v>20250301</v>
      </c>
      <c r="I1399" s="8" t="str">
        <f t="shared" si="100"/>
        <v>3/1/2025</v>
      </c>
      <c r="J1399" s="8">
        <v>20240201</v>
      </c>
      <c r="K1399" s="8" t="str">
        <f t="shared" si="101"/>
        <v>2/1/2024</v>
      </c>
      <c r="L1399" s="8" t="s">
        <v>198</v>
      </c>
      <c r="M1399" s="8">
        <v>15</v>
      </c>
      <c r="N1399" s="8">
        <v>15</v>
      </c>
      <c r="O1399" s="6" t="s">
        <v>3950</v>
      </c>
    </row>
    <row r="1400" spans="1:16" ht="15" customHeight="1" x14ac:dyDescent="0.2">
      <c r="A1400" s="7" t="s">
        <v>3901</v>
      </c>
      <c r="B1400" s="7">
        <v>19200754</v>
      </c>
      <c r="C1400" s="8">
        <v>1</v>
      </c>
      <c r="D1400" s="8">
        <v>920905330</v>
      </c>
      <c r="E1400" s="8" t="str">
        <f t="shared" si="104"/>
        <v>92090533033</v>
      </c>
      <c r="F1400" s="8" t="s">
        <v>1862</v>
      </c>
      <c r="G1400" s="8">
        <v>1</v>
      </c>
      <c r="H1400" s="8">
        <v>20250301</v>
      </c>
      <c r="I1400" s="8" t="str">
        <f t="shared" si="100"/>
        <v>3/1/2025</v>
      </c>
      <c r="J1400" s="8">
        <v>20240401</v>
      </c>
      <c r="K1400" s="8" t="str">
        <f t="shared" si="101"/>
        <v>4/1/2024</v>
      </c>
      <c r="L1400" s="8" t="s">
        <v>198</v>
      </c>
      <c r="M1400" s="8">
        <v>20</v>
      </c>
      <c r="N1400" s="8">
        <v>20</v>
      </c>
      <c r="O1400" s="6" t="s">
        <v>3950</v>
      </c>
    </row>
    <row r="1401" spans="1:16" ht="15" customHeight="1" x14ac:dyDescent="0.2">
      <c r="A1401" s="7" t="s">
        <v>3901</v>
      </c>
      <c r="B1401" s="7">
        <v>19200754</v>
      </c>
      <c r="C1401" s="8">
        <v>1</v>
      </c>
      <c r="D1401" s="8">
        <v>921728151</v>
      </c>
      <c r="E1401" s="8" t="str">
        <f t="shared" si="104"/>
        <v>92172815133</v>
      </c>
      <c r="F1401" s="8" t="s">
        <v>1916</v>
      </c>
      <c r="G1401" s="8">
        <v>1</v>
      </c>
      <c r="H1401" s="8">
        <v>20250401</v>
      </c>
      <c r="I1401" s="8" t="str">
        <f t="shared" si="100"/>
        <v>4/1/2025</v>
      </c>
      <c r="J1401" s="8">
        <v>20240701</v>
      </c>
      <c r="K1401" s="8" t="str">
        <f t="shared" si="101"/>
        <v>7/1/2024</v>
      </c>
      <c r="L1401" s="8" t="s">
        <v>198</v>
      </c>
      <c r="M1401" s="8">
        <v>20</v>
      </c>
      <c r="N1401" s="8">
        <v>20</v>
      </c>
      <c r="O1401" s="6" t="s">
        <v>3950</v>
      </c>
    </row>
    <row r="1402" spans="1:16" ht="15" customHeight="1" x14ac:dyDescent="0.2">
      <c r="A1402" s="7" t="s">
        <v>3901</v>
      </c>
      <c r="B1402" s="7">
        <v>19200754</v>
      </c>
      <c r="C1402" s="8">
        <v>1</v>
      </c>
      <c r="D1402" s="8">
        <v>921772500</v>
      </c>
      <c r="E1402" s="8" t="str">
        <f t="shared" si="104"/>
        <v>92177250033</v>
      </c>
      <c r="F1402" s="8" t="s">
        <v>1926</v>
      </c>
      <c r="G1402" s="8">
        <v>1</v>
      </c>
      <c r="H1402" s="8">
        <v>20250401</v>
      </c>
      <c r="I1402" s="8" t="str">
        <f t="shared" si="100"/>
        <v>4/1/2025</v>
      </c>
      <c r="J1402" s="8">
        <v>20250201</v>
      </c>
      <c r="K1402" s="8" t="str">
        <f t="shared" si="101"/>
        <v>2/1/2025</v>
      </c>
      <c r="L1402" s="8" t="s">
        <v>198</v>
      </c>
      <c r="M1402" s="8">
        <v>20</v>
      </c>
      <c r="N1402" s="8">
        <v>20</v>
      </c>
      <c r="O1402" s="6" t="s">
        <v>3950</v>
      </c>
    </row>
    <row r="1403" spans="1:16" ht="15" customHeight="1" x14ac:dyDescent="0.2">
      <c r="A1403" s="7" t="s">
        <v>3901</v>
      </c>
      <c r="B1403" s="7">
        <v>19200754</v>
      </c>
      <c r="C1403" s="8">
        <v>4</v>
      </c>
      <c r="D1403" s="8">
        <v>921081522</v>
      </c>
      <c r="E1403" s="8" t="str">
        <f t="shared" si="104"/>
        <v>92108152233</v>
      </c>
      <c r="F1403" s="8" t="s">
        <v>1866</v>
      </c>
      <c r="G1403" s="8">
        <v>1</v>
      </c>
      <c r="H1403" s="8">
        <v>20250401</v>
      </c>
      <c r="I1403" s="8" t="str">
        <f t="shared" si="100"/>
        <v>4/1/2025</v>
      </c>
      <c r="J1403" s="8">
        <v>20250101</v>
      </c>
      <c r="K1403" s="8" t="str">
        <f t="shared" si="101"/>
        <v>1/1/2025</v>
      </c>
      <c r="L1403" s="8" t="s">
        <v>198</v>
      </c>
      <c r="M1403" s="8">
        <v>20</v>
      </c>
      <c r="N1403" s="8">
        <v>80</v>
      </c>
      <c r="O1403" s="6" t="s">
        <v>3950</v>
      </c>
      <c r="P1403" s="6" t="s">
        <v>3954</v>
      </c>
    </row>
    <row r="1404" spans="1:16" ht="15" customHeight="1" x14ac:dyDescent="0.3">
      <c r="A1404" s="7" t="s">
        <v>3901</v>
      </c>
      <c r="B1404" s="7">
        <v>19200754</v>
      </c>
      <c r="C1404" s="8">
        <v>1</v>
      </c>
      <c r="D1404" s="8">
        <v>921112149</v>
      </c>
      <c r="E1404" s="8" t="str">
        <f t="shared" ref="E1404:E1410" si="105">CONCATENATE(D1404,44)</f>
        <v>92111214944</v>
      </c>
      <c r="F1404" s="8" t="s">
        <v>1868</v>
      </c>
      <c r="G1404" s="8">
        <v>1</v>
      </c>
      <c r="H1404" s="8">
        <v>20250401</v>
      </c>
      <c r="I1404" s="8" t="str">
        <f t="shared" si="100"/>
        <v>4/1/2025</v>
      </c>
      <c r="J1404" s="8">
        <v>20210101</v>
      </c>
      <c r="K1404" s="8" t="str">
        <f t="shared" si="101"/>
        <v>1/1/2021</v>
      </c>
      <c r="L1404" s="8" t="s">
        <v>65</v>
      </c>
      <c r="M1404" s="8">
        <v>25</v>
      </c>
      <c r="N1404" s="8">
        <v>25</v>
      </c>
      <c r="O1404" s="14" t="s">
        <v>3948</v>
      </c>
    </row>
    <row r="1405" spans="1:16" ht="15" customHeight="1" x14ac:dyDescent="0.3">
      <c r="A1405" s="7" t="s">
        <v>3901</v>
      </c>
      <c r="B1405" s="7">
        <v>19200754</v>
      </c>
      <c r="C1405" s="8">
        <v>1</v>
      </c>
      <c r="D1405" s="8">
        <v>921689456</v>
      </c>
      <c r="E1405" s="8" t="str">
        <f t="shared" si="105"/>
        <v>92168945644</v>
      </c>
      <c r="F1405" s="8" t="s">
        <v>1901</v>
      </c>
      <c r="G1405" s="8">
        <v>1</v>
      </c>
      <c r="H1405" s="8">
        <v>20250401</v>
      </c>
      <c r="I1405" s="8" t="str">
        <f t="shared" si="100"/>
        <v>4/1/2025</v>
      </c>
      <c r="J1405" s="8">
        <v>20240101</v>
      </c>
      <c r="K1405" s="8" t="str">
        <f t="shared" si="101"/>
        <v>1/1/2024</v>
      </c>
      <c r="L1405" s="8" t="s">
        <v>65</v>
      </c>
      <c r="M1405" s="8">
        <v>25</v>
      </c>
      <c r="N1405" s="8">
        <v>25</v>
      </c>
      <c r="O1405" s="14" t="s">
        <v>3948</v>
      </c>
    </row>
    <row r="1406" spans="1:16" ht="15" customHeight="1" x14ac:dyDescent="0.3">
      <c r="A1406" s="7" t="s">
        <v>3901</v>
      </c>
      <c r="B1406" s="7">
        <v>19200754</v>
      </c>
      <c r="C1406" s="8">
        <v>1</v>
      </c>
      <c r="D1406" s="8">
        <v>921703965</v>
      </c>
      <c r="E1406" s="8" t="str">
        <f t="shared" si="105"/>
        <v>92170396544</v>
      </c>
      <c r="F1406" s="8" t="s">
        <v>1905</v>
      </c>
      <c r="G1406" s="8">
        <v>1</v>
      </c>
      <c r="H1406" s="8">
        <v>20250401</v>
      </c>
      <c r="I1406" s="8" t="str">
        <f t="shared" si="100"/>
        <v>4/1/2025</v>
      </c>
      <c r="J1406" s="8">
        <v>20240201</v>
      </c>
      <c r="K1406" s="8" t="str">
        <f t="shared" si="101"/>
        <v>2/1/2024</v>
      </c>
      <c r="L1406" s="8" t="s">
        <v>65</v>
      </c>
      <c r="M1406" s="8">
        <v>25</v>
      </c>
      <c r="N1406" s="8">
        <v>25</v>
      </c>
      <c r="O1406" s="14" t="s">
        <v>3948</v>
      </c>
    </row>
    <row r="1407" spans="1:16" ht="15" customHeight="1" x14ac:dyDescent="0.3">
      <c r="A1407" s="7" t="s">
        <v>3901</v>
      </c>
      <c r="B1407" s="7">
        <v>19200754</v>
      </c>
      <c r="C1407" s="8">
        <v>2</v>
      </c>
      <c r="D1407" s="8">
        <v>921651233</v>
      </c>
      <c r="E1407" s="8" t="str">
        <f t="shared" si="105"/>
        <v>92165123344</v>
      </c>
      <c r="F1407" s="8" t="s">
        <v>1893</v>
      </c>
      <c r="G1407" s="8">
        <v>1</v>
      </c>
      <c r="H1407" s="8">
        <v>20250301</v>
      </c>
      <c r="I1407" s="8" t="str">
        <f t="shared" si="100"/>
        <v>3/1/2025</v>
      </c>
      <c r="J1407" s="8">
        <v>20230101</v>
      </c>
      <c r="K1407" s="8" t="str">
        <f t="shared" si="101"/>
        <v>1/1/2023</v>
      </c>
      <c r="L1407" s="8" t="s">
        <v>65</v>
      </c>
      <c r="M1407" s="8">
        <v>25</v>
      </c>
      <c r="N1407" s="8">
        <v>50</v>
      </c>
      <c r="O1407" s="14" t="s">
        <v>3948</v>
      </c>
      <c r="P1407" s="6" t="s">
        <v>3952</v>
      </c>
    </row>
    <row r="1408" spans="1:16" ht="15" customHeight="1" x14ac:dyDescent="0.3">
      <c r="A1408" s="7" t="s">
        <v>3901</v>
      </c>
      <c r="B1408" s="7">
        <v>19200754</v>
      </c>
      <c r="C1408" s="8">
        <v>2</v>
      </c>
      <c r="D1408" s="8">
        <v>921651233</v>
      </c>
      <c r="E1408" s="8" t="str">
        <f t="shared" si="105"/>
        <v>92165123344</v>
      </c>
      <c r="F1408" s="8" t="s">
        <v>1893</v>
      </c>
      <c r="G1408" s="8">
        <v>1</v>
      </c>
      <c r="H1408" s="8">
        <v>20250201</v>
      </c>
      <c r="I1408" s="8" t="str">
        <f t="shared" si="100"/>
        <v>2/1/2025</v>
      </c>
      <c r="J1408" s="8">
        <v>20230101</v>
      </c>
      <c r="K1408" s="8" t="str">
        <f t="shared" si="101"/>
        <v>1/1/2023</v>
      </c>
      <c r="L1408" s="8" t="s">
        <v>65</v>
      </c>
      <c r="M1408" s="8">
        <v>25</v>
      </c>
      <c r="N1408" s="8">
        <v>50</v>
      </c>
      <c r="O1408" s="14" t="s">
        <v>3948</v>
      </c>
      <c r="P1408" s="6" t="s">
        <v>3952</v>
      </c>
    </row>
    <row r="1409" spans="1:37" ht="15" customHeight="1" x14ac:dyDescent="0.3">
      <c r="A1409" s="7" t="s">
        <v>3901</v>
      </c>
      <c r="B1409" s="7">
        <v>19200754</v>
      </c>
      <c r="C1409" s="8">
        <v>1</v>
      </c>
      <c r="D1409" s="8">
        <v>921669599</v>
      </c>
      <c r="E1409" s="8" t="str">
        <f t="shared" si="105"/>
        <v>92166959944</v>
      </c>
      <c r="F1409" s="8" t="s">
        <v>1897</v>
      </c>
      <c r="G1409" s="8">
        <v>1</v>
      </c>
      <c r="H1409" s="8">
        <v>20250401</v>
      </c>
      <c r="I1409" s="8" t="str">
        <f t="shared" si="100"/>
        <v>4/1/2025</v>
      </c>
      <c r="J1409" s="8">
        <v>20250101</v>
      </c>
      <c r="K1409" s="8" t="str">
        <f t="shared" si="101"/>
        <v>1/1/2025</v>
      </c>
      <c r="L1409" s="8" t="s">
        <v>65</v>
      </c>
      <c r="M1409" s="8">
        <v>30</v>
      </c>
      <c r="N1409" s="8">
        <v>30</v>
      </c>
      <c r="O1409" s="14" t="s">
        <v>3948</v>
      </c>
    </row>
    <row r="1410" spans="1:37" ht="15" customHeight="1" x14ac:dyDescent="0.3">
      <c r="A1410" s="7" t="s">
        <v>3901</v>
      </c>
      <c r="B1410" s="7">
        <v>19200754</v>
      </c>
      <c r="C1410" s="8">
        <v>1</v>
      </c>
      <c r="D1410" s="8">
        <v>921716847</v>
      </c>
      <c r="E1410" s="8" t="str">
        <f t="shared" si="105"/>
        <v>92171684744</v>
      </c>
      <c r="F1410" s="8" t="s">
        <v>1913</v>
      </c>
      <c r="G1410" s="8">
        <v>1</v>
      </c>
      <c r="H1410" s="8">
        <v>20250401</v>
      </c>
      <c r="I1410" s="8" t="str">
        <f t="shared" si="100"/>
        <v>4/1/2025</v>
      </c>
      <c r="J1410" s="8">
        <v>20240501</v>
      </c>
      <c r="K1410" s="8" t="str">
        <f t="shared" si="101"/>
        <v>5/1/2024</v>
      </c>
      <c r="L1410" s="8" t="s">
        <v>65</v>
      </c>
      <c r="M1410" s="8">
        <v>30</v>
      </c>
      <c r="N1410" s="8">
        <v>30</v>
      </c>
      <c r="O1410" s="14" t="s">
        <v>3948</v>
      </c>
    </row>
    <row r="1411" spans="1:37" ht="15" customHeight="1" x14ac:dyDescent="0.2">
      <c r="A1411" s="7" t="s">
        <v>3901</v>
      </c>
      <c r="B1411" s="7">
        <v>19200754</v>
      </c>
      <c r="C1411" s="8">
        <v>1</v>
      </c>
      <c r="D1411" s="8">
        <v>920875325</v>
      </c>
      <c r="E1411" s="8" t="str">
        <f t="shared" ref="E1411:E1420" si="106">CONCATENATE(D1411,55)</f>
        <v>92087532555</v>
      </c>
      <c r="F1411" s="8" t="s">
        <v>1860</v>
      </c>
      <c r="G1411" s="8">
        <v>1</v>
      </c>
      <c r="H1411" s="8">
        <v>20250401</v>
      </c>
      <c r="I1411" s="8" t="str">
        <f t="shared" ref="I1411:I1474" si="107">TEXT(DATE(LEFT(H1411,4), MID(H1411,5,2), RIGHT(H1411,2)), "M/d/yyyy")</f>
        <v>4/1/2025</v>
      </c>
      <c r="J1411" s="8">
        <v>20140501</v>
      </c>
      <c r="K1411" s="8" t="str">
        <f t="shared" ref="K1411:K1474" si="108">TEXT(DATE(LEFT(J1411,4), MID(J1411,5,2), RIGHT(J1411,2)), "M/d/yyyy")</f>
        <v>5/1/2014</v>
      </c>
      <c r="L1411" s="8" t="s">
        <v>138</v>
      </c>
      <c r="M1411" s="8">
        <v>20</v>
      </c>
      <c r="N1411" s="8">
        <v>20</v>
      </c>
      <c r="O1411" s="6" t="s">
        <v>3946</v>
      </c>
    </row>
    <row r="1412" spans="1:37" ht="15" customHeight="1" x14ac:dyDescent="0.2">
      <c r="A1412" s="7" t="s">
        <v>3901</v>
      </c>
      <c r="B1412" s="7">
        <v>19200754</v>
      </c>
      <c r="C1412" s="8">
        <v>1</v>
      </c>
      <c r="D1412" s="8">
        <v>921506239</v>
      </c>
      <c r="E1412" s="8" t="str">
        <f t="shared" si="106"/>
        <v>92150623955</v>
      </c>
      <c r="F1412" s="8" t="s">
        <v>1876</v>
      </c>
      <c r="G1412" s="8">
        <v>1</v>
      </c>
      <c r="H1412" s="8">
        <v>20250401</v>
      </c>
      <c r="I1412" s="8" t="str">
        <f t="shared" si="107"/>
        <v>4/1/2025</v>
      </c>
      <c r="J1412" s="8">
        <v>20200101</v>
      </c>
      <c r="K1412" s="8" t="str">
        <f t="shared" si="108"/>
        <v>1/1/2020</v>
      </c>
      <c r="L1412" s="8" t="s">
        <v>138</v>
      </c>
      <c r="M1412" s="8">
        <v>20</v>
      </c>
      <c r="N1412" s="8">
        <v>20</v>
      </c>
      <c r="O1412" s="6" t="s">
        <v>3946</v>
      </c>
    </row>
    <row r="1413" spans="1:37" ht="15" customHeight="1" x14ac:dyDescent="0.2">
      <c r="A1413" s="7" t="s">
        <v>3901</v>
      </c>
      <c r="B1413" s="7">
        <v>19200754</v>
      </c>
      <c r="C1413" s="8">
        <v>1</v>
      </c>
      <c r="D1413" s="8">
        <v>921549994</v>
      </c>
      <c r="E1413" s="8" t="str">
        <f t="shared" si="106"/>
        <v>92154999455</v>
      </c>
      <c r="F1413" s="8" t="s">
        <v>1878</v>
      </c>
      <c r="G1413" s="8">
        <v>1</v>
      </c>
      <c r="H1413" s="8">
        <v>20250401</v>
      </c>
      <c r="I1413" s="8" t="str">
        <f t="shared" si="107"/>
        <v>4/1/2025</v>
      </c>
      <c r="J1413" s="8">
        <v>20210101</v>
      </c>
      <c r="K1413" s="8" t="str">
        <f t="shared" si="108"/>
        <v>1/1/2021</v>
      </c>
      <c r="L1413" s="8" t="s">
        <v>138</v>
      </c>
      <c r="M1413" s="8">
        <v>20</v>
      </c>
      <c r="N1413" s="8">
        <v>20</v>
      </c>
      <c r="O1413" s="6" t="s">
        <v>3946</v>
      </c>
    </row>
    <row r="1414" spans="1:37" ht="15" customHeight="1" x14ac:dyDescent="0.2">
      <c r="A1414" s="7" t="s">
        <v>3901</v>
      </c>
      <c r="B1414" s="7">
        <v>19200754</v>
      </c>
      <c r="C1414" s="8">
        <v>2</v>
      </c>
      <c r="D1414" s="8">
        <v>921678645</v>
      </c>
      <c r="E1414" s="8" t="str">
        <f t="shared" si="106"/>
        <v>92167864555</v>
      </c>
      <c r="F1414" s="8" t="s">
        <v>1899</v>
      </c>
      <c r="G1414" s="8">
        <v>1</v>
      </c>
      <c r="H1414" s="8">
        <v>20250401</v>
      </c>
      <c r="I1414" s="8" t="str">
        <f t="shared" si="107"/>
        <v>4/1/2025</v>
      </c>
      <c r="J1414" s="8">
        <v>20240101</v>
      </c>
      <c r="K1414" s="8" t="str">
        <f t="shared" si="108"/>
        <v>1/1/2024</v>
      </c>
      <c r="L1414" s="8" t="s">
        <v>138</v>
      </c>
      <c r="M1414" s="8">
        <v>20</v>
      </c>
      <c r="N1414" s="8">
        <v>40</v>
      </c>
      <c r="O1414" s="6" t="s">
        <v>3946</v>
      </c>
      <c r="P1414" s="6" t="s">
        <v>3952</v>
      </c>
    </row>
    <row r="1415" spans="1:37" ht="15" customHeight="1" x14ac:dyDescent="0.2">
      <c r="A1415" s="7" t="s">
        <v>3901</v>
      </c>
      <c r="B1415" s="7">
        <v>19200754</v>
      </c>
      <c r="C1415" s="8">
        <v>4</v>
      </c>
      <c r="D1415" s="8">
        <v>921669510</v>
      </c>
      <c r="E1415" s="8" t="str">
        <f t="shared" si="106"/>
        <v>92166951055</v>
      </c>
      <c r="F1415" s="8" t="s">
        <v>1895</v>
      </c>
      <c r="G1415" s="8">
        <v>1</v>
      </c>
      <c r="H1415" s="8">
        <v>20250401</v>
      </c>
      <c r="I1415" s="8" t="str">
        <f t="shared" si="107"/>
        <v>4/1/2025</v>
      </c>
      <c r="J1415" s="8">
        <v>20230901</v>
      </c>
      <c r="K1415" s="8" t="str">
        <f t="shared" si="108"/>
        <v>9/1/2023</v>
      </c>
      <c r="L1415" s="8" t="s">
        <v>138</v>
      </c>
      <c r="M1415" s="8">
        <v>20</v>
      </c>
      <c r="N1415" s="8">
        <v>80</v>
      </c>
      <c r="O1415" s="6" t="s">
        <v>3946</v>
      </c>
      <c r="P1415" s="6" t="s">
        <v>3954</v>
      </c>
    </row>
    <row r="1416" spans="1:37" ht="15" customHeight="1" x14ac:dyDescent="0.2">
      <c r="A1416" s="7" t="s">
        <v>3901</v>
      </c>
      <c r="B1416" s="7">
        <v>19200754</v>
      </c>
      <c r="C1416" s="8">
        <v>5</v>
      </c>
      <c r="D1416" s="8">
        <v>921646054</v>
      </c>
      <c r="E1416" s="8" t="str">
        <f t="shared" si="106"/>
        <v>92164605455</v>
      </c>
      <c r="F1416" s="8" t="s">
        <v>1891</v>
      </c>
      <c r="G1416" s="8">
        <v>1</v>
      </c>
      <c r="H1416" s="8">
        <v>20250401</v>
      </c>
      <c r="I1416" s="8" t="str">
        <f t="shared" si="107"/>
        <v>4/1/2025</v>
      </c>
      <c r="J1416" s="8">
        <v>20230201</v>
      </c>
      <c r="K1416" s="8" t="str">
        <f t="shared" si="108"/>
        <v>2/1/2023</v>
      </c>
      <c r="L1416" s="8" t="s">
        <v>138</v>
      </c>
      <c r="M1416" s="8">
        <v>20</v>
      </c>
      <c r="N1416" s="8">
        <v>100</v>
      </c>
      <c r="O1416" s="6" t="s">
        <v>3946</v>
      </c>
      <c r="P1416" s="6" t="s">
        <v>3955</v>
      </c>
    </row>
    <row r="1417" spans="1:37" s="12" customFormat="1" ht="15" customHeight="1" x14ac:dyDescent="0.2">
      <c r="A1417" s="7" t="s">
        <v>3901</v>
      </c>
      <c r="B1417" s="7">
        <v>19200754</v>
      </c>
      <c r="C1417" s="6">
        <v>-1</v>
      </c>
      <c r="D1417" s="8">
        <v>921556561</v>
      </c>
      <c r="E1417" s="8" t="str">
        <f t="shared" si="106"/>
        <v>92155656155</v>
      </c>
      <c r="F1417" s="8" t="s">
        <v>1880</v>
      </c>
      <c r="G1417" s="8">
        <v>-1</v>
      </c>
      <c r="H1417" s="8">
        <v>20250301</v>
      </c>
      <c r="I1417" s="8" t="str">
        <f t="shared" si="107"/>
        <v>3/1/2025</v>
      </c>
      <c r="J1417" s="8">
        <v>20210301</v>
      </c>
      <c r="K1417" s="8" t="str">
        <f t="shared" si="108"/>
        <v>3/1/2021</v>
      </c>
      <c r="L1417" s="8" t="s">
        <v>138</v>
      </c>
      <c r="M1417" s="8">
        <v>20</v>
      </c>
      <c r="N1417" s="8">
        <v>-20</v>
      </c>
      <c r="O1417" s="6" t="s">
        <v>3946</v>
      </c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</row>
    <row r="1418" spans="1:37" ht="15" customHeight="1" x14ac:dyDescent="0.2">
      <c r="A1418" s="7" t="s">
        <v>3901</v>
      </c>
      <c r="B1418" s="7">
        <v>19200754</v>
      </c>
      <c r="C1418" s="8">
        <v>1</v>
      </c>
      <c r="D1418" s="8">
        <v>920928420</v>
      </c>
      <c r="E1418" s="8" t="str">
        <f t="shared" si="106"/>
        <v>92092842055</v>
      </c>
      <c r="F1418" s="8" t="s">
        <v>1864</v>
      </c>
      <c r="G1418" s="8">
        <v>1</v>
      </c>
      <c r="H1418" s="8">
        <v>20250401</v>
      </c>
      <c r="I1418" s="8" t="str">
        <f t="shared" si="107"/>
        <v>4/1/2025</v>
      </c>
      <c r="J1418" s="8">
        <v>20240501</v>
      </c>
      <c r="K1418" s="8" t="str">
        <f t="shared" si="108"/>
        <v>5/1/2024</v>
      </c>
      <c r="L1418" s="8" t="s">
        <v>138</v>
      </c>
      <c r="M1418" s="8">
        <v>25</v>
      </c>
      <c r="N1418" s="8">
        <v>25</v>
      </c>
      <c r="O1418" s="6" t="s">
        <v>3946</v>
      </c>
    </row>
    <row r="1419" spans="1:37" ht="15" customHeight="1" x14ac:dyDescent="0.2">
      <c r="A1419" s="7" t="s">
        <v>3901</v>
      </c>
      <c r="B1419" s="7">
        <v>19200754</v>
      </c>
      <c r="C1419" s="8">
        <v>1</v>
      </c>
      <c r="D1419" s="8">
        <v>921498135</v>
      </c>
      <c r="E1419" s="8" t="str">
        <f t="shared" si="106"/>
        <v>92149813555</v>
      </c>
      <c r="F1419" s="8" t="s">
        <v>1872</v>
      </c>
      <c r="G1419" s="8">
        <v>1</v>
      </c>
      <c r="H1419" s="8">
        <v>20250401</v>
      </c>
      <c r="I1419" s="8" t="str">
        <f t="shared" si="107"/>
        <v>4/1/2025</v>
      </c>
      <c r="J1419" s="8">
        <v>20240501</v>
      </c>
      <c r="K1419" s="8" t="str">
        <f t="shared" si="108"/>
        <v>5/1/2024</v>
      </c>
      <c r="L1419" s="8" t="s">
        <v>138</v>
      </c>
      <c r="M1419" s="8">
        <v>25</v>
      </c>
      <c r="N1419" s="8">
        <v>25</v>
      </c>
      <c r="O1419" s="6" t="s">
        <v>3946</v>
      </c>
    </row>
    <row r="1420" spans="1:37" ht="15" customHeight="1" x14ac:dyDescent="0.2">
      <c r="A1420" s="7" t="s">
        <v>3901</v>
      </c>
      <c r="B1420" s="7">
        <v>19200754</v>
      </c>
      <c r="C1420" s="8">
        <v>2</v>
      </c>
      <c r="D1420" s="8">
        <v>921771894</v>
      </c>
      <c r="E1420" s="8" t="str">
        <f t="shared" si="106"/>
        <v>92177189455</v>
      </c>
      <c r="F1420" s="8" t="s">
        <v>1924</v>
      </c>
      <c r="G1420" s="8">
        <v>1</v>
      </c>
      <c r="H1420" s="8">
        <v>20250401</v>
      </c>
      <c r="I1420" s="8" t="str">
        <f t="shared" si="107"/>
        <v>4/1/2025</v>
      </c>
      <c r="J1420" s="8">
        <v>20250201</v>
      </c>
      <c r="K1420" s="8" t="str">
        <f t="shared" si="108"/>
        <v>2/1/2025</v>
      </c>
      <c r="L1420" s="8" t="s">
        <v>138</v>
      </c>
      <c r="M1420" s="8">
        <v>25</v>
      </c>
      <c r="N1420" s="8">
        <v>50</v>
      </c>
      <c r="O1420" s="6" t="s">
        <v>3946</v>
      </c>
      <c r="P1420" s="6" t="s">
        <v>3952</v>
      </c>
    </row>
    <row r="1421" spans="1:37" ht="15" customHeight="1" x14ac:dyDescent="0.2">
      <c r="A1421" s="7" t="s">
        <v>3901</v>
      </c>
      <c r="B1421" s="7">
        <v>19200754</v>
      </c>
      <c r="D1421" s="8">
        <v>957180084</v>
      </c>
      <c r="E1421" s="8" t="str">
        <f>CONCATENATE(D1421,9)</f>
        <v>9571800849</v>
      </c>
      <c r="F1421" s="8" t="s">
        <v>1928</v>
      </c>
      <c r="G1421" s="8">
        <v>186.18</v>
      </c>
      <c r="H1421" s="8">
        <v>20250301</v>
      </c>
      <c r="I1421" s="8" t="str">
        <f t="shared" si="107"/>
        <v>3/1/2025</v>
      </c>
      <c r="J1421" s="8">
        <v>20240801</v>
      </c>
      <c r="K1421" s="8" t="str">
        <f t="shared" si="108"/>
        <v>8/1/2024</v>
      </c>
      <c r="L1421" s="8" t="s">
        <v>980</v>
      </c>
      <c r="M1421" s="8">
        <v>0.18</v>
      </c>
      <c r="N1421" s="8">
        <v>33.51</v>
      </c>
      <c r="O1421" s="6" t="s">
        <v>3944</v>
      </c>
    </row>
    <row r="1422" spans="1:37" ht="15" customHeight="1" x14ac:dyDescent="0.2">
      <c r="A1422" s="7" t="s">
        <v>3903</v>
      </c>
      <c r="B1422" s="7">
        <v>16633294</v>
      </c>
      <c r="C1422" s="8">
        <v>1</v>
      </c>
      <c r="D1422" s="8">
        <v>921033174</v>
      </c>
      <c r="E1422" s="8" t="str">
        <f t="shared" ref="E1422:E1434" si="109">CONCATENATE(D1422,22)</f>
        <v>92103317422</v>
      </c>
      <c r="F1422" s="8" t="s">
        <v>2073</v>
      </c>
      <c r="G1422" s="8">
        <v>1</v>
      </c>
      <c r="H1422" s="8">
        <v>20250401</v>
      </c>
      <c r="I1422" s="8" t="str">
        <f t="shared" si="107"/>
        <v>4/1/2025</v>
      </c>
      <c r="J1422" s="8">
        <v>20170101</v>
      </c>
      <c r="K1422" s="8" t="str">
        <f t="shared" si="108"/>
        <v>1/1/2017</v>
      </c>
      <c r="L1422" s="8" t="s">
        <v>56</v>
      </c>
      <c r="M1422" s="8">
        <v>20</v>
      </c>
      <c r="N1422" s="8">
        <v>20</v>
      </c>
      <c r="O1422" s="6" t="s">
        <v>3947</v>
      </c>
    </row>
    <row r="1423" spans="1:37" ht="15" customHeight="1" x14ac:dyDescent="0.2">
      <c r="A1423" s="7" t="s">
        <v>3903</v>
      </c>
      <c r="B1423" s="7">
        <v>16633294</v>
      </c>
      <c r="C1423" s="8">
        <v>1</v>
      </c>
      <c r="D1423" s="8">
        <v>921512482</v>
      </c>
      <c r="E1423" s="8" t="str">
        <f t="shared" si="109"/>
        <v>92151248222</v>
      </c>
      <c r="F1423" s="8" t="s">
        <v>2095</v>
      </c>
      <c r="G1423" s="8">
        <v>1</v>
      </c>
      <c r="H1423" s="8">
        <v>20250401</v>
      </c>
      <c r="I1423" s="8" t="str">
        <f t="shared" si="107"/>
        <v>4/1/2025</v>
      </c>
      <c r="J1423" s="8">
        <v>20230901</v>
      </c>
      <c r="K1423" s="8" t="str">
        <f t="shared" si="108"/>
        <v>9/1/2023</v>
      </c>
      <c r="L1423" s="8" t="s">
        <v>56</v>
      </c>
      <c r="M1423" s="8">
        <v>20</v>
      </c>
      <c r="N1423" s="8">
        <v>20</v>
      </c>
      <c r="O1423" s="6" t="s">
        <v>3947</v>
      </c>
    </row>
    <row r="1424" spans="1:37" ht="15" customHeight="1" x14ac:dyDescent="0.2">
      <c r="A1424" s="7" t="s">
        <v>3903</v>
      </c>
      <c r="B1424" s="7">
        <v>16633294</v>
      </c>
      <c r="C1424" s="8">
        <v>1</v>
      </c>
      <c r="D1424" s="8">
        <v>921538664</v>
      </c>
      <c r="E1424" s="8" t="str">
        <f t="shared" si="109"/>
        <v>92153866422</v>
      </c>
      <c r="F1424" s="8" t="s">
        <v>2103</v>
      </c>
      <c r="G1424" s="8">
        <v>1</v>
      </c>
      <c r="H1424" s="8">
        <v>20250401</v>
      </c>
      <c r="I1424" s="8" t="str">
        <f t="shared" si="107"/>
        <v>4/1/2025</v>
      </c>
      <c r="J1424" s="8">
        <v>20210101</v>
      </c>
      <c r="K1424" s="8" t="str">
        <f t="shared" si="108"/>
        <v>1/1/2021</v>
      </c>
      <c r="L1424" s="8" t="s">
        <v>56</v>
      </c>
      <c r="M1424" s="8">
        <v>20</v>
      </c>
      <c r="N1424" s="8">
        <v>20</v>
      </c>
      <c r="O1424" s="6" t="s">
        <v>3947</v>
      </c>
    </row>
    <row r="1425" spans="1:37" ht="15" customHeight="1" x14ac:dyDescent="0.2">
      <c r="A1425" s="7" t="s">
        <v>3903</v>
      </c>
      <c r="B1425" s="7">
        <v>16633294</v>
      </c>
      <c r="C1425" s="8">
        <v>1</v>
      </c>
      <c r="D1425" s="8">
        <v>921571172</v>
      </c>
      <c r="E1425" s="8" t="str">
        <f t="shared" si="109"/>
        <v>92157117222</v>
      </c>
      <c r="F1425" s="8" t="s">
        <v>2111</v>
      </c>
      <c r="G1425" s="8">
        <v>1</v>
      </c>
      <c r="H1425" s="8">
        <v>20250401</v>
      </c>
      <c r="I1425" s="8" t="str">
        <f t="shared" si="107"/>
        <v>4/1/2025</v>
      </c>
      <c r="J1425" s="8">
        <v>20210601</v>
      </c>
      <c r="K1425" s="8" t="str">
        <f t="shared" si="108"/>
        <v>6/1/2021</v>
      </c>
      <c r="L1425" s="8" t="s">
        <v>56</v>
      </c>
      <c r="M1425" s="8">
        <v>20</v>
      </c>
      <c r="N1425" s="8">
        <v>20</v>
      </c>
      <c r="O1425" s="6" t="s">
        <v>3947</v>
      </c>
    </row>
    <row r="1426" spans="1:37" ht="15" customHeight="1" x14ac:dyDescent="0.2">
      <c r="A1426" s="7" t="s">
        <v>3903</v>
      </c>
      <c r="B1426" s="7">
        <v>16633294</v>
      </c>
      <c r="C1426" s="8">
        <v>1</v>
      </c>
      <c r="D1426" s="8">
        <v>921631997</v>
      </c>
      <c r="E1426" s="8" t="str">
        <f t="shared" si="109"/>
        <v>92163199722</v>
      </c>
      <c r="F1426" s="8" t="s">
        <v>2123</v>
      </c>
      <c r="G1426" s="8">
        <v>1</v>
      </c>
      <c r="H1426" s="8">
        <v>20250401</v>
      </c>
      <c r="I1426" s="8" t="str">
        <f t="shared" si="107"/>
        <v>4/1/2025</v>
      </c>
      <c r="J1426" s="8">
        <v>20230101</v>
      </c>
      <c r="K1426" s="8" t="str">
        <f t="shared" si="108"/>
        <v>1/1/2023</v>
      </c>
      <c r="L1426" s="8" t="s">
        <v>56</v>
      </c>
      <c r="M1426" s="8">
        <v>20</v>
      </c>
      <c r="N1426" s="8">
        <v>20</v>
      </c>
      <c r="O1426" s="6" t="s">
        <v>3947</v>
      </c>
    </row>
    <row r="1427" spans="1:37" ht="15" customHeight="1" x14ac:dyDescent="0.2">
      <c r="A1427" s="7" t="s">
        <v>3903</v>
      </c>
      <c r="B1427" s="7">
        <v>16633294</v>
      </c>
      <c r="C1427" s="8">
        <v>1</v>
      </c>
      <c r="D1427" s="8">
        <v>921644463</v>
      </c>
      <c r="E1427" s="8" t="str">
        <f t="shared" si="109"/>
        <v>92164446322</v>
      </c>
      <c r="F1427" s="8" t="s">
        <v>2125</v>
      </c>
      <c r="G1427" s="8">
        <v>1</v>
      </c>
      <c r="H1427" s="8">
        <v>20250401</v>
      </c>
      <c r="I1427" s="8" t="str">
        <f t="shared" si="107"/>
        <v>4/1/2025</v>
      </c>
      <c r="J1427" s="8">
        <v>20230101</v>
      </c>
      <c r="K1427" s="8" t="str">
        <f t="shared" si="108"/>
        <v>1/1/2023</v>
      </c>
      <c r="L1427" s="8" t="s">
        <v>56</v>
      </c>
      <c r="M1427" s="8">
        <v>20</v>
      </c>
      <c r="N1427" s="8">
        <v>20</v>
      </c>
      <c r="O1427" s="6" t="s">
        <v>3947</v>
      </c>
    </row>
    <row r="1428" spans="1:37" ht="15" customHeight="1" x14ac:dyDescent="0.2">
      <c r="A1428" s="7" t="s">
        <v>3903</v>
      </c>
      <c r="B1428" s="7">
        <v>16633294</v>
      </c>
      <c r="C1428" s="8">
        <v>1</v>
      </c>
      <c r="D1428" s="8">
        <v>921653408</v>
      </c>
      <c r="E1428" s="8" t="str">
        <f t="shared" si="109"/>
        <v>92165340822</v>
      </c>
      <c r="F1428" s="8" t="s">
        <v>2129</v>
      </c>
      <c r="G1428" s="8">
        <v>1</v>
      </c>
      <c r="H1428" s="8">
        <v>20250401</v>
      </c>
      <c r="I1428" s="8" t="str">
        <f t="shared" si="107"/>
        <v>4/1/2025</v>
      </c>
      <c r="J1428" s="8">
        <v>20230301</v>
      </c>
      <c r="K1428" s="8" t="str">
        <f t="shared" si="108"/>
        <v>3/1/2023</v>
      </c>
      <c r="L1428" s="8" t="s">
        <v>56</v>
      </c>
      <c r="M1428" s="8">
        <v>20</v>
      </c>
      <c r="N1428" s="8">
        <v>20</v>
      </c>
      <c r="O1428" s="6" t="s">
        <v>3947</v>
      </c>
    </row>
    <row r="1429" spans="1:37" ht="15" customHeight="1" x14ac:dyDescent="0.2">
      <c r="A1429" s="7" t="s">
        <v>3903</v>
      </c>
      <c r="B1429" s="7">
        <v>16633294</v>
      </c>
      <c r="C1429" s="8">
        <v>1</v>
      </c>
      <c r="D1429" s="8">
        <v>921679779</v>
      </c>
      <c r="E1429" s="8" t="str">
        <f t="shared" si="109"/>
        <v>92167977922</v>
      </c>
      <c r="F1429" s="8" t="s">
        <v>2137</v>
      </c>
      <c r="G1429" s="8">
        <v>1</v>
      </c>
      <c r="H1429" s="8">
        <v>20250401</v>
      </c>
      <c r="I1429" s="8" t="str">
        <f t="shared" si="107"/>
        <v>4/1/2025</v>
      </c>
      <c r="J1429" s="8">
        <v>20240101</v>
      </c>
      <c r="K1429" s="8" t="str">
        <f t="shared" si="108"/>
        <v>1/1/2024</v>
      </c>
      <c r="L1429" s="8" t="s">
        <v>56</v>
      </c>
      <c r="M1429" s="8">
        <v>20</v>
      </c>
      <c r="N1429" s="8">
        <v>20</v>
      </c>
      <c r="O1429" s="6" t="s">
        <v>3947</v>
      </c>
    </row>
    <row r="1430" spans="1:37" ht="15" customHeight="1" x14ac:dyDescent="0.2">
      <c r="A1430" s="7" t="s">
        <v>3903</v>
      </c>
      <c r="B1430" s="7">
        <v>16633294</v>
      </c>
      <c r="C1430" s="8">
        <v>2</v>
      </c>
      <c r="D1430" s="8">
        <v>921512523</v>
      </c>
      <c r="E1430" s="8" t="str">
        <f t="shared" si="109"/>
        <v>92151252322</v>
      </c>
      <c r="F1430" s="8" t="s">
        <v>2097</v>
      </c>
      <c r="G1430" s="8">
        <v>1</v>
      </c>
      <c r="H1430" s="8">
        <v>20250401</v>
      </c>
      <c r="I1430" s="8" t="str">
        <f t="shared" si="107"/>
        <v>4/1/2025</v>
      </c>
      <c r="J1430" s="8">
        <v>20200201</v>
      </c>
      <c r="K1430" s="8" t="str">
        <f t="shared" si="108"/>
        <v>2/1/2020</v>
      </c>
      <c r="L1430" s="8" t="s">
        <v>56</v>
      </c>
      <c r="M1430" s="8">
        <v>20</v>
      </c>
      <c r="N1430" s="8">
        <v>40</v>
      </c>
      <c r="O1430" s="6" t="s">
        <v>3947</v>
      </c>
      <c r="P1430" s="6" t="s">
        <v>3952</v>
      </c>
    </row>
    <row r="1431" spans="1:37" ht="15" customHeight="1" x14ac:dyDescent="0.2">
      <c r="A1431" s="7" t="s">
        <v>3903</v>
      </c>
      <c r="B1431" s="7">
        <v>16633294</v>
      </c>
      <c r="C1431" s="8">
        <v>3</v>
      </c>
      <c r="D1431" s="8">
        <v>921052920</v>
      </c>
      <c r="E1431" s="8" t="str">
        <f t="shared" si="109"/>
        <v>92105292022</v>
      </c>
      <c r="F1431" s="8" t="s">
        <v>2075</v>
      </c>
      <c r="G1431" s="8">
        <v>1</v>
      </c>
      <c r="H1431" s="8">
        <v>20250301</v>
      </c>
      <c r="I1431" s="8" t="str">
        <f t="shared" si="107"/>
        <v>3/1/2025</v>
      </c>
      <c r="J1431" s="8">
        <v>20240101</v>
      </c>
      <c r="K1431" s="8" t="str">
        <f t="shared" si="108"/>
        <v>1/1/2024</v>
      </c>
      <c r="L1431" s="8" t="s">
        <v>56</v>
      </c>
      <c r="M1431" s="8">
        <v>20</v>
      </c>
      <c r="N1431" s="8">
        <v>60</v>
      </c>
      <c r="O1431" s="6" t="s">
        <v>3947</v>
      </c>
      <c r="P1431" s="6" t="s">
        <v>3953</v>
      </c>
    </row>
    <row r="1432" spans="1:37" ht="15" customHeight="1" x14ac:dyDescent="0.2">
      <c r="A1432" s="7" t="s">
        <v>3903</v>
      </c>
      <c r="B1432" s="7">
        <v>16633294</v>
      </c>
      <c r="C1432" s="8">
        <v>4</v>
      </c>
      <c r="D1432" s="8">
        <v>921029346</v>
      </c>
      <c r="E1432" s="8" t="str">
        <f t="shared" si="109"/>
        <v>92102934622</v>
      </c>
      <c r="F1432" s="8" t="s">
        <v>2071</v>
      </c>
      <c r="G1432" s="8">
        <v>1</v>
      </c>
      <c r="H1432" s="8">
        <v>20250301</v>
      </c>
      <c r="I1432" s="8" t="str">
        <f t="shared" si="107"/>
        <v>3/1/2025</v>
      </c>
      <c r="J1432" s="8">
        <v>20220101</v>
      </c>
      <c r="K1432" s="8" t="str">
        <f t="shared" si="108"/>
        <v>1/1/2022</v>
      </c>
      <c r="L1432" s="8" t="s">
        <v>56</v>
      </c>
      <c r="M1432" s="8">
        <v>20</v>
      </c>
      <c r="N1432" s="8">
        <v>80</v>
      </c>
      <c r="O1432" s="6" t="s">
        <v>3947</v>
      </c>
      <c r="P1432" s="6" t="s">
        <v>3954</v>
      </c>
    </row>
    <row r="1433" spans="1:37" ht="15" customHeight="1" x14ac:dyDescent="0.2">
      <c r="A1433" s="7" t="s">
        <v>3903</v>
      </c>
      <c r="B1433" s="7">
        <v>16633294</v>
      </c>
      <c r="C1433" s="8">
        <v>1</v>
      </c>
      <c r="D1433" s="8">
        <v>921737365</v>
      </c>
      <c r="E1433" s="8" t="str">
        <f t="shared" si="109"/>
        <v>92173736522</v>
      </c>
      <c r="F1433" s="8" t="s">
        <v>2143</v>
      </c>
      <c r="G1433" s="8">
        <v>1</v>
      </c>
      <c r="H1433" s="8">
        <v>20250401</v>
      </c>
      <c r="I1433" s="8" t="str">
        <f t="shared" si="107"/>
        <v>4/1/2025</v>
      </c>
      <c r="J1433" s="8">
        <v>20240901</v>
      </c>
      <c r="K1433" s="8" t="str">
        <f t="shared" si="108"/>
        <v>9/1/2024</v>
      </c>
      <c r="L1433" s="8" t="s">
        <v>56</v>
      </c>
      <c r="M1433" s="8">
        <v>25</v>
      </c>
      <c r="N1433" s="8">
        <v>25</v>
      </c>
      <c r="O1433" s="6" t="s">
        <v>3947</v>
      </c>
    </row>
    <row r="1434" spans="1:37" ht="15" customHeight="1" x14ac:dyDescent="0.2">
      <c r="A1434" s="7" t="s">
        <v>3903</v>
      </c>
      <c r="B1434" s="7">
        <v>16633294</v>
      </c>
      <c r="C1434" s="8">
        <v>1</v>
      </c>
      <c r="D1434" s="8">
        <v>921737764</v>
      </c>
      <c r="E1434" s="8" t="str">
        <f t="shared" si="109"/>
        <v>92173776422</v>
      </c>
      <c r="F1434" s="8" t="s">
        <v>2145</v>
      </c>
      <c r="G1434" s="8">
        <v>1</v>
      </c>
      <c r="H1434" s="8">
        <v>20250401</v>
      </c>
      <c r="I1434" s="8" t="str">
        <f t="shared" si="107"/>
        <v>4/1/2025</v>
      </c>
      <c r="J1434" s="8">
        <v>20240901</v>
      </c>
      <c r="K1434" s="8" t="str">
        <f t="shared" si="108"/>
        <v>9/1/2024</v>
      </c>
      <c r="L1434" s="8" t="s">
        <v>56</v>
      </c>
      <c r="M1434" s="8">
        <v>25</v>
      </c>
      <c r="N1434" s="8">
        <v>25</v>
      </c>
      <c r="O1434" s="6" t="s">
        <v>3947</v>
      </c>
    </row>
    <row r="1435" spans="1:37" ht="15" customHeight="1" x14ac:dyDescent="0.2">
      <c r="A1435" s="7" t="s">
        <v>3903</v>
      </c>
      <c r="B1435" s="7">
        <v>16633294</v>
      </c>
      <c r="C1435" s="8">
        <v>1</v>
      </c>
      <c r="D1435" s="8">
        <v>920907087</v>
      </c>
      <c r="E1435" s="8" t="str">
        <f t="shared" ref="E1435:E1446" si="110">CONCATENATE(D1435,33)</f>
        <v>92090708733</v>
      </c>
      <c r="F1435" s="8" t="s">
        <v>2069</v>
      </c>
      <c r="G1435" s="8">
        <v>1</v>
      </c>
      <c r="H1435" s="8">
        <v>20250401</v>
      </c>
      <c r="I1435" s="8" t="str">
        <f t="shared" si="107"/>
        <v>4/1/2025</v>
      </c>
      <c r="J1435" s="8">
        <v>20210101</v>
      </c>
      <c r="K1435" s="8" t="str">
        <f t="shared" si="108"/>
        <v>1/1/2021</v>
      </c>
      <c r="L1435" s="8" t="s">
        <v>198</v>
      </c>
      <c r="M1435" s="8">
        <v>15</v>
      </c>
      <c r="N1435" s="8">
        <v>15</v>
      </c>
      <c r="O1435" s="6" t="s">
        <v>3950</v>
      </c>
    </row>
    <row r="1436" spans="1:37" ht="15" customHeight="1" x14ac:dyDescent="0.2">
      <c r="A1436" s="7" t="s">
        <v>3903</v>
      </c>
      <c r="B1436" s="7">
        <v>16633294</v>
      </c>
      <c r="C1436" s="8">
        <v>1</v>
      </c>
      <c r="D1436" s="8">
        <v>920907087</v>
      </c>
      <c r="E1436" s="8" t="str">
        <f t="shared" si="110"/>
        <v>92090708733</v>
      </c>
      <c r="F1436" s="8" t="s">
        <v>2069</v>
      </c>
      <c r="G1436" s="8">
        <v>1</v>
      </c>
      <c r="H1436" s="8">
        <v>20250301</v>
      </c>
      <c r="I1436" s="8" t="str">
        <f t="shared" si="107"/>
        <v>3/1/2025</v>
      </c>
      <c r="J1436" s="8">
        <v>20210101</v>
      </c>
      <c r="K1436" s="8" t="str">
        <f t="shared" si="108"/>
        <v>1/1/2021</v>
      </c>
      <c r="L1436" s="8" t="s">
        <v>198</v>
      </c>
      <c r="M1436" s="8">
        <v>15</v>
      </c>
      <c r="N1436" s="8">
        <v>15</v>
      </c>
      <c r="O1436" s="6" t="s">
        <v>3950</v>
      </c>
    </row>
    <row r="1437" spans="1:37" s="12" customFormat="1" ht="15" customHeight="1" x14ac:dyDescent="0.2">
      <c r="A1437" s="7" t="s">
        <v>3903</v>
      </c>
      <c r="B1437" s="7">
        <v>16633294</v>
      </c>
      <c r="C1437" s="8">
        <v>2</v>
      </c>
      <c r="D1437" s="8">
        <v>890070450</v>
      </c>
      <c r="E1437" s="8" t="str">
        <f t="shared" si="110"/>
        <v>89007045033</v>
      </c>
      <c r="F1437" s="8" t="s">
        <v>2060</v>
      </c>
      <c r="G1437" s="8">
        <v>1</v>
      </c>
      <c r="H1437" s="8">
        <v>20250401</v>
      </c>
      <c r="I1437" s="8" t="str">
        <f t="shared" si="107"/>
        <v>4/1/2025</v>
      </c>
      <c r="J1437" s="8">
        <v>20240101</v>
      </c>
      <c r="K1437" s="8" t="str">
        <f t="shared" si="108"/>
        <v>1/1/2024</v>
      </c>
      <c r="L1437" s="8" t="s">
        <v>198</v>
      </c>
      <c r="M1437" s="8">
        <v>15</v>
      </c>
      <c r="N1437" s="8">
        <v>30</v>
      </c>
      <c r="O1437" s="6" t="s">
        <v>3950</v>
      </c>
      <c r="P1437" s="6" t="s">
        <v>3952</v>
      </c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</row>
    <row r="1438" spans="1:37" s="12" customFormat="1" ht="15" customHeight="1" x14ac:dyDescent="0.2">
      <c r="A1438" s="7" t="s">
        <v>3903</v>
      </c>
      <c r="B1438" s="7">
        <v>16633294</v>
      </c>
      <c r="C1438" s="8">
        <v>1</v>
      </c>
      <c r="D1438" s="8">
        <v>920863815</v>
      </c>
      <c r="E1438" s="8" t="str">
        <f t="shared" si="110"/>
        <v>92086381533</v>
      </c>
      <c r="F1438" s="8" t="s">
        <v>2067</v>
      </c>
      <c r="G1438" s="8">
        <v>1</v>
      </c>
      <c r="H1438" s="8">
        <v>20250401</v>
      </c>
      <c r="I1438" s="8" t="str">
        <f t="shared" si="107"/>
        <v>4/1/2025</v>
      </c>
      <c r="J1438" s="8">
        <v>20250201</v>
      </c>
      <c r="K1438" s="8" t="str">
        <f t="shared" si="108"/>
        <v>2/1/2025</v>
      </c>
      <c r="L1438" s="8" t="s">
        <v>198</v>
      </c>
      <c r="M1438" s="8">
        <v>20</v>
      </c>
      <c r="N1438" s="8">
        <v>20</v>
      </c>
      <c r="O1438" s="6" t="s">
        <v>3950</v>
      </c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</row>
    <row r="1439" spans="1:37" s="12" customFormat="1" ht="15" customHeight="1" x14ac:dyDescent="0.2">
      <c r="A1439" s="7" t="s">
        <v>3903</v>
      </c>
      <c r="B1439" s="7">
        <v>16633294</v>
      </c>
      <c r="C1439" s="8">
        <v>1</v>
      </c>
      <c r="D1439" s="8">
        <v>921508269</v>
      </c>
      <c r="E1439" s="8" t="str">
        <f t="shared" si="110"/>
        <v>92150826933</v>
      </c>
      <c r="F1439" s="8" t="s">
        <v>2093</v>
      </c>
      <c r="G1439" s="8">
        <v>1</v>
      </c>
      <c r="H1439" s="8">
        <v>20250401</v>
      </c>
      <c r="I1439" s="8" t="str">
        <f t="shared" si="107"/>
        <v>4/1/2025</v>
      </c>
      <c r="J1439" s="8">
        <v>20240901</v>
      </c>
      <c r="K1439" s="8" t="str">
        <f t="shared" si="108"/>
        <v>9/1/2024</v>
      </c>
      <c r="L1439" s="8" t="s">
        <v>198</v>
      </c>
      <c r="M1439" s="8">
        <v>20</v>
      </c>
      <c r="N1439" s="8">
        <v>20</v>
      </c>
      <c r="O1439" s="6" t="s">
        <v>3950</v>
      </c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</row>
    <row r="1440" spans="1:37" s="12" customFormat="1" ht="15" customHeight="1" x14ac:dyDescent="0.2">
      <c r="A1440" s="7" t="s">
        <v>3903</v>
      </c>
      <c r="B1440" s="7">
        <v>16633294</v>
      </c>
      <c r="C1440" s="8">
        <v>1</v>
      </c>
      <c r="D1440" s="8">
        <v>921508269</v>
      </c>
      <c r="E1440" s="8" t="str">
        <f t="shared" si="110"/>
        <v>92150826933</v>
      </c>
      <c r="F1440" s="8" t="s">
        <v>2093</v>
      </c>
      <c r="G1440" s="8">
        <v>1</v>
      </c>
      <c r="H1440" s="8">
        <v>20250301</v>
      </c>
      <c r="I1440" s="8" t="str">
        <f t="shared" si="107"/>
        <v>3/1/2025</v>
      </c>
      <c r="J1440" s="8">
        <v>20240901</v>
      </c>
      <c r="K1440" s="8" t="str">
        <f t="shared" si="108"/>
        <v>9/1/2024</v>
      </c>
      <c r="L1440" s="8" t="s">
        <v>198</v>
      </c>
      <c r="M1440" s="8">
        <v>20</v>
      </c>
      <c r="N1440" s="8">
        <v>20</v>
      </c>
      <c r="O1440" s="6" t="s">
        <v>3950</v>
      </c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</row>
    <row r="1441" spans="1:37" s="12" customFormat="1" ht="15" customHeight="1" x14ac:dyDescent="0.2">
      <c r="A1441" s="7" t="s">
        <v>3903</v>
      </c>
      <c r="B1441" s="7">
        <v>16633294</v>
      </c>
      <c r="C1441" s="8">
        <v>1</v>
      </c>
      <c r="D1441" s="8">
        <v>921749141</v>
      </c>
      <c r="E1441" s="8" t="str">
        <f t="shared" si="110"/>
        <v>92174914133</v>
      </c>
      <c r="F1441" s="8" t="s">
        <v>2147</v>
      </c>
      <c r="G1441" s="8">
        <v>1</v>
      </c>
      <c r="H1441" s="8">
        <v>20250401</v>
      </c>
      <c r="I1441" s="8" t="str">
        <f t="shared" si="107"/>
        <v>4/1/2025</v>
      </c>
      <c r="J1441" s="8">
        <v>20250101</v>
      </c>
      <c r="K1441" s="8" t="str">
        <f t="shared" si="108"/>
        <v>1/1/2025</v>
      </c>
      <c r="L1441" s="8" t="s">
        <v>198</v>
      </c>
      <c r="M1441" s="8">
        <v>20</v>
      </c>
      <c r="N1441" s="8">
        <v>20</v>
      </c>
      <c r="O1441" s="6" t="s">
        <v>3950</v>
      </c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</row>
    <row r="1442" spans="1:37" s="12" customFormat="1" ht="15" customHeight="1" x14ac:dyDescent="0.2">
      <c r="A1442" s="7" t="s">
        <v>3903</v>
      </c>
      <c r="B1442" s="7">
        <v>16633294</v>
      </c>
      <c r="C1442" s="8">
        <v>1</v>
      </c>
      <c r="D1442" s="8">
        <v>921769703</v>
      </c>
      <c r="E1442" s="8" t="str">
        <f t="shared" si="110"/>
        <v>92176970333</v>
      </c>
      <c r="F1442" s="8" t="s">
        <v>2153</v>
      </c>
      <c r="G1442" s="8">
        <v>1</v>
      </c>
      <c r="H1442" s="8">
        <v>20250401</v>
      </c>
      <c r="I1442" s="8" t="str">
        <f t="shared" si="107"/>
        <v>4/1/2025</v>
      </c>
      <c r="J1442" s="8">
        <v>20250201</v>
      </c>
      <c r="K1442" s="8" t="str">
        <f t="shared" si="108"/>
        <v>2/1/2025</v>
      </c>
      <c r="L1442" s="8" t="s">
        <v>198</v>
      </c>
      <c r="M1442" s="8">
        <v>20</v>
      </c>
      <c r="N1442" s="8">
        <v>20</v>
      </c>
      <c r="O1442" s="6" t="s">
        <v>3950</v>
      </c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</row>
    <row r="1443" spans="1:37" s="12" customFormat="1" ht="15" customHeight="1" x14ac:dyDescent="0.2">
      <c r="A1443" s="7" t="s">
        <v>3903</v>
      </c>
      <c r="B1443" s="7">
        <v>16633294</v>
      </c>
      <c r="C1443" s="8">
        <v>1</v>
      </c>
      <c r="D1443" s="8">
        <v>921771397</v>
      </c>
      <c r="E1443" s="8" t="str">
        <f t="shared" si="110"/>
        <v>92177139733</v>
      </c>
      <c r="F1443" s="8" t="s">
        <v>2155</v>
      </c>
      <c r="G1443" s="8">
        <v>1</v>
      </c>
      <c r="H1443" s="8">
        <v>20250401</v>
      </c>
      <c r="I1443" s="8" t="str">
        <f t="shared" si="107"/>
        <v>4/1/2025</v>
      </c>
      <c r="J1443" s="8">
        <v>20250201</v>
      </c>
      <c r="K1443" s="8" t="str">
        <f t="shared" si="108"/>
        <v>2/1/2025</v>
      </c>
      <c r="L1443" s="8" t="s">
        <v>198</v>
      </c>
      <c r="M1443" s="8">
        <v>20</v>
      </c>
      <c r="N1443" s="8">
        <v>20</v>
      </c>
      <c r="O1443" s="6" t="s">
        <v>3950</v>
      </c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</row>
    <row r="1444" spans="1:37" s="12" customFormat="1" ht="15" customHeight="1" x14ac:dyDescent="0.2">
      <c r="A1444" s="7" t="s">
        <v>3903</v>
      </c>
      <c r="B1444" s="7">
        <v>16633294</v>
      </c>
      <c r="C1444" s="8">
        <v>1</v>
      </c>
      <c r="D1444" s="8">
        <v>921775272</v>
      </c>
      <c r="E1444" s="8" t="str">
        <f t="shared" si="110"/>
        <v>92177527233</v>
      </c>
      <c r="F1444" s="8" t="s">
        <v>2159</v>
      </c>
      <c r="G1444" s="8">
        <v>1</v>
      </c>
      <c r="H1444" s="8">
        <v>20250401</v>
      </c>
      <c r="I1444" s="8" t="str">
        <f t="shared" si="107"/>
        <v>4/1/2025</v>
      </c>
      <c r="J1444" s="8">
        <v>20250201</v>
      </c>
      <c r="K1444" s="8" t="str">
        <f t="shared" si="108"/>
        <v>2/1/2025</v>
      </c>
      <c r="L1444" s="8" t="s">
        <v>198</v>
      </c>
      <c r="M1444" s="8">
        <v>20</v>
      </c>
      <c r="N1444" s="8">
        <v>20</v>
      </c>
      <c r="O1444" s="6" t="s">
        <v>3950</v>
      </c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</row>
    <row r="1445" spans="1:37" s="12" customFormat="1" ht="15" customHeight="1" x14ac:dyDescent="0.2">
      <c r="A1445" s="7" t="s">
        <v>3903</v>
      </c>
      <c r="B1445" s="7">
        <v>16633294</v>
      </c>
      <c r="C1445" s="8">
        <v>2</v>
      </c>
      <c r="D1445" s="8">
        <v>921085713</v>
      </c>
      <c r="E1445" s="8" t="str">
        <f t="shared" si="110"/>
        <v>92108571333</v>
      </c>
      <c r="F1445" s="8" t="s">
        <v>2079</v>
      </c>
      <c r="G1445" s="8">
        <v>1</v>
      </c>
      <c r="H1445" s="8">
        <v>20250401</v>
      </c>
      <c r="I1445" s="8" t="str">
        <f t="shared" si="107"/>
        <v>4/1/2025</v>
      </c>
      <c r="J1445" s="8">
        <v>20250101</v>
      </c>
      <c r="K1445" s="8" t="str">
        <f t="shared" si="108"/>
        <v>1/1/2025</v>
      </c>
      <c r="L1445" s="8" t="s">
        <v>198</v>
      </c>
      <c r="M1445" s="8">
        <v>20</v>
      </c>
      <c r="N1445" s="8">
        <v>40</v>
      </c>
      <c r="O1445" s="6" t="s">
        <v>3950</v>
      </c>
      <c r="P1445" s="6" t="s">
        <v>3952</v>
      </c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</row>
    <row r="1446" spans="1:37" s="12" customFormat="1" ht="15" customHeight="1" x14ac:dyDescent="0.2">
      <c r="A1446" s="7" t="s">
        <v>3903</v>
      </c>
      <c r="B1446" s="7">
        <v>16633294</v>
      </c>
      <c r="C1446" s="8">
        <v>2</v>
      </c>
      <c r="D1446" s="8">
        <v>921765577</v>
      </c>
      <c r="E1446" s="8" t="str">
        <f t="shared" si="110"/>
        <v>92176557733</v>
      </c>
      <c r="F1446" s="8" t="s">
        <v>2149</v>
      </c>
      <c r="G1446" s="8">
        <v>1</v>
      </c>
      <c r="H1446" s="8">
        <v>20250401</v>
      </c>
      <c r="I1446" s="8" t="str">
        <f t="shared" si="107"/>
        <v>4/1/2025</v>
      </c>
      <c r="J1446" s="8">
        <v>20250101</v>
      </c>
      <c r="K1446" s="8" t="str">
        <f t="shared" si="108"/>
        <v>1/1/2025</v>
      </c>
      <c r="L1446" s="8" t="s">
        <v>198</v>
      </c>
      <c r="M1446" s="8">
        <v>20</v>
      </c>
      <c r="N1446" s="8">
        <v>40</v>
      </c>
      <c r="O1446" s="6" t="s">
        <v>3950</v>
      </c>
      <c r="P1446" s="6" t="s">
        <v>3952</v>
      </c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</row>
    <row r="1447" spans="1:37" s="12" customFormat="1" ht="15" customHeight="1" x14ac:dyDescent="0.3">
      <c r="A1447" s="7" t="s">
        <v>3903</v>
      </c>
      <c r="B1447" s="7">
        <v>16633294</v>
      </c>
      <c r="C1447" s="8">
        <v>1</v>
      </c>
      <c r="D1447" s="8">
        <v>920791902</v>
      </c>
      <c r="E1447" s="8" t="str">
        <f t="shared" ref="E1447:E1459" si="111">CONCATENATE(D1447,44)</f>
        <v>92079190244</v>
      </c>
      <c r="F1447" s="8" t="s">
        <v>2063</v>
      </c>
      <c r="G1447" s="8">
        <v>1</v>
      </c>
      <c r="H1447" s="8">
        <v>20250401</v>
      </c>
      <c r="I1447" s="8" t="str">
        <f t="shared" si="107"/>
        <v>4/1/2025</v>
      </c>
      <c r="J1447" s="8">
        <v>20180101</v>
      </c>
      <c r="K1447" s="8" t="str">
        <f t="shared" si="108"/>
        <v>1/1/2018</v>
      </c>
      <c r="L1447" s="8" t="s">
        <v>65</v>
      </c>
      <c r="M1447" s="8">
        <v>25</v>
      </c>
      <c r="N1447" s="8">
        <v>25</v>
      </c>
      <c r="O1447" s="14" t="s">
        <v>3948</v>
      </c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</row>
    <row r="1448" spans="1:37" ht="15" customHeight="1" x14ac:dyDescent="0.3">
      <c r="A1448" s="7" t="s">
        <v>3903</v>
      </c>
      <c r="B1448" s="7">
        <v>16633294</v>
      </c>
      <c r="C1448" s="8">
        <v>1</v>
      </c>
      <c r="D1448" s="8">
        <v>921053033</v>
      </c>
      <c r="E1448" s="8" t="str">
        <f t="shared" si="111"/>
        <v>92105303344</v>
      </c>
      <c r="F1448" s="8" t="s">
        <v>2077</v>
      </c>
      <c r="G1448" s="8">
        <v>1</v>
      </c>
      <c r="H1448" s="8">
        <v>20250301</v>
      </c>
      <c r="I1448" s="8" t="str">
        <f t="shared" si="107"/>
        <v>3/1/2025</v>
      </c>
      <c r="J1448" s="8">
        <v>20150101</v>
      </c>
      <c r="K1448" s="8" t="str">
        <f t="shared" si="108"/>
        <v>1/1/2015</v>
      </c>
      <c r="L1448" s="8" t="s">
        <v>65</v>
      </c>
      <c r="M1448" s="8">
        <v>25</v>
      </c>
      <c r="N1448" s="8">
        <v>25</v>
      </c>
      <c r="O1448" s="14" t="s">
        <v>3948</v>
      </c>
    </row>
    <row r="1449" spans="1:37" ht="15" customHeight="1" x14ac:dyDescent="0.3">
      <c r="A1449" s="7" t="s">
        <v>3903</v>
      </c>
      <c r="B1449" s="7">
        <v>16633294</v>
      </c>
      <c r="C1449" s="8">
        <v>1</v>
      </c>
      <c r="D1449" s="8">
        <v>921190036</v>
      </c>
      <c r="E1449" s="8" t="str">
        <f t="shared" si="111"/>
        <v>92119003644</v>
      </c>
      <c r="F1449" s="8" t="s">
        <v>2081</v>
      </c>
      <c r="G1449" s="8">
        <v>1</v>
      </c>
      <c r="H1449" s="8">
        <v>20250401</v>
      </c>
      <c r="I1449" s="8" t="str">
        <f t="shared" si="107"/>
        <v>4/1/2025</v>
      </c>
      <c r="J1449" s="8">
        <v>20190101</v>
      </c>
      <c r="K1449" s="8" t="str">
        <f t="shared" si="108"/>
        <v>1/1/2019</v>
      </c>
      <c r="L1449" s="8" t="s">
        <v>65</v>
      </c>
      <c r="M1449" s="8">
        <v>25</v>
      </c>
      <c r="N1449" s="8">
        <v>25</v>
      </c>
      <c r="O1449" s="14" t="s">
        <v>3948</v>
      </c>
    </row>
    <row r="1450" spans="1:37" ht="15" customHeight="1" x14ac:dyDescent="0.3">
      <c r="A1450" s="7" t="s">
        <v>3903</v>
      </c>
      <c r="B1450" s="7">
        <v>16633294</v>
      </c>
      <c r="C1450" s="8">
        <v>1</v>
      </c>
      <c r="D1450" s="8">
        <v>921651990</v>
      </c>
      <c r="E1450" s="8" t="str">
        <f t="shared" si="111"/>
        <v>92165199044</v>
      </c>
      <c r="F1450" s="8" t="s">
        <v>2127</v>
      </c>
      <c r="G1450" s="8">
        <v>1</v>
      </c>
      <c r="H1450" s="8">
        <v>20250401</v>
      </c>
      <c r="I1450" s="8" t="str">
        <f t="shared" si="107"/>
        <v>4/1/2025</v>
      </c>
      <c r="J1450" s="8">
        <v>20230301</v>
      </c>
      <c r="K1450" s="8" t="str">
        <f t="shared" si="108"/>
        <v>3/1/2023</v>
      </c>
      <c r="L1450" s="8" t="s">
        <v>65</v>
      </c>
      <c r="M1450" s="8">
        <v>25</v>
      </c>
      <c r="N1450" s="8">
        <v>25</v>
      </c>
      <c r="O1450" s="14" t="s">
        <v>3948</v>
      </c>
    </row>
    <row r="1451" spans="1:37" ht="15" customHeight="1" x14ac:dyDescent="0.3">
      <c r="A1451" s="7" t="s">
        <v>3903</v>
      </c>
      <c r="B1451" s="7">
        <v>16633294</v>
      </c>
      <c r="C1451" s="8">
        <v>1</v>
      </c>
      <c r="D1451" s="8">
        <v>921689366</v>
      </c>
      <c r="E1451" s="8" t="str">
        <f t="shared" si="111"/>
        <v>92168936644</v>
      </c>
      <c r="F1451" s="8" t="s">
        <v>2139</v>
      </c>
      <c r="G1451" s="8">
        <v>1</v>
      </c>
      <c r="H1451" s="8">
        <v>20250401</v>
      </c>
      <c r="I1451" s="8" t="str">
        <f t="shared" si="107"/>
        <v>4/1/2025</v>
      </c>
      <c r="J1451" s="8">
        <v>20240101</v>
      </c>
      <c r="K1451" s="8" t="str">
        <f t="shared" si="108"/>
        <v>1/1/2024</v>
      </c>
      <c r="L1451" s="8" t="s">
        <v>65</v>
      </c>
      <c r="M1451" s="8">
        <v>25</v>
      </c>
      <c r="N1451" s="8">
        <v>25</v>
      </c>
      <c r="O1451" s="14" t="s">
        <v>3948</v>
      </c>
    </row>
    <row r="1452" spans="1:37" ht="15" customHeight="1" x14ac:dyDescent="0.3">
      <c r="A1452" s="7" t="s">
        <v>3903</v>
      </c>
      <c r="B1452" s="7">
        <v>16633294</v>
      </c>
      <c r="C1452" s="8">
        <v>3</v>
      </c>
      <c r="D1452" s="8">
        <v>921382324</v>
      </c>
      <c r="E1452" s="8" t="str">
        <f t="shared" si="111"/>
        <v>92138232444</v>
      </c>
      <c r="F1452" s="8" t="s">
        <v>2087</v>
      </c>
      <c r="G1452" s="8">
        <v>1</v>
      </c>
      <c r="H1452" s="8">
        <v>20250401</v>
      </c>
      <c r="I1452" s="8" t="str">
        <f t="shared" si="107"/>
        <v>4/1/2025</v>
      </c>
      <c r="J1452" s="8">
        <v>20180101</v>
      </c>
      <c r="K1452" s="8" t="str">
        <f t="shared" si="108"/>
        <v>1/1/2018</v>
      </c>
      <c r="L1452" s="8" t="s">
        <v>65</v>
      </c>
      <c r="M1452" s="8">
        <v>25</v>
      </c>
      <c r="N1452" s="8">
        <v>75</v>
      </c>
      <c r="O1452" s="14" t="s">
        <v>3948</v>
      </c>
      <c r="P1452" s="6" t="s">
        <v>3953</v>
      </c>
    </row>
    <row r="1453" spans="1:37" ht="15" customHeight="1" x14ac:dyDescent="0.3">
      <c r="A1453" s="7" t="s">
        <v>3903</v>
      </c>
      <c r="B1453" s="7">
        <v>16633294</v>
      </c>
      <c r="C1453" s="8">
        <v>1</v>
      </c>
      <c r="D1453" s="8">
        <v>921453217</v>
      </c>
      <c r="E1453" s="8" t="str">
        <f t="shared" si="111"/>
        <v>92145321744</v>
      </c>
      <c r="F1453" s="8" t="s">
        <v>2089</v>
      </c>
      <c r="G1453" s="8">
        <v>1</v>
      </c>
      <c r="H1453" s="8">
        <v>20250401</v>
      </c>
      <c r="I1453" s="8" t="str">
        <f t="shared" si="107"/>
        <v>4/1/2025</v>
      </c>
      <c r="J1453" s="8">
        <v>20250201</v>
      </c>
      <c r="K1453" s="8" t="str">
        <f t="shared" si="108"/>
        <v>2/1/2025</v>
      </c>
      <c r="L1453" s="8" t="s">
        <v>65</v>
      </c>
      <c r="M1453" s="8">
        <v>30</v>
      </c>
      <c r="N1453" s="8">
        <v>30</v>
      </c>
      <c r="O1453" s="14" t="s">
        <v>3948</v>
      </c>
    </row>
    <row r="1454" spans="1:37" ht="15" customHeight="1" x14ac:dyDescent="0.3">
      <c r="A1454" s="7" t="s">
        <v>3903</v>
      </c>
      <c r="B1454" s="7">
        <v>16633294</v>
      </c>
      <c r="C1454" s="8">
        <v>1</v>
      </c>
      <c r="D1454" s="8">
        <v>921546978</v>
      </c>
      <c r="E1454" s="8" t="str">
        <f t="shared" si="111"/>
        <v>92154697844</v>
      </c>
      <c r="F1454" s="8" t="s">
        <v>2105</v>
      </c>
      <c r="G1454" s="8">
        <v>1</v>
      </c>
      <c r="H1454" s="8">
        <v>20250401</v>
      </c>
      <c r="I1454" s="8" t="str">
        <f t="shared" si="107"/>
        <v>4/1/2025</v>
      </c>
      <c r="J1454" s="8">
        <v>20240601</v>
      </c>
      <c r="K1454" s="8" t="str">
        <f t="shared" si="108"/>
        <v>6/1/2024</v>
      </c>
      <c r="L1454" s="8" t="s">
        <v>65</v>
      </c>
      <c r="M1454" s="8">
        <v>30</v>
      </c>
      <c r="N1454" s="8">
        <v>30</v>
      </c>
      <c r="O1454" s="14" t="s">
        <v>3948</v>
      </c>
    </row>
    <row r="1455" spans="1:37" ht="15" customHeight="1" x14ac:dyDescent="0.3">
      <c r="A1455" s="7" t="s">
        <v>3903</v>
      </c>
      <c r="B1455" s="7">
        <v>16633294</v>
      </c>
      <c r="C1455" s="8">
        <v>1</v>
      </c>
      <c r="D1455" s="8">
        <v>921546978</v>
      </c>
      <c r="E1455" s="8" t="str">
        <f t="shared" si="111"/>
        <v>92154697844</v>
      </c>
      <c r="F1455" s="8" t="s">
        <v>2105</v>
      </c>
      <c r="G1455" s="8">
        <v>1</v>
      </c>
      <c r="H1455" s="8">
        <v>20250301</v>
      </c>
      <c r="I1455" s="8" t="str">
        <f t="shared" si="107"/>
        <v>3/1/2025</v>
      </c>
      <c r="J1455" s="8">
        <v>20240601</v>
      </c>
      <c r="K1455" s="8" t="str">
        <f t="shared" si="108"/>
        <v>6/1/2024</v>
      </c>
      <c r="L1455" s="8" t="s">
        <v>65</v>
      </c>
      <c r="M1455" s="8">
        <v>30</v>
      </c>
      <c r="N1455" s="8">
        <v>30</v>
      </c>
      <c r="O1455" s="14" t="s">
        <v>3948</v>
      </c>
    </row>
    <row r="1456" spans="1:37" ht="15" customHeight="1" x14ac:dyDescent="0.3">
      <c r="A1456" s="7" t="s">
        <v>3903</v>
      </c>
      <c r="B1456" s="7">
        <v>16633294</v>
      </c>
      <c r="C1456" s="8">
        <v>1</v>
      </c>
      <c r="D1456" s="8">
        <v>921765824</v>
      </c>
      <c r="E1456" s="8" t="str">
        <f t="shared" si="111"/>
        <v>92176582444</v>
      </c>
      <c r="F1456" s="8" t="s">
        <v>2151</v>
      </c>
      <c r="G1456" s="8">
        <v>1</v>
      </c>
      <c r="H1456" s="8">
        <v>20250301</v>
      </c>
      <c r="I1456" s="8" t="str">
        <f t="shared" si="107"/>
        <v>3/1/2025</v>
      </c>
      <c r="J1456" s="8">
        <v>20250101</v>
      </c>
      <c r="K1456" s="8" t="str">
        <f t="shared" si="108"/>
        <v>1/1/2025</v>
      </c>
      <c r="L1456" s="8" t="s">
        <v>65</v>
      </c>
      <c r="M1456" s="8">
        <v>30</v>
      </c>
      <c r="N1456" s="8">
        <v>30</v>
      </c>
      <c r="O1456" s="14" t="s">
        <v>3948</v>
      </c>
    </row>
    <row r="1457" spans="1:37" ht="15" customHeight="1" x14ac:dyDescent="0.3">
      <c r="A1457" s="7" t="s">
        <v>3903</v>
      </c>
      <c r="B1457" s="7">
        <v>16633294</v>
      </c>
      <c r="C1457" s="8">
        <v>1</v>
      </c>
      <c r="D1457" s="8">
        <v>921775187</v>
      </c>
      <c r="E1457" s="8" t="str">
        <f t="shared" si="111"/>
        <v>92177518744</v>
      </c>
      <c r="F1457" s="8" t="s">
        <v>2157</v>
      </c>
      <c r="G1457" s="8">
        <v>1</v>
      </c>
      <c r="H1457" s="8">
        <v>20250401</v>
      </c>
      <c r="I1457" s="8" t="str">
        <f t="shared" si="107"/>
        <v>4/1/2025</v>
      </c>
      <c r="J1457" s="8">
        <v>20250201</v>
      </c>
      <c r="K1457" s="8" t="str">
        <f t="shared" si="108"/>
        <v>2/1/2025</v>
      </c>
      <c r="L1457" s="8" t="s">
        <v>65</v>
      </c>
      <c r="M1457" s="8">
        <v>30</v>
      </c>
      <c r="N1457" s="8">
        <v>30</v>
      </c>
      <c r="O1457" s="14" t="s">
        <v>3948</v>
      </c>
    </row>
    <row r="1458" spans="1:37" ht="15" customHeight="1" x14ac:dyDescent="0.3">
      <c r="A1458" s="7" t="s">
        <v>3903</v>
      </c>
      <c r="B1458" s="7">
        <v>16633294</v>
      </c>
      <c r="C1458" s="8">
        <v>2</v>
      </c>
      <c r="D1458" s="8">
        <v>920819028</v>
      </c>
      <c r="E1458" s="8" t="str">
        <f t="shared" si="111"/>
        <v>92081902844</v>
      </c>
      <c r="F1458" s="8" t="s">
        <v>2065</v>
      </c>
      <c r="G1458" s="8">
        <v>1</v>
      </c>
      <c r="H1458" s="8">
        <v>20250401</v>
      </c>
      <c r="I1458" s="8" t="str">
        <f t="shared" si="107"/>
        <v>4/1/2025</v>
      </c>
      <c r="J1458" s="8">
        <v>20250101</v>
      </c>
      <c r="K1458" s="8" t="str">
        <f t="shared" si="108"/>
        <v>1/1/2025</v>
      </c>
      <c r="L1458" s="8" t="s">
        <v>65</v>
      </c>
      <c r="M1458" s="8">
        <v>30</v>
      </c>
      <c r="N1458" s="8">
        <v>60</v>
      </c>
      <c r="O1458" s="14" t="s">
        <v>3948</v>
      </c>
      <c r="P1458" s="6" t="s">
        <v>3952</v>
      </c>
    </row>
    <row r="1459" spans="1:37" ht="15" customHeight="1" x14ac:dyDescent="0.3">
      <c r="A1459" s="7" t="s">
        <v>3903</v>
      </c>
      <c r="B1459" s="7">
        <v>16633294</v>
      </c>
      <c r="C1459" s="8">
        <v>2</v>
      </c>
      <c r="D1459" s="8">
        <v>921590339</v>
      </c>
      <c r="E1459" s="8" t="str">
        <f t="shared" si="111"/>
        <v>92159033944</v>
      </c>
      <c r="F1459" s="8" t="s">
        <v>2113</v>
      </c>
      <c r="G1459" s="8">
        <v>1</v>
      </c>
      <c r="H1459" s="8">
        <v>20250401</v>
      </c>
      <c r="I1459" s="8" t="str">
        <f t="shared" si="107"/>
        <v>4/1/2025</v>
      </c>
      <c r="J1459" s="8">
        <v>20250101</v>
      </c>
      <c r="K1459" s="8" t="str">
        <f t="shared" si="108"/>
        <v>1/1/2025</v>
      </c>
      <c r="L1459" s="8" t="s">
        <v>65</v>
      </c>
      <c r="M1459" s="8">
        <v>30</v>
      </c>
      <c r="N1459" s="8">
        <v>60</v>
      </c>
      <c r="O1459" s="14" t="s">
        <v>3948</v>
      </c>
      <c r="P1459" s="6" t="s">
        <v>3952</v>
      </c>
    </row>
    <row r="1460" spans="1:37" ht="15" customHeight="1" x14ac:dyDescent="0.2">
      <c r="A1460" s="7" t="s">
        <v>3903</v>
      </c>
      <c r="B1460" s="7">
        <v>16633294</v>
      </c>
      <c r="C1460" s="8">
        <v>1</v>
      </c>
      <c r="D1460" s="8">
        <v>921503760</v>
      </c>
      <c r="E1460" s="8" t="str">
        <f t="shared" ref="E1460:E1470" si="112">CONCATENATE(D1460,55)</f>
        <v>92150376055</v>
      </c>
      <c r="F1460" s="8" t="s">
        <v>2091</v>
      </c>
      <c r="G1460" s="8">
        <v>1</v>
      </c>
      <c r="H1460" s="8">
        <v>20250401</v>
      </c>
      <c r="I1460" s="8" t="str">
        <f t="shared" si="107"/>
        <v>4/1/2025</v>
      </c>
      <c r="J1460" s="8">
        <v>20200101</v>
      </c>
      <c r="K1460" s="8" t="str">
        <f t="shared" si="108"/>
        <v>1/1/2020</v>
      </c>
      <c r="L1460" s="8" t="s">
        <v>138</v>
      </c>
      <c r="M1460" s="8">
        <v>20</v>
      </c>
      <c r="N1460" s="8">
        <v>20</v>
      </c>
      <c r="O1460" s="6" t="s">
        <v>3946</v>
      </c>
    </row>
    <row r="1461" spans="1:37" ht="15" customHeight="1" x14ac:dyDescent="0.2">
      <c r="A1461" s="7" t="s">
        <v>3903</v>
      </c>
      <c r="B1461" s="7">
        <v>16633294</v>
      </c>
      <c r="C1461" s="8">
        <v>1</v>
      </c>
      <c r="D1461" s="8">
        <v>921523821</v>
      </c>
      <c r="E1461" s="8" t="str">
        <f t="shared" si="112"/>
        <v>92152382155</v>
      </c>
      <c r="F1461" s="8" t="s">
        <v>2099</v>
      </c>
      <c r="G1461" s="8">
        <v>1</v>
      </c>
      <c r="H1461" s="8">
        <v>20250401</v>
      </c>
      <c r="I1461" s="8" t="str">
        <f t="shared" si="107"/>
        <v>4/1/2025</v>
      </c>
      <c r="J1461" s="8">
        <v>20230801</v>
      </c>
      <c r="K1461" s="8" t="str">
        <f t="shared" si="108"/>
        <v>8/1/2023</v>
      </c>
      <c r="L1461" s="8" t="s">
        <v>138</v>
      </c>
      <c r="M1461" s="8">
        <v>20</v>
      </c>
      <c r="N1461" s="8">
        <v>20</v>
      </c>
      <c r="O1461" s="6" t="s">
        <v>3946</v>
      </c>
    </row>
    <row r="1462" spans="1:37" ht="15" customHeight="1" x14ac:dyDescent="0.2">
      <c r="A1462" s="7" t="s">
        <v>3903</v>
      </c>
      <c r="B1462" s="7">
        <v>16633294</v>
      </c>
      <c r="C1462" s="8">
        <v>1</v>
      </c>
      <c r="D1462" s="8">
        <v>921529342</v>
      </c>
      <c r="E1462" s="8" t="str">
        <f t="shared" si="112"/>
        <v>92152934255</v>
      </c>
      <c r="F1462" s="8" t="s">
        <v>2101</v>
      </c>
      <c r="G1462" s="8">
        <v>1</v>
      </c>
      <c r="H1462" s="8">
        <v>20250401</v>
      </c>
      <c r="I1462" s="8" t="str">
        <f t="shared" si="107"/>
        <v>4/1/2025</v>
      </c>
      <c r="J1462" s="8">
        <v>20200901</v>
      </c>
      <c r="K1462" s="8" t="str">
        <f t="shared" si="108"/>
        <v>9/1/2020</v>
      </c>
      <c r="L1462" s="8" t="s">
        <v>138</v>
      </c>
      <c r="M1462" s="8">
        <v>20</v>
      </c>
      <c r="N1462" s="8">
        <v>20</v>
      </c>
      <c r="O1462" s="6" t="s">
        <v>3946</v>
      </c>
    </row>
    <row r="1463" spans="1:37" ht="15" customHeight="1" x14ac:dyDescent="0.2">
      <c r="A1463" s="7" t="s">
        <v>3903</v>
      </c>
      <c r="B1463" s="7">
        <v>16633294</v>
      </c>
      <c r="C1463" s="8">
        <v>1</v>
      </c>
      <c r="D1463" s="8">
        <v>921562319</v>
      </c>
      <c r="E1463" s="8" t="str">
        <f t="shared" si="112"/>
        <v>92156231955</v>
      </c>
      <c r="F1463" s="8" t="s">
        <v>2109</v>
      </c>
      <c r="G1463" s="8">
        <v>1</v>
      </c>
      <c r="H1463" s="8">
        <v>20250401</v>
      </c>
      <c r="I1463" s="8" t="str">
        <f t="shared" si="107"/>
        <v>4/1/2025</v>
      </c>
      <c r="J1463" s="8">
        <v>20210401</v>
      </c>
      <c r="K1463" s="8" t="str">
        <f t="shared" si="108"/>
        <v>4/1/2021</v>
      </c>
      <c r="L1463" s="8" t="s">
        <v>138</v>
      </c>
      <c r="M1463" s="8">
        <v>20</v>
      </c>
      <c r="N1463" s="8">
        <v>20</v>
      </c>
      <c r="O1463" s="6" t="s">
        <v>3946</v>
      </c>
    </row>
    <row r="1464" spans="1:37" ht="15" customHeight="1" x14ac:dyDescent="0.2">
      <c r="A1464" s="7" t="s">
        <v>3903</v>
      </c>
      <c r="B1464" s="7">
        <v>16633294</v>
      </c>
      <c r="C1464" s="8">
        <v>1</v>
      </c>
      <c r="D1464" s="8">
        <v>921609665</v>
      </c>
      <c r="E1464" s="8" t="str">
        <f t="shared" si="112"/>
        <v>92160966555</v>
      </c>
      <c r="F1464" s="8" t="s">
        <v>2117</v>
      </c>
      <c r="G1464" s="8">
        <v>1</v>
      </c>
      <c r="H1464" s="8">
        <v>20250401</v>
      </c>
      <c r="I1464" s="8" t="str">
        <f t="shared" si="107"/>
        <v>4/1/2025</v>
      </c>
      <c r="J1464" s="8">
        <v>20220401</v>
      </c>
      <c r="K1464" s="8" t="str">
        <f t="shared" si="108"/>
        <v>4/1/2022</v>
      </c>
      <c r="L1464" s="8" t="s">
        <v>138</v>
      </c>
      <c r="M1464" s="8">
        <v>20</v>
      </c>
      <c r="N1464" s="8">
        <v>20</v>
      </c>
      <c r="O1464" s="6" t="s">
        <v>3946</v>
      </c>
    </row>
    <row r="1465" spans="1:37" ht="15" customHeight="1" x14ac:dyDescent="0.2">
      <c r="A1465" s="7" t="s">
        <v>3903</v>
      </c>
      <c r="B1465" s="7">
        <v>16633294</v>
      </c>
      <c r="C1465" s="8">
        <v>1</v>
      </c>
      <c r="D1465" s="8">
        <v>921609665</v>
      </c>
      <c r="E1465" s="8" t="str">
        <f t="shared" si="112"/>
        <v>92160966555</v>
      </c>
      <c r="F1465" s="8" t="s">
        <v>2117</v>
      </c>
      <c r="G1465" s="8">
        <v>1</v>
      </c>
      <c r="H1465" s="8">
        <v>20250301</v>
      </c>
      <c r="I1465" s="8" t="str">
        <f t="shared" si="107"/>
        <v>3/1/2025</v>
      </c>
      <c r="J1465" s="8">
        <v>20220401</v>
      </c>
      <c r="K1465" s="8" t="str">
        <f t="shared" si="108"/>
        <v>4/1/2022</v>
      </c>
      <c r="L1465" s="8" t="s">
        <v>138</v>
      </c>
      <c r="M1465" s="8">
        <v>20</v>
      </c>
      <c r="N1465" s="8">
        <v>20</v>
      </c>
      <c r="O1465" s="6" t="s">
        <v>3946</v>
      </c>
    </row>
    <row r="1466" spans="1:37" ht="15" customHeight="1" x14ac:dyDescent="0.2">
      <c r="A1466" s="7" t="s">
        <v>3903</v>
      </c>
      <c r="B1466" s="7">
        <v>16633294</v>
      </c>
      <c r="C1466" s="8">
        <v>1</v>
      </c>
      <c r="D1466" s="8">
        <v>921659302</v>
      </c>
      <c r="E1466" s="8" t="str">
        <f t="shared" si="112"/>
        <v>92165930255</v>
      </c>
      <c r="F1466" s="8" t="s">
        <v>2131</v>
      </c>
      <c r="G1466" s="8">
        <v>1</v>
      </c>
      <c r="H1466" s="8">
        <v>20250401</v>
      </c>
      <c r="I1466" s="8" t="str">
        <f t="shared" si="107"/>
        <v>4/1/2025</v>
      </c>
      <c r="J1466" s="8">
        <v>20230601</v>
      </c>
      <c r="K1466" s="8" t="str">
        <f t="shared" si="108"/>
        <v>6/1/2023</v>
      </c>
      <c r="L1466" s="8" t="s">
        <v>138</v>
      </c>
      <c r="M1466" s="8">
        <v>20</v>
      </c>
      <c r="N1466" s="8">
        <v>20</v>
      </c>
      <c r="O1466" s="6" t="s">
        <v>3946</v>
      </c>
    </row>
    <row r="1467" spans="1:37" ht="15" customHeight="1" x14ac:dyDescent="0.2">
      <c r="A1467" s="7" t="s">
        <v>3903</v>
      </c>
      <c r="B1467" s="7">
        <v>16633294</v>
      </c>
      <c r="C1467" s="8">
        <v>1</v>
      </c>
      <c r="D1467" s="8">
        <v>921669487</v>
      </c>
      <c r="E1467" s="8" t="str">
        <f t="shared" si="112"/>
        <v>92166948755</v>
      </c>
      <c r="F1467" s="8" t="s">
        <v>2133</v>
      </c>
      <c r="G1467" s="8">
        <v>1</v>
      </c>
      <c r="H1467" s="8">
        <v>20250401</v>
      </c>
      <c r="I1467" s="8" t="str">
        <f t="shared" si="107"/>
        <v>4/1/2025</v>
      </c>
      <c r="J1467" s="8">
        <v>20230901</v>
      </c>
      <c r="K1467" s="8" t="str">
        <f t="shared" si="108"/>
        <v>9/1/2023</v>
      </c>
      <c r="L1467" s="8" t="s">
        <v>138</v>
      </c>
      <c r="M1467" s="8">
        <v>20</v>
      </c>
      <c r="N1467" s="8">
        <v>20</v>
      </c>
      <c r="O1467" s="6" t="s">
        <v>3946</v>
      </c>
    </row>
    <row r="1468" spans="1:37" ht="15" customHeight="1" x14ac:dyDescent="0.2">
      <c r="A1468" s="7" t="s">
        <v>3903</v>
      </c>
      <c r="B1468" s="7">
        <v>16633294</v>
      </c>
      <c r="C1468" s="8">
        <v>1</v>
      </c>
      <c r="D1468" s="8">
        <v>921671307</v>
      </c>
      <c r="E1468" s="8" t="str">
        <f t="shared" si="112"/>
        <v>92167130755</v>
      </c>
      <c r="F1468" s="8" t="s">
        <v>2135</v>
      </c>
      <c r="G1468" s="8">
        <v>1</v>
      </c>
      <c r="H1468" s="8">
        <v>20250401</v>
      </c>
      <c r="I1468" s="8" t="str">
        <f t="shared" si="107"/>
        <v>4/1/2025</v>
      </c>
      <c r="J1468" s="8">
        <v>20231001</v>
      </c>
      <c r="K1468" s="8" t="str">
        <f t="shared" si="108"/>
        <v>10/1/2023</v>
      </c>
      <c r="L1468" s="8" t="s">
        <v>138</v>
      </c>
      <c r="M1468" s="8">
        <v>20</v>
      </c>
      <c r="N1468" s="8">
        <v>20</v>
      </c>
      <c r="O1468" s="6" t="s">
        <v>3946</v>
      </c>
    </row>
    <row r="1469" spans="1:37" s="12" customFormat="1" ht="15" customHeight="1" x14ac:dyDescent="0.2">
      <c r="A1469" s="7" t="s">
        <v>3903</v>
      </c>
      <c r="B1469" s="7">
        <v>16633294</v>
      </c>
      <c r="C1469" s="8">
        <v>2</v>
      </c>
      <c r="D1469" s="8">
        <v>921606777</v>
      </c>
      <c r="E1469" s="8" t="str">
        <f t="shared" si="112"/>
        <v>92160677755</v>
      </c>
      <c r="F1469" s="8" t="s">
        <v>2115</v>
      </c>
      <c r="G1469" s="8">
        <v>1</v>
      </c>
      <c r="H1469" s="8">
        <v>20250401</v>
      </c>
      <c r="I1469" s="8" t="str">
        <f t="shared" si="107"/>
        <v>4/1/2025</v>
      </c>
      <c r="J1469" s="8">
        <v>20220201</v>
      </c>
      <c r="K1469" s="8" t="str">
        <f t="shared" si="108"/>
        <v>2/1/2022</v>
      </c>
      <c r="L1469" s="8" t="s">
        <v>138</v>
      </c>
      <c r="M1469" s="8">
        <v>20</v>
      </c>
      <c r="N1469" s="8">
        <v>40</v>
      </c>
      <c r="O1469" s="6" t="s">
        <v>3946</v>
      </c>
      <c r="P1469" s="6" t="s">
        <v>3952</v>
      </c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</row>
    <row r="1470" spans="1:37" s="12" customFormat="1" ht="15" customHeight="1" x14ac:dyDescent="0.2">
      <c r="A1470" s="7" t="s">
        <v>3903</v>
      </c>
      <c r="B1470" s="7">
        <v>16633294</v>
      </c>
      <c r="C1470" s="8">
        <v>5</v>
      </c>
      <c r="D1470" s="8">
        <v>921623897</v>
      </c>
      <c r="E1470" s="8" t="str">
        <f t="shared" si="112"/>
        <v>92162389755</v>
      </c>
      <c r="F1470" s="8" t="s">
        <v>2121</v>
      </c>
      <c r="G1470" s="8">
        <v>1</v>
      </c>
      <c r="H1470" s="8">
        <v>20250401</v>
      </c>
      <c r="I1470" s="8" t="str">
        <f t="shared" si="107"/>
        <v>4/1/2025</v>
      </c>
      <c r="J1470" s="8">
        <v>20221001</v>
      </c>
      <c r="K1470" s="8" t="str">
        <f t="shared" si="108"/>
        <v>10/1/2022</v>
      </c>
      <c r="L1470" s="8" t="s">
        <v>138</v>
      </c>
      <c r="M1470" s="8">
        <v>20</v>
      </c>
      <c r="N1470" s="8">
        <v>100</v>
      </c>
      <c r="O1470" s="6" t="s">
        <v>3946</v>
      </c>
      <c r="P1470" s="6" t="s">
        <v>3955</v>
      </c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</row>
    <row r="1471" spans="1:37" s="12" customFormat="1" ht="15" customHeight="1" x14ac:dyDescent="0.2">
      <c r="A1471" s="7" t="s">
        <v>3903</v>
      </c>
      <c r="B1471" s="7">
        <v>16633294</v>
      </c>
      <c r="C1471" s="6"/>
      <c r="D1471" s="8">
        <v>921538664</v>
      </c>
      <c r="E1471" s="8" t="str">
        <f>CONCATENATE(1,D1471)</f>
        <v>1921538664</v>
      </c>
      <c r="F1471" s="8" t="s">
        <v>2103</v>
      </c>
      <c r="G1471" s="8">
        <v>35.729999999999997</v>
      </c>
      <c r="H1471" s="8">
        <v>20250401</v>
      </c>
      <c r="I1471" s="8" t="str">
        <f t="shared" si="107"/>
        <v>4/1/2025</v>
      </c>
      <c r="J1471" s="8">
        <v>20250201</v>
      </c>
      <c r="K1471" s="8" t="str">
        <f t="shared" si="108"/>
        <v>2/1/2025</v>
      </c>
      <c r="L1471" s="8" t="s">
        <v>116</v>
      </c>
      <c r="M1471" s="8">
        <v>0.04</v>
      </c>
      <c r="N1471" s="8">
        <v>1.43</v>
      </c>
      <c r="O1471" s="6" t="s">
        <v>3938</v>
      </c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</row>
    <row r="1472" spans="1:37" s="12" customFormat="1" ht="15" customHeight="1" x14ac:dyDescent="0.2">
      <c r="A1472" s="7" t="s">
        <v>3903</v>
      </c>
      <c r="B1472" s="7">
        <v>16633294</v>
      </c>
      <c r="C1472" s="6"/>
      <c r="D1472" s="8">
        <v>921751437</v>
      </c>
      <c r="E1472" s="8" t="str">
        <f>CONCATENATE(1,D1472)</f>
        <v>1921751437</v>
      </c>
      <c r="F1472" s="8" t="s">
        <v>114</v>
      </c>
      <c r="G1472" s="8">
        <v>15.33</v>
      </c>
      <c r="H1472" s="8">
        <v>20250401</v>
      </c>
      <c r="I1472" s="8" t="str">
        <f t="shared" si="107"/>
        <v>4/1/2025</v>
      </c>
      <c r="J1472" s="8">
        <v>20250101</v>
      </c>
      <c r="K1472" s="8" t="str">
        <f t="shared" si="108"/>
        <v>1/1/2025</v>
      </c>
      <c r="L1472" s="8" t="s">
        <v>116</v>
      </c>
      <c r="M1472" s="8">
        <v>0.06</v>
      </c>
      <c r="N1472" s="8">
        <v>0.92</v>
      </c>
      <c r="O1472" s="6" t="s">
        <v>3938</v>
      </c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</row>
    <row r="1473" spans="1:37" s="12" customFormat="1" ht="15" customHeight="1" x14ac:dyDescent="0.2">
      <c r="A1473" s="7" t="s">
        <v>3903</v>
      </c>
      <c r="B1473" s="7">
        <v>16633294</v>
      </c>
      <c r="C1473" s="6"/>
      <c r="D1473" s="8">
        <v>957180733</v>
      </c>
      <c r="E1473" s="8" t="str">
        <f>CONCATENATE(D1473,7)</f>
        <v>9571807337</v>
      </c>
      <c r="F1473" s="8" t="s">
        <v>2161</v>
      </c>
      <c r="G1473" s="8">
        <v>132.47</v>
      </c>
      <c r="H1473" s="8">
        <v>20250301</v>
      </c>
      <c r="I1473" s="8" t="str">
        <f t="shared" si="107"/>
        <v>3/1/2025</v>
      </c>
      <c r="J1473" s="8">
        <v>20240801</v>
      </c>
      <c r="K1473" s="8" t="str">
        <f t="shared" si="108"/>
        <v>8/1/2024</v>
      </c>
      <c r="L1473" s="8" t="s">
        <v>398</v>
      </c>
      <c r="M1473" s="8">
        <v>0.1</v>
      </c>
      <c r="N1473" s="8">
        <v>13.25</v>
      </c>
      <c r="O1473" s="6" t="s">
        <v>3942</v>
      </c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</row>
    <row r="1474" spans="1:37" s="12" customFormat="1" ht="15" customHeight="1" x14ac:dyDescent="0.2">
      <c r="A1474" s="7" t="s">
        <v>3903</v>
      </c>
      <c r="B1474" s="7">
        <v>16633294</v>
      </c>
      <c r="C1474" s="6"/>
      <c r="D1474" s="8">
        <v>957195628</v>
      </c>
      <c r="E1474" s="8" t="str">
        <f>CONCATENATE(D1474,7)</f>
        <v>9571956287</v>
      </c>
      <c r="F1474" s="8" t="s">
        <v>2163</v>
      </c>
      <c r="G1474" s="8">
        <v>226.47</v>
      </c>
      <c r="H1474" s="8">
        <v>20250301</v>
      </c>
      <c r="I1474" s="8" t="str">
        <f t="shared" si="107"/>
        <v>3/1/2025</v>
      </c>
      <c r="J1474" s="8">
        <v>20250101</v>
      </c>
      <c r="K1474" s="8" t="str">
        <f t="shared" si="108"/>
        <v>1/1/2025</v>
      </c>
      <c r="L1474" s="8" t="s">
        <v>398</v>
      </c>
      <c r="M1474" s="8">
        <v>0.1</v>
      </c>
      <c r="N1474" s="8">
        <v>22.65</v>
      </c>
      <c r="O1474" s="6" t="s">
        <v>3942</v>
      </c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</row>
    <row r="1475" spans="1:37" s="12" customFormat="1" ht="15" customHeight="1" x14ac:dyDescent="0.2">
      <c r="A1475" s="7" t="s">
        <v>3924</v>
      </c>
      <c r="B1475" s="7">
        <v>19615078</v>
      </c>
      <c r="C1475" s="6"/>
      <c r="D1475" s="8">
        <v>957204283</v>
      </c>
      <c r="E1475" s="8" t="str">
        <f>CONCATENATE(D1475,1)</f>
        <v>9572042831</v>
      </c>
      <c r="F1475" s="8" t="s">
        <v>3428</v>
      </c>
      <c r="G1475" s="8">
        <v>348.01</v>
      </c>
      <c r="H1475" s="8">
        <v>20250301</v>
      </c>
      <c r="I1475" s="8" t="str">
        <f t="shared" ref="I1475:I1538" si="113">TEXT(DATE(LEFT(H1475,4), MID(H1475,5,2), RIGHT(H1475,2)), "M/d/yyyy")</f>
        <v>3/1/2025</v>
      </c>
      <c r="J1475" s="8">
        <v>20250201</v>
      </c>
      <c r="K1475" s="8" t="str">
        <f t="shared" ref="K1475:K1538" si="114">TEXT(DATE(LEFT(J1475,4), MID(J1475,5,2), RIGHT(J1475,2)), "M/d/yyyy")</f>
        <v>2/1/2025</v>
      </c>
      <c r="L1475" s="8" t="s">
        <v>924</v>
      </c>
      <c r="M1475" s="8">
        <v>6.25E-2</v>
      </c>
      <c r="N1475" s="8">
        <v>21.75</v>
      </c>
      <c r="O1475" s="6" t="s">
        <v>3940</v>
      </c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</row>
    <row r="1476" spans="1:37" s="12" customFormat="1" ht="15" customHeight="1" x14ac:dyDescent="0.2">
      <c r="A1476" s="7" t="s">
        <v>3924</v>
      </c>
      <c r="B1476" s="7">
        <v>19615078</v>
      </c>
      <c r="C1476" s="8">
        <v>1</v>
      </c>
      <c r="D1476" s="8">
        <v>921633015</v>
      </c>
      <c r="E1476" s="8" t="str">
        <f>CONCATENATE(D1476,22)</f>
        <v>92163301522</v>
      </c>
      <c r="F1476" s="8" t="s">
        <v>3417</v>
      </c>
      <c r="G1476" s="8">
        <v>1</v>
      </c>
      <c r="H1476" s="8">
        <v>20250401</v>
      </c>
      <c r="I1476" s="8" t="str">
        <f t="shared" si="113"/>
        <v>4/1/2025</v>
      </c>
      <c r="J1476" s="8">
        <v>20230101</v>
      </c>
      <c r="K1476" s="8" t="str">
        <f t="shared" si="114"/>
        <v>1/1/2023</v>
      </c>
      <c r="L1476" s="8" t="s">
        <v>56</v>
      </c>
      <c r="M1476" s="8">
        <v>20</v>
      </c>
      <c r="N1476" s="8">
        <v>20</v>
      </c>
      <c r="O1476" s="6" t="s">
        <v>3947</v>
      </c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</row>
    <row r="1477" spans="1:37" s="12" customFormat="1" ht="15" customHeight="1" x14ac:dyDescent="0.2">
      <c r="A1477" s="7" t="s">
        <v>3924</v>
      </c>
      <c r="B1477" s="7">
        <v>19615078</v>
      </c>
      <c r="C1477" s="8">
        <v>1</v>
      </c>
      <c r="D1477" s="8">
        <v>890162352</v>
      </c>
      <c r="E1477" s="8" t="str">
        <f>CONCATENATE(D1477,33)</f>
        <v>89016235233</v>
      </c>
      <c r="F1477" s="8" t="s">
        <v>3415</v>
      </c>
      <c r="G1477" s="8">
        <v>1</v>
      </c>
      <c r="H1477" s="8">
        <v>20250401</v>
      </c>
      <c r="I1477" s="8" t="str">
        <f t="shared" si="113"/>
        <v>4/1/2025</v>
      </c>
      <c r="J1477" s="8">
        <v>20170101</v>
      </c>
      <c r="K1477" s="8" t="str">
        <f t="shared" si="114"/>
        <v>1/1/2017</v>
      </c>
      <c r="L1477" s="8" t="s">
        <v>198</v>
      </c>
      <c r="M1477" s="8">
        <v>15</v>
      </c>
      <c r="N1477" s="8">
        <v>15</v>
      </c>
      <c r="O1477" s="6" t="s">
        <v>3950</v>
      </c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</row>
    <row r="1478" spans="1:37" s="12" customFormat="1" ht="15" customHeight="1" x14ac:dyDescent="0.2">
      <c r="A1478" s="7" t="s">
        <v>3924</v>
      </c>
      <c r="B1478" s="7">
        <v>19615078</v>
      </c>
      <c r="C1478" s="8">
        <v>2</v>
      </c>
      <c r="D1478" s="8">
        <v>921646883</v>
      </c>
      <c r="E1478" s="8" t="str">
        <f>CONCATENATE(D1478,55)</f>
        <v>92164688355</v>
      </c>
      <c r="F1478" s="8" t="s">
        <v>3419</v>
      </c>
      <c r="G1478" s="8">
        <v>1</v>
      </c>
      <c r="H1478" s="8">
        <v>20250401</v>
      </c>
      <c r="I1478" s="8" t="str">
        <f t="shared" si="113"/>
        <v>4/1/2025</v>
      </c>
      <c r="J1478" s="8">
        <v>20230101</v>
      </c>
      <c r="K1478" s="8" t="str">
        <f t="shared" si="114"/>
        <v>1/1/2023</v>
      </c>
      <c r="L1478" s="8" t="s">
        <v>138</v>
      </c>
      <c r="M1478" s="8">
        <v>20</v>
      </c>
      <c r="N1478" s="8">
        <v>40</v>
      </c>
      <c r="O1478" s="6" t="s">
        <v>3946</v>
      </c>
      <c r="P1478" s="6" t="s">
        <v>3952</v>
      </c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</row>
    <row r="1479" spans="1:37" s="12" customFormat="1" ht="15" customHeight="1" x14ac:dyDescent="0.2">
      <c r="A1479" s="7" t="s">
        <v>3924</v>
      </c>
      <c r="B1479" s="7">
        <v>19615078</v>
      </c>
      <c r="C1479" s="6"/>
      <c r="D1479" s="8">
        <v>957203828</v>
      </c>
      <c r="E1479" s="8" t="str">
        <f>CONCATENATE(D1479,9)</f>
        <v>9572038289</v>
      </c>
      <c r="F1479" s="8" t="s">
        <v>3425</v>
      </c>
      <c r="G1479" s="8">
        <v>153.24</v>
      </c>
      <c r="H1479" s="8">
        <v>20250301</v>
      </c>
      <c r="I1479" s="8" t="str">
        <f t="shared" si="113"/>
        <v>3/1/2025</v>
      </c>
      <c r="J1479" s="8">
        <v>20250101</v>
      </c>
      <c r="K1479" s="8" t="str">
        <f t="shared" si="114"/>
        <v>1/1/2025</v>
      </c>
      <c r="L1479" s="8" t="s">
        <v>980</v>
      </c>
      <c r="M1479" s="8">
        <v>0.18</v>
      </c>
      <c r="N1479" s="8">
        <v>27.58</v>
      </c>
      <c r="O1479" s="6" t="s">
        <v>3944</v>
      </c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</row>
    <row r="1480" spans="1:37" ht="15" customHeight="1" x14ac:dyDescent="0.2">
      <c r="A1480" s="7" t="s">
        <v>3924</v>
      </c>
      <c r="B1480" s="7">
        <v>19615078</v>
      </c>
      <c r="D1480" s="8">
        <v>957191690</v>
      </c>
      <c r="E1480" s="8" t="str">
        <f>CONCATENATE(D1480,0)</f>
        <v>9571916900</v>
      </c>
      <c r="F1480" s="8" t="s">
        <v>3421</v>
      </c>
      <c r="G1480" s="8">
        <v>292.58999999999997</v>
      </c>
      <c r="H1480" s="8">
        <v>20250301</v>
      </c>
      <c r="I1480" s="8" t="str">
        <f t="shared" si="113"/>
        <v>3/1/2025</v>
      </c>
      <c r="J1480" s="8">
        <v>20250101</v>
      </c>
      <c r="K1480" s="8" t="str">
        <f t="shared" si="114"/>
        <v>1/1/2025</v>
      </c>
      <c r="L1480" s="8" t="s">
        <v>959</v>
      </c>
      <c r="M1480" s="8">
        <v>0.09</v>
      </c>
      <c r="N1480" s="8">
        <v>26.33</v>
      </c>
      <c r="O1480" s="12" t="s">
        <v>3941</v>
      </c>
    </row>
    <row r="1481" spans="1:37" ht="15" customHeight="1" x14ac:dyDescent="0.2">
      <c r="A1481" s="7" t="s">
        <v>3891</v>
      </c>
      <c r="B1481" s="7">
        <v>8977234</v>
      </c>
      <c r="C1481" s="8">
        <v>1</v>
      </c>
      <c r="D1481" s="8">
        <v>920730191</v>
      </c>
      <c r="E1481" s="8" t="str">
        <f t="shared" ref="E1481:E1497" si="115">CONCATENATE(D1481,22)</f>
        <v>92073019122</v>
      </c>
      <c r="F1481" s="8" t="s">
        <v>409</v>
      </c>
      <c r="G1481" s="8">
        <v>1</v>
      </c>
      <c r="H1481" s="8">
        <v>20250401</v>
      </c>
      <c r="I1481" s="8" t="str">
        <f t="shared" si="113"/>
        <v>4/1/2025</v>
      </c>
      <c r="J1481" s="8">
        <v>20150101</v>
      </c>
      <c r="K1481" s="8" t="str">
        <f t="shared" si="114"/>
        <v>1/1/2015</v>
      </c>
      <c r="L1481" s="8" t="s">
        <v>56</v>
      </c>
      <c r="M1481" s="8">
        <v>20</v>
      </c>
      <c r="N1481" s="8">
        <v>20</v>
      </c>
      <c r="O1481" s="6" t="s">
        <v>3947</v>
      </c>
    </row>
    <row r="1482" spans="1:37" s="12" customFormat="1" ht="15" customHeight="1" x14ac:dyDescent="0.2">
      <c r="A1482" s="7" t="s">
        <v>3891</v>
      </c>
      <c r="B1482" s="7">
        <v>8977234</v>
      </c>
      <c r="C1482" s="8">
        <v>1</v>
      </c>
      <c r="D1482" s="8">
        <v>920955115</v>
      </c>
      <c r="E1482" s="8" t="str">
        <f t="shared" si="115"/>
        <v>92095511522</v>
      </c>
      <c r="F1482" s="8" t="s">
        <v>423</v>
      </c>
      <c r="G1482" s="8">
        <v>1</v>
      </c>
      <c r="H1482" s="8">
        <v>20250401</v>
      </c>
      <c r="I1482" s="8" t="str">
        <f t="shared" si="113"/>
        <v>4/1/2025</v>
      </c>
      <c r="J1482" s="8">
        <v>20141001</v>
      </c>
      <c r="K1482" s="8" t="str">
        <f t="shared" si="114"/>
        <v>10/1/2014</v>
      </c>
      <c r="L1482" s="8" t="s">
        <v>56</v>
      </c>
      <c r="M1482" s="8">
        <v>20</v>
      </c>
      <c r="N1482" s="8">
        <v>20</v>
      </c>
      <c r="O1482" s="6" t="s">
        <v>3947</v>
      </c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</row>
    <row r="1483" spans="1:37" s="12" customFormat="1" ht="15" customHeight="1" x14ac:dyDescent="0.2">
      <c r="A1483" s="7" t="s">
        <v>3891</v>
      </c>
      <c r="B1483" s="7">
        <v>8977234</v>
      </c>
      <c r="C1483" s="8">
        <v>1</v>
      </c>
      <c r="D1483" s="8">
        <v>920981974</v>
      </c>
      <c r="E1483" s="8" t="str">
        <f t="shared" si="115"/>
        <v>92098197422</v>
      </c>
      <c r="F1483" s="8" t="s">
        <v>434</v>
      </c>
      <c r="G1483" s="8">
        <v>1</v>
      </c>
      <c r="H1483" s="8">
        <v>20250401</v>
      </c>
      <c r="I1483" s="8" t="str">
        <f t="shared" si="113"/>
        <v>4/1/2025</v>
      </c>
      <c r="J1483" s="8">
        <v>20150101</v>
      </c>
      <c r="K1483" s="8" t="str">
        <f t="shared" si="114"/>
        <v>1/1/2015</v>
      </c>
      <c r="L1483" s="8" t="s">
        <v>56</v>
      </c>
      <c r="M1483" s="8">
        <v>20</v>
      </c>
      <c r="N1483" s="8">
        <v>20</v>
      </c>
      <c r="O1483" s="6" t="s">
        <v>3947</v>
      </c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</row>
    <row r="1484" spans="1:37" ht="15" customHeight="1" x14ac:dyDescent="0.2">
      <c r="A1484" s="7" t="s">
        <v>3891</v>
      </c>
      <c r="B1484" s="7">
        <v>8977234</v>
      </c>
      <c r="C1484" s="8">
        <v>1</v>
      </c>
      <c r="D1484" s="8">
        <v>921481823</v>
      </c>
      <c r="E1484" s="8" t="str">
        <f t="shared" si="115"/>
        <v>92148182322</v>
      </c>
      <c r="F1484" s="8" t="s">
        <v>442</v>
      </c>
      <c r="G1484" s="8">
        <v>1</v>
      </c>
      <c r="H1484" s="8">
        <v>20250401</v>
      </c>
      <c r="I1484" s="8" t="str">
        <f t="shared" si="113"/>
        <v>4/1/2025</v>
      </c>
      <c r="J1484" s="8">
        <v>20190901</v>
      </c>
      <c r="K1484" s="8" t="str">
        <f t="shared" si="114"/>
        <v>9/1/2019</v>
      </c>
      <c r="L1484" s="8" t="s">
        <v>56</v>
      </c>
      <c r="M1484" s="8">
        <v>20</v>
      </c>
      <c r="N1484" s="8">
        <v>20</v>
      </c>
      <c r="O1484" s="6" t="s">
        <v>3947</v>
      </c>
    </row>
    <row r="1485" spans="1:37" ht="15" customHeight="1" x14ac:dyDescent="0.2">
      <c r="A1485" s="7" t="s">
        <v>3891</v>
      </c>
      <c r="B1485" s="7">
        <v>8977234</v>
      </c>
      <c r="C1485" s="8">
        <v>1</v>
      </c>
      <c r="D1485" s="8">
        <v>921525444</v>
      </c>
      <c r="E1485" s="8" t="str">
        <f t="shared" si="115"/>
        <v>92152544422</v>
      </c>
      <c r="F1485" s="8" t="s">
        <v>451</v>
      </c>
      <c r="G1485" s="8">
        <v>1</v>
      </c>
      <c r="H1485" s="8">
        <v>20250401</v>
      </c>
      <c r="I1485" s="8" t="str">
        <f t="shared" si="113"/>
        <v>4/1/2025</v>
      </c>
      <c r="J1485" s="8">
        <v>20200701</v>
      </c>
      <c r="K1485" s="8" t="str">
        <f t="shared" si="114"/>
        <v>7/1/2020</v>
      </c>
      <c r="L1485" s="8" t="s">
        <v>56</v>
      </c>
      <c r="M1485" s="8">
        <v>20</v>
      </c>
      <c r="N1485" s="8">
        <v>20</v>
      </c>
      <c r="O1485" s="6" t="s">
        <v>3947</v>
      </c>
    </row>
    <row r="1486" spans="1:37" ht="15" customHeight="1" x14ac:dyDescent="0.2">
      <c r="A1486" s="7" t="s">
        <v>3891</v>
      </c>
      <c r="B1486" s="7">
        <v>8977234</v>
      </c>
      <c r="C1486" s="8">
        <v>1</v>
      </c>
      <c r="D1486" s="8">
        <v>921571977</v>
      </c>
      <c r="E1486" s="8" t="str">
        <f t="shared" si="115"/>
        <v>92157197722</v>
      </c>
      <c r="F1486" s="8" t="s">
        <v>463</v>
      </c>
      <c r="G1486" s="8">
        <v>1</v>
      </c>
      <c r="H1486" s="8">
        <v>20250401</v>
      </c>
      <c r="I1486" s="8" t="str">
        <f t="shared" si="113"/>
        <v>4/1/2025</v>
      </c>
      <c r="J1486" s="8">
        <v>20210701</v>
      </c>
      <c r="K1486" s="8" t="str">
        <f t="shared" si="114"/>
        <v>7/1/2021</v>
      </c>
      <c r="L1486" s="8" t="s">
        <v>56</v>
      </c>
      <c r="M1486" s="8">
        <v>20</v>
      </c>
      <c r="N1486" s="8">
        <v>20</v>
      </c>
      <c r="O1486" s="6" t="s">
        <v>3947</v>
      </c>
    </row>
    <row r="1487" spans="1:37" ht="15" customHeight="1" x14ac:dyDescent="0.2">
      <c r="A1487" s="7" t="s">
        <v>3891</v>
      </c>
      <c r="B1487" s="7">
        <v>8977234</v>
      </c>
      <c r="C1487" s="8">
        <v>1</v>
      </c>
      <c r="D1487" s="8">
        <v>921624310</v>
      </c>
      <c r="E1487" s="8" t="str">
        <f t="shared" si="115"/>
        <v>92162431022</v>
      </c>
      <c r="F1487" s="8" t="s">
        <v>475</v>
      </c>
      <c r="G1487" s="8">
        <v>1</v>
      </c>
      <c r="H1487" s="8">
        <v>20250401</v>
      </c>
      <c r="I1487" s="8" t="str">
        <f t="shared" si="113"/>
        <v>4/1/2025</v>
      </c>
      <c r="J1487" s="8">
        <v>20221101</v>
      </c>
      <c r="K1487" s="8" t="str">
        <f t="shared" si="114"/>
        <v>11/1/2022</v>
      </c>
      <c r="L1487" s="8" t="s">
        <v>56</v>
      </c>
      <c r="M1487" s="8">
        <v>20</v>
      </c>
      <c r="N1487" s="8">
        <v>20</v>
      </c>
      <c r="O1487" s="6" t="s">
        <v>3947</v>
      </c>
    </row>
    <row r="1488" spans="1:37" ht="15" customHeight="1" x14ac:dyDescent="0.2">
      <c r="A1488" s="7" t="s">
        <v>3891</v>
      </c>
      <c r="B1488" s="7">
        <v>8977234</v>
      </c>
      <c r="C1488" s="8">
        <v>1</v>
      </c>
      <c r="D1488" s="8">
        <v>921663446</v>
      </c>
      <c r="E1488" s="8" t="str">
        <f t="shared" si="115"/>
        <v>92166344622</v>
      </c>
      <c r="F1488" s="8" t="s">
        <v>483</v>
      </c>
      <c r="G1488" s="8">
        <v>1</v>
      </c>
      <c r="H1488" s="8">
        <v>20250401</v>
      </c>
      <c r="I1488" s="8" t="str">
        <f t="shared" si="113"/>
        <v>4/1/2025</v>
      </c>
      <c r="J1488" s="8">
        <v>20230701</v>
      </c>
      <c r="K1488" s="8" t="str">
        <f t="shared" si="114"/>
        <v>7/1/2023</v>
      </c>
      <c r="L1488" s="8" t="s">
        <v>56</v>
      </c>
      <c r="M1488" s="8">
        <v>20</v>
      </c>
      <c r="N1488" s="8">
        <v>20</v>
      </c>
      <c r="O1488" s="6" t="s">
        <v>3947</v>
      </c>
    </row>
    <row r="1489" spans="1:37" ht="15" customHeight="1" x14ac:dyDescent="0.2">
      <c r="A1489" s="7" t="s">
        <v>3891</v>
      </c>
      <c r="B1489" s="7">
        <v>8977234</v>
      </c>
      <c r="C1489" s="8">
        <v>1</v>
      </c>
      <c r="D1489" s="8">
        <v>921688598</v>
      </c>
      <c r="E1489" s="8" t="str">
        <f t="shared" si="115"/>
        <v>92168859822</v>
      </c>
      <c r="F1489" s="8" t="s">
        <v>491</v>
      </c>
      <c r="G1489" s="8">
        <v>1</v>
      </c>
      <c r="H1489" s="8">
        <v>20250401</v>
      </c>
      <c r="I1489" s="8" t="str">
        <f t="shared" si="113"/>
        <v>4/1/2025</v>
      </c>
      <c r="J1489" s="8">
        <v>20240101</v>
      </c>
      <c r="K1489" s="8" t="str">
        <f t="shared" si="114"/>
        <v>1/1/2024</v>
      </c>
      <c r="L1489" s="8" t="s">
        <v>56</v>
      </c>
      <c r="M1489" s="8">
        <v>20</v>
      </c>
      <c r="N1489" s="8">
        <v>20</v>
      </c>
      <c r="O1489" s="6" t="s">
        <v>3947</v>
      </c>
    </row>
    <row r="1490" spans="1:37" ht="15" customHeight="1" x14ac:dyDescent="0.2">
      <c r="A1490" s="7" t="s">
        <v>3891</v>
      </c>
      <c r="B1490" s="7">
        <v>8977234</v>
      </c>
      <c r="C1490" s="8">
        <v>2</v>
      </c>
      <c r="D1490" s="8">
        <v>920830927</v>
      </c>
      <c r="E1490" s="8" t="str">
        <f t="shared" si="115"/>
        <v>92083092722</v>
      </c>
      <c r="F1490" s="8" t="s">
        <v>417</v>
      </c>
      <c r="G1490" s="8">
        <v>1</v>
      </c>
      <c r="H1490" s="8">
        <v>20250401</v>
      </c>
      <c r="I1490" s="8" t="str">
        <f t="shared" si="113"/>
        <v>4/1/2025</v>
      </c>
      <c r="J1490" s="8">
        <v>20150101</v>
      </c>
      <c r="K1490" s="8" t="str">
        <f t="shared" si="114"/>
        <v>1/1/2015</v>
      </c>
      <c r="L1490" s="8" t="s">
        <v>56</v>
      </c>
      <c r="M1490" s="8">
        <v>20</v>
      </c>
      <c r="N1490" s="8">
        <v>40</v>
      </c>
      <c r="O1490" s="6" t="s">
        <v>3947</v>
      </c>
      <c r="P1490" s="6" t="s">
        <v>3952</v>
      </c>
    </row>
    <row r="1491" spans="1:37" ht="15" customHeight="1" x14ac:dyDescent="0.2">
      <c r="A1491" s="7" t="s">
        <v>3891</v>
      </c>
      <c r="B1491" s="7">
        <v>8977234</v>
      </c>
      <c r="C1491" s="8">
        <v>3</v>
      </c>
      <c r="D1491" s="8">
        <v>921022638</v>
      </c>
      <c r="E1491" s="8" t="str">
        <f t="shared" si="115"/>
        <v>92102263822</v>
      </c>
      <c r="F1491" s="8" t="s">
        <v>436</v>
      </c>
      <c r="G1491" s="8">
        <v>1</v>
      </c>
      <c r="H1491" s="8">
        <v>20250401</v>
      </c>
      <c r="I1491" s="8" t="str">
        <f t="shared" si="113"/>
        <v>4/1/2025</v>
      </c>
      <c r="J1491" s="8">
        <v>20230501</v>
      </c>
      <c r="K1491" s="8" t="str">
        <f t="shared" si="114"/>
        <v>5/1/2023</v>
      </c>
      <c r="L1491" s="8" t="s">
        <v>56</v>
      </c>
      <c r="M1491" s="8">
        <v>20</v>
      </c>
      <c r="N1491" s="8">
        <v>60</v>
      </c>
      <c r="O1491" s="6" t="s">
        <v>3947</v>
      </c>
      <c r="P1491" s="6" t="s">
        <v>3953</v>
      </c>
    </row>
    <row r="1492" spans="1:37" ht="15" customHeight="1" x14ac:dyDescent="0.2">
      <c r="A1492" s="7" t="s">
        <v>3891</v>
      </c>
      <c r="B1492" s="7">
        <v>8977234</v>
      </c>
      <c r="C1492" s="8">
        <v>4</v>
      </c>
      <c r="D1492" s="8">
        <v>921574576</v>
      </c>
      <c r="E1492" s="8" t="str">
        <f t="shared" si="115"/>
        <v>92157457622</v>
      </c>
      <c r="F1492" s="8" t="s">
        <v>465</v>
      </c>
      <c r="G1492" s="8">
        <v>1</v>
      </c>
      <c r="H1492" s="8">
        <v>20250301</v>
      </c>
      <c r="I1492" s="8" t="str">
        <f t="shared" si="113"/>
        <v>3/1/2025</v>
      </c>
      <c r="J1492" s="8">
        <v>20210701</v>
      </c>
      <c r="K1492" s="8" t="str">
        <f t="shared" si="114"/>
        <v>7/1/2021</v>
      </c>
      <c r="L1492" s="8" t="s">
        <v>56</v>
      </c>
      <c r="M1492" s="8">
        <v>20</v>
      </c>
      <c r="N1492" s="8">
        <v>80</v>
      </c>
      <c r="O1492" s="6" t="s">
        <v>3947</v>
      </c>
      <c r="P1492" s="6" t="s">
        <v>3954</v>
      </c>
    </row>
    <row r="1493" spans="1:37" ht="15" customHeight="1" x14ac:dyDescent="0.2">
      <c r="A1493" s="7" t="s">
        <v>3891</v>
      </c>
      <c r="B1493" s="7">
        <v>8977234</v>
      </c>
      <c r="C1493" s="8">
        <v>5</v>
      </c>
      <c r="D1493" s="8">
        <v>921628689</v>
      </c>
      <c r="E1493" s="8" t="str">
        <f t="shared" si="115"/>
        <v>92162868922</v>
      </c>
      <c r="F1493" s="8" t="s">
        <v>481</v>
      </c>
      <c r="G1493" s="8">
        <v>1</v>
      </c>
      <c r="H1493" s="8">
        <v>20250401</v>
      </c>
      <c r="I1493" s="8" t="str">
        <f t="shared" si="113"/>
        <v>4/1/2025</v>
      </c>
      <c r="J1493" s="8">
        <v>20230101</v>
      </c>
      <c r="K1493" s="8" t="str">
        <f t="shared" si="114"/>
        <v>1/1/2023</v>
      </c>
      <c r="L1493" s="8" t="s">
        <v>56</v>
      </c>
      <c r="M1493" s="8">
        <v>20</v>
      </c>
      <c r="N1493" s="8">
        <v>100</v>
      </c>
      <c r="O1493" s="6" t="s">
        <v>3947</v>
      </c>
      <c r="P1493" s="6" t="s">
        <v>3955</v>
      </c>
    </row>
    <row r="1494" spans="1:37" ht="15" customHeight="1" x14ac:dyDescent="0.2">
      <c r="A1494" s="7" t="s">
        <v>3891</v>
      </c>
      <c r="B1494" s="7">
        <v>8977234</v>
      </c>
      <c r="C1494" s="8">
        <v>1</v>
      </c>
      <c r="D1494" s="8">
        <v>921729226</v>
      </c>
      <c r="E1494" s="8" t="str">
        <f t="shared" si="115"/>
        <v>92172922622</v>
      </c>
      <c r="F1494" s="8" t="s">
        <v>497</v>
      </c>
      <c r="G1494" s="8">
        <v>1</v>
      </c>
      <c r="H1494" s="8">
        <v>20250401</v>
      </c>
      <c r="I1494" s="8" t="str">
        <f t="shared" si="113"/>
        <v>4/1/2025</v>
      </c>
      <c r="J1494" s="8">
        <v>20240701</v>
      </c>
      <c r="K1494" s="8" t="str">
        <f t="shared" si="114"/>
        <v>7/1/2024</v>
      </c>
      <c r="L1494" s="8" t="s">
        <v>56</v>
      </c>
      <c r="M1494" s="8">
        <v>25</v>
      </c>
      <c r="N1494" s="8">
        <v>25</v>
      </c>
      <c r="O1494" s="6" t="s">
        <v>3947</v>
      </c>
    </row>
    <row r="1495" spans="1:37" ht="15" customHeight="1" x14ac:dyDescent="0.2">
      <c r="A1495" s="7" t="s">
        <v>3891</v>
      </c>
      <c r="B1495" s="7">
        <v>8977234</v>
      </c>
      <c r="C1495" s="8">
        <v>1</v>
      </c>
      <c r="D1495" s="8">
        <v>921741288</v>
      </c>
      <c r="E1495" s="8" t="str">
        <f t="shared" si="115"/>
        <v>92174128822</v>
      </c>
      <c r="F1495" s="8" t="s">
        <v>499</v>
      </c>
      <c r="G1495" s="8">
        <v>1</v>
      </c>
      <c r="H1495" s="8">
        <v>20250401</v>
      </c>
      <c r="I1495" s="8" t="str">
        <f t="shared" si="113"/>
        <v>4/1/2025</v>
      </c>
      <c r="J1495" s="8">
        <v>20241101</v>
      </c>
      <c r="K1495" s="8" t="str">
        <f t="shared" si="114"/>
        <v>11/1/2024</v>
      </c>
      <c r="L1495" s="8" t="s">
        <v>56</v>
      </c>
      <c r="M1495" s="8">
        <v>25</v>
      </c>
      <c r="N1495" s="8">
        <v>25</v>
      </c>
      <c r="O1495" s="6" t="s">
        <v>3947</v>
      </c>
    </row>
    <row r="1496" spans="1:37" ht="15" customHeight="1" x14ac:dyDescent="0.2">
      <c r="A1496" s="7" t="s">
        <v>3891</v>
      </c>
      <c r="B1496" s="7">
        <v>8977234</v>
      </c>
      <c r="C1496" s="8">
        <v>2</v>
      </c>
      <c r="D1496" s="8">
        <v>921775979</v>
      </c>
      <c r="E1496" s="8" t="str">
        <f t="shared" si="115"/>
        <v>92177597922</v>
      </c>
      <c r="F1496" s="8" t="s">
        <v>509</v>
      </c>
      <c r="G1496" s="8">
        <v>1</v>
      </c>
      <c r="H1496" s="8">
        <v>20250401</v>
      </c>
      <c r="I1496" s="8" t="str">
        <f t="shared" si="113"/>
        <v>4/1/2025</v>
      </c>
      <c r="J1496" s="8">
        <v>20250201</v>
      </c>
      <c r="K1496" s="8" t="str">
        <f t="shared" si="114"/>
        <v>2/1/2025</v>
      </c>
      <c r="L1496" s="8" t="s">
        <v>56</v>
      </c>
      <c r="M1496" s="8">
        <v>25</v>
      </c>
      <c r="N1496" s="8">
        <v>50</v>
      </c>
      <c r="O1496" s="6" t="s">
        <v>3947</v>
      </c>
      <c r="P1496" s="6" t="s">
        <v>3952</v>
      </c>
    </row>
    <row r="1497" spans="1:37" ht="15" customHeight="1" x14ac:dyDescent="0.2">
      <c r="A1497" s="7" t="s">
        <v>3891</v>
      </c>
      <c r="B1497" s="7">
        <v>8977234</v>
      </c>
      <c r="C1497" s="8">
        <v>5</v>
      </c>
      <c r="D1497" s="8">
        <v>921743524</v>
      </c>
      <c r="E1497" s="8" t="str">
        <f t="shared" si="115"/>
        <v>92174352422</v>
      </c>
      <c r="F1497" s="8" t="s">
        <v>501</v>
      </c>
      <c r="G1497" s="8">
        <v>1</v>
      </c>
      <c r="H1497" s="8">
        <v>20250401</v>
      </c>
      <c r="I1497" s="8" t="str">
        <f t="shared" si="113"/>
        <v>4/1/2025</v>
      </c>
      <c r="J1497" s="8">
        <v>20241101</v>
      </c>
      <c r="K1497" s="8" t="str">
        <f t="shared" si="114"/>
        <v>11/1/2024</v>
      </c>
      <c r="L1497" s="8" t="s">
        <v>56</v>
      </c>
      <c r="M1497" s="8">
        <v>25</v>
      </c>
      <c r="N1497" s="8">
        <v>125</v>
      </c>
      <c r="O1497" s="6" t="s">
        <v>3947</v>
      </c>
      <c r="P1497" s="6" t="s">
        <v>3955</v>
      </c>
    </row>
    <row r="1498" spans="1:37" ht="15" customHeight="1" x14ac:dyDescent="0.2">
      <c r="A1498" s="7" t="s">
        <v>3891</v>
      </c>
      <c r="B1498" s="7">
        <v>8977234</v>
      </c>
      <c r="C1498" s="8">
        <v>1</v>
      </c>
      <c r="D1498" s="8">
        <v>920749347</v>
      </c>
      <c r="E1498" s="8" t="str">
        <f t="shared" ref="E1498:E1504" si="116">CONCATENATE(D1498,33)</f>
        <v>92074934733</v>
      </c>
      <c r="F1498" s="8" t="s">
        <v>415</v>
      </c>
      <c r="G1498" s="8">
        <v>1</v>
      </c>
      <c r="H1498" s="8">
        <v>20250401</v>
      </c>
      <c r="I1498" s="8" t="str">
        <f t="shared" si="113"/>
        <v>4/1/2025</v>
      </c>
      <c r="J1498" s="8">
        <v>20230101</v>
      </c>
      <c r="K1498" s="8" t="str">
        <f t="shared" si="114"/>
        <v>1/1/2023</v>
      </c>
      <c r="L1498" s="8" t="s">
        <v>198</v>
      </c>
      <c r="M1498" s="8">
        <v>15</v>
      </c>
      <c r="N1498" s="8">
        <v>15</v>
      </c>
      <c r="O1498" s="6" t="s">
        <v>3950</v>
      </c>
    </row>
    <row r="1499" spans="1:37" ht="15" customHeight="1" x14ac:dyDescent="0.2">
      <c r="A1499" s="7" t="s">
        <v>3891</v>
      </c>
      <c r="B1499" s="7">
        <v>8977234</v>
      </c>
      <c r="C1499" s="8">
        <v>1</v>
      </c>
      <c r="D1499" s="8">
        <v>920749347</v>
      </c>
      <c r="E1499" s="8" t="str">
        <f t="shared" si="116"/>
        <v>92074934733</v>
      </c>
      <c r="F1499" s="8" t="s">
        <v>415</v>
      </c>
      <c r="G1499" s="8">
        <v>1</v>
      </c>
      <c r="H1499" s="8">
        <v>20250301</v>
      </c>
      <c r="I1499" s="8" t="str">
        <f t="shared" si="113"/>
        <v>3/1/2025</v>
      </c>
      <c r="J1499" s="8">
        <v>20230101</v>
      </c>
      <c r="K1499" s="8" t="str">
        <f t="shared" si="114"/>
        <v>1/1/2023</v>
      </c>
      <c r="L1499" s="8" t="s">
        <v>198</v>
      </c>
      <c r="M1499" s="8">
        <v>15</v>
      </c>
      <c r="N1499" s="8">
        <v>15</v>
      </c>
      <c r="O1499" s="6" t="s">
        <v>3950</v>
      </c>
    </row>
    <row r="1500" spans="1:37" ht="15" customHeight="1" x14ac:dyDescent="0.2">
      <c r="A1500" s="7" t="s">
        <v>3891</v>
      </c>
      <c r="B1500" s="7">
        <v>8977234</v>
      </c>
      <c r="C1500" s="8">
        <v>1</v>
      </c>
      <c r="D1500" s="8">
        <v>920903863</v>
      </c>
      <c r="E1500" s="8" t="str">
        <f t="shared" si="116"/>
        <v>92090386333</v>
      </c>
      <c r="F1500" s="8" t="s">
        <v>419</v>
      </c>
      <c r="G1500" s="8">
        <v>1</v>
      </c>
      <c r="H1500" s="8">
        <v>20250401</v>
      </c>
      <c r="I1500" s="8" t="str">
        <f t="shared" si="113"/>
        <v>4/1/2025</v>
      </c>
      <c r="J1500" s="8">
        <v>20140501</v>
      </c>
      <c r="K1500" s="8" t="str">
        <f t="shared" si="114"/>
        <v>5/1/2014</v>
      </c>
      <c r="L1500" s="8" t="s">
        <v>198</v>
      </c>
      <c r="M1500" s="8">
        <v>15</v>
      </c>
      <c r="N1500" s="8">
        <v>15</v>
      </c>
      <c r="O1500" s="6" t="s">
        <v>3950</v>
      </c>
    </row>
    <row r="1501" spans="1:37" ht="15" customHeight="1" x14ac:dyDescent="0.2">
      <c r="A1501" s="7" t="s">
        <v>3891</v>
      </c>
      <c r="B1501" s="7">
        <v>8977234</v>
      </c>
      <c r="C1501" s="8">
        <v>1</v>
      </c>
      <c r="D1501" s="8">
        <v>920981701</v>
      </c>
      <c r="E1501" s="8" t="str">
        <f t="shared" si="116"/>
        <v>92098170133</v>
      </c>
      <c r="F1501" s="8" t="s">
        <v>430</v>
      </c>
      <c r="G1501" s="8">
        <v>1</v>
      </c>
      <c r="H1501" s="8">
        <v>20250401</v>
      </c>
      <c r="I1501" s="8" t="str">
        <f t="shared" si="113"/>
        <v>4/1/2025</v>
      </c>
      <c r="J1501" s="8">
        <v>20220401</v>
      </c>
      <c r="K1501" s="8" t="str">
        <f t="shared" si="114"/>
        <v>4/1/2022</v>
      </c>
      <c r="L1501" s="8" t="s">
        <v>198</v>
      </c>
      <c r="M1501" s="8">
        <v>15</v>
      </c>
      <c r="N1501" s="8">
        <v>15</v>
      </c>
      <c r="O1501" s="6" t="s">
        <v>3950</v>
      </c>
    </row>
    <row r="1502" spans="1:37" ht="15" customHeight="1" x14ac:dyDescent="0.2">
      <c r="A1502" s="7" t="s">
        <v>3891</v>
      </c>
      <c r="B1502" s="7">
        <v>8977234</v>
      </c>
      <c r="C1502" s="8">
        <v>1</v>
      </c>
      <c r="D1502" s="8">
        <v>921035908</v>
      </c>
      <c r="E1502" s="8" t="str">
        <f t="shared" si="116"/>
        <v>92103590833</v>
      </c>
      <c r="F1502" s="8" t="s">
        <v>438</v>
      </c>
      <c r="G1502" s="8">
        <v>1</v>
      </c>
      <c r="H1502" s="8">
        <v>20250401</v>
      </c>
      <c r="I1502" s="8" t="str">
        <f t="shared" si="113"/>
        <v>4/1/2025</v>
      </c>
      <c r="J1502" s="8">
        <v>20150101</v>
      </c>
      <c r="K1502" s="8" t="str">
        <f t="shared" si="114"/>
        <v>1/1/2015</v>
      </c>
      <c r="L1502" s="8" t="s">
        <v>198</v>
      </c>
      <c r="M1502" s="8">
        <v>15</v>
      </c>
      <c r="N1502" s="8">
        <v>15</v>
      </c>
      <c r="O1502" s="6" t="s">
        <v>3950</v>
      </c>
    </row>
    <row r="1503" spans="1:37" ht="15" customHeight="1" x14ac:dyDescent="0.2">
      <c r="A1503" s="7" t="s">
        <v>3891</v>
      </c>
      <c r="B1503" s="7">
        <v>8977234</v>
      </c>
      <c r="C1503" s="8">
        <v>1</v>
      </c>
      <c r="D1503" s="8">
        <v>921183633</v>
      </c>
      <c r="E1503" s="8" t="str">
        <f t="shared" si="116"/>
        <v>92118363333</v>
      </c>
      <c r="F1503" s="8" t="s">
        <v>440</v>
      </c>
      <c r="G1503" s="8">
        <v>1</v>
      </c>
      <c r="H1503" s="8">
        <v>20250401</v>
      </c>
      <c r="I1503" s="8" t="str">
        <f t="shared" si="113"/>
        <v>4/1/2025</v>
      </c>
      <c r="J1503" s="8">
        <v>20240701</v>
      </c>
      <c r="K1503" s="8" t="str">
        <f t="shared" si="114"/>
        <v>7/1/2024</v>
      </c>
      <c r="L1503" s="8" t="s">
        <v>198</v>
      </c>
      <c r="M1503" s="8">
        <v>20</v>
      </c>
      <c r="N1503" s="8">
        <v>20</v>
      </c>
      <c r="O1503" s="6" t="s">
        <v>3950</v>
      </c>
      <c r="AK1503" s="12"/>
    </row>
    <row r="1504" spans="1:37" ht="15" customHeight="1" x14ac:dyDescent="0.2">
      <c r="A1504" s="7" t="s">
        <v>3891</v>
      </c>
      <c r="B1504" s="7">
        <v>8977234</v>
      </c>
      <c r="C1504" s="8">
        <v>1</v>
      </c>
      <c r="D1504" s="8">
        <v>921748122</v>
      </c>
      <c r="E1504" s="8" t="str">
        <f t="shared" si="116"/>
        <v>92174812233</v>
      </c>
      <c r="F1504" s="8" t="s">
        <v>505</v>
      </c>
      <c r="G1504" s="8">
        <v>1</v>
      </c>
      <c r="H1504" s="8">
        <v>20250401</v>
      </c>
      <c r="I1504" s="8" t="str">
        <f t="shared" si="113"/>
        <v>4/1/2025</v>
      </c>
      <c r="J1504" s="8">
        <v>20250101</v>
      </c>
      <c r="K1504" s="8" t="str">
        <f t="shared" si="114"/>
        <v>1/1/2025</v>
      </c>
      <c r="L1504" s="8" t="s">
        <v>198</v>
      </c>
      <c r="M1504" s="8">
        <v>20</v>
      </c>
      <c r="N1504" s="8">
        <v>20</v>
      </c>
      <c r="O1504" s="6" t="s">
        <v>3950</v>
      </c>
      <c r="AK1504" s="12"/>
    </row>
    <row r="1505" spans="1:16" ht="15" customHeight="1" x14ac:dyDescent="0.3">
      <c r="A1505" s="7" t="s">
        <v>3891</v>
      </c>
      <c r="B1505" s="7">
        <v>8977234</v>
      </c>
      <c r="C1505" s="8">
        <v>1</v>
      </c>
      <c r="D1505" s="8">
        <v>921537221</v>
      </c>
      <c r="E1505" s="8" t="str">
        <f t="shared" ref="E1505:E1519" si="117">CONCATENATE(D1505,44)</f>
        <v>92153722144</v>
      </c>
      <c r="F1505" s="8" t="s">
        <v>455</v>
      </c>
      <c r="G1505" s="8">
        <v>1</v>
      </c>
      <c r="H1505" s="8">
        <v>20250401</v>
      </c>
      <c r="I1505" s="8" t="str">
        <f t="shared" si="113"/>
        <v>4/1/2025</v>
      </c>
      <c r="J1505" s="8">
        <v>20230301</v>
      </c>
      <c r="K1505" s="8" t="str">
        <f t="shared" si="114"/>
        <v>3/1/2023</v>
      </c>
      <c r="L1505" s="8" t="s">
        <v>65</v>
      </c>
      <c r="M1505" s="8">
        <v>25</v>
      </c>
      <c r="N1505" s="8">
        <v>25</v>
      </c>
      <c r="O1505" s="14" t="s">
        <v>3948</v>
      </c>
    </row>
    <row r="1506" spans="1:16" ht="15" customHeight="1" x14ac:dyDescent="0.3">
      <c r="A1506" s="7" t="s">
        <v>3891</v>
      </c>
      <c r="B1506" s="7">
        <v>8977234</v>
      </c>
      <c r="C1506" s="8">
        <v>1</v>
      </c>
      <c r="D1506" s="8">
        <v>921539279</v>
      </c>
      <c r="E1506" s="8" t="str">
        <f t="shared" si="117"/>
        <v>92153927944</v>
      </c>
      <c r="F1506" s="8" t="s">
        <v>459</v>
      </c>
      <c r="G1506" s="8">
        <v>1</v>
      </c>
      <c r="H1506" s="8">
        <v>20250401</v>
      </c>
      <c r="I1506" s="8" t="str">
        <f t="shared" si="113"/>
        <v>4/1/2025</v>
      </c>
      <c r="J1506" s="8">
        <v>20210101</v>
      </c>
      <c r="K1506" s="8" t="str">
        <f t="shared" si="114"/>
        <v>1/1/2021</v>
      </c>
      <c r="L1506" s="8" t="s">
        <v>65</v>
      </c>
      <c r="M1506" s="8">
        <v>25</v>
      </c>
      <c r="N1506" s="8">
        <v>25</v>
      </c>
      <c r="O1506" s="14" t="s">
        <v>3948</v>
      </c>
    </row>
    <row r="1507" spans="1:16" ht="15" customHeight="1" x14ac:dyDescent="0.3">
      <c r="A1507" s="7" t="s">
        <v>3891</v>
      </c>
      <c r="B1507" s="7">
        <v>8977234</v>
      </c>
      <c r="C1507" s="8">
        <v>1</v>
      </c>
      <c r="D1507" s="8">
        <v>921571971</v>
      </c>
      <c r="E1507" s="8" t="str">
        <f t="shared" si="117"/>
        <v>92157197144</v>
      </c>
      <c r="F1507" s="8" t="s">
        <v>461</v>
      </c>
      <c r="G1507" s="8">
        <v>1</v>
      </c>
      <c r="H1507" s="8">
        <v>20250401</v>
      </c>
      <c r="I1507" s="8" t="str">
        <f t="shared" si="113"/>
        <v>4/1/2025</v>
      </c>
      <c r="J1507" s="8">
        <v>20210601</v>
      </c>
      <c r="K1507" s="8" t="str">
        <f t="shared" si="114"/>
        <v>6/1/2021</v>
      </c>
      <c r="L1507" s="8" t="s">
        <v>65</v>
      </c>
      <c r="M1507" s="8">
        <v>25</v>
      </c>
      <c r="N1507" s="8">
        <v>25</v>
      </c>
      <c r="O1507" s="14" t="s">
        <v>3948</v>
      </c>
    </row>
    <row r="1508" spans="1:16" ht="15" customHeight="1" x14ac:dyDescent="0.3">
      <c r="A1508" s="7" t="s">
        <v>3891</v>
      </c>
      <c r="B1508" s="7">
        <v>8977234</v>
      </c>
      <c r="C1508" s="8">
        <v>1</v>
      </c>
      <c r="D1508" s="8">
        <v>921582367</v>
      </c>
      <c r="E1508" s="8" t="str">
        <f t="shared" si="117"/>
        <v>92158236744</v>
      </c>
      <c r="F1508" s="8" t="s">
        <v>468</v>
      </c>
      <c r="G1508" s="8">
        <v>1</v>
      </c>
      <c r="H1508" s="8">
        <v>20250401</v>
      </c>
      <c r="I1508" s="8" t="str">
        <f t="shared" si="113"/>
        <v>4/1/2025</v>
      </c>
      <c r="J1508" s="8">
        <v>20220601</v>
      </c>
      <c r="K1508" s="8" t="str">
        <f t="shared" si="114"/>
        <v>6/1/2022</v>
      </c>
      <c r="L1508" s="8" t="s">
        <v>65</v>
      </c>
      <c r="M1508" s="8">
        <v>25</v>
      </c>
      <c r="N1508" s="8">
        <v>25</v>
      </c>
      <c r="O1508" s="14" t="s">
        <v>3948</v>
      </c>
    </row>
    <row r="1509" spans="1:16" ht="15" customHeight="1" x14ac:dyDescent="0.3">
      <c r="A1509" s="7" t="s">
        <v>3891</v>
      </c>
      <c r="B1509" s="7">
        <v>8977234</v>
      </c>
      <c r="C1509" s="8">
        <v>1</v>
      </c>
      <c r="D1509" s="8">
        <v>921582367</v>
      </c>
      <c r="E1509" s="8" t="str">
        <f t="shared" si="117"/>
        <v>92158236744</v>
      </c>
      <c r="F1509" s="8" t="s">
        <v>468</v>
      </c>
      <c r="G1509" s="8">
        <v>1</v>
      </c>
      <c r="H1509" s="8">
        <v>20250301</v>
      </c>
      <c r="I1509" s="8" t="str">
        <f t="shared" si="113"/>
        <v>3/1/2025</v>
      </c>
      <c r="J1509" s="8">
        <v>20220601</v>
      </c>
      <c r="K1509" s="8" t="str">
        <f t="shared" si="114"/>
        <v>6/1/2022</v>
      </c>
      <c r="L1509" s="8" t="s">
        <v>65</v>
      </c>
      <c r="M1509" s="8">
        <v>25</v>
      </c>
      <c r="N1509" s="8">
        <v>25</v>
      </c>
      <c r="O1509" s="14" t="s">
        <v>3948</v>
      </c>
    </row>
    <row r="1510" spans="1:16" ht="15" customHeight="1" x14ac:dyDescent="0.3">
      <c r="A1510" s="7" t="s">
        <v>3891</v>
      </c>
      <c r="B1510" s="7">
        <v>8977234</v>
      </c>
      <c r="C1510" s="8">
        <v>1</v>
      </c>
      <c r="D1510" s="8">
        <v>921592861</v>
      </c>
      <c r="E1510" s="8" t="str">
        <f t="shared" si="117"/>
        <v>92159286144</v>
      </c>
      <c r="F1510" s="8" t="s">
        <v>473</v>
      </c>
      <c r="G1510" s="8">
        <v>1</v>
      </c>
      <c r="H1510" s="8">
        <v>20250401</v>
      </c>
      <c r="I1510" s="8" t="str">
        <f t="shared" si="113"/>
        <v>4/1/2025</v>
      </c>
      <c r="J1510" s="8">
        <v>20220101</v>
      </c>
      <c r="K1510" s="8" t="str">
        <f t="shared" si="114"/>
        <v>1/1/2022</v>
      </c>
      <c r="L1510" s="8" t="s">
        <v>65</v>
      </c>
      <c r="M1510" s="8">
        <v>25</v>
      </c>
      <c r="N1510" s="8">
        <v>25</v>
      </c>
      <c r="O1510" s="14" t="s">
        <v>3948</v>
      </c>
    </row>
    <row r="1511" spans="1:16" ht="15" customHeight="1" x14ac:dyDescent="0.3">
      <c r="A1511" s="7" t="s">
        <v>3891</v>
      </c>
      <c r="B1511" s="7">
        <v>8977234</v>
      </c>
      <c r="C1511" s="8">
        <v>1</v>
      </c>
      <c r="D1511" s="8">
        <v>921625249</v>
      </c>
      <c r="E1511" s="8" t="str">
        <f t="shared" si="117"/>
        <v>92162524944</v>
      </c>
      <c r="F1511" s="8" t="s">
        <v>479</v>
      </c>
      <c r="G1511" s="8">
        <v>1</v>
      </c>
      <c r="H1511" s="8">
        <v>20250401</v>
      </c>
      <c r="I1511" s="8" t="str">
        <f t="shared" si="113"/>
        <v>4/1/2025</v>
      </c>
      <c r="J1511" s="8">
        <v>20230101</v>
      </c>
      <c r="K1511" s="8" t="str">
        <f t="shared" si="114"/>
        <v>1/1/2023</v>
      </c>
      <c r="L1511" s="8" t="s">
        <v>65</v>
      </c>
      <c r="M1511" s="8">
        <v>25</v>
      </c>
      <c r="N1511" s="8">
        <v>25</v>
      </c>
      <c r="O1511" s="14" t="s">
        <v>3948</v>
      </c>
    </row>
    <row r="1512" spans="1:16" ht="15" customHeight="1" x14ac:dyDescent="0.3">
      <c r="A1512" s="7" t="s">
        <v>3891</v>
      </c>
      <c r="B1512" s="7">
        <v>8977234</v>
      </c>
      <c r="C1512" s="8">
        <v>1</v>
      </c>
      <c r="D1512" s="8">
        <v>921677876</v>
      </c>
      <c r="E1512" s="8" t="str">
        <f t="shared" si="117"/>
        <v>92167787644</v>
      </c>
      <c r="F1512" s="8" t="s">
        <v>487</v>
      </c>
      <c r="G1512" s="8">
        <v>1</v>
      </c>
      <c r="H1512" s="8">
        <v>20250401</v>
      </c>
      <c r="I1512" s="8" t="str">
        <f t="shared" si="113"/>
        <v>4/1/2025</v>
      </c>
      <c r="J1512" s="8">
        <v>20240101</v>
      </c>
      <c r="K1512" s="8" t="str">
        <f t="shared" si="114"/>
        <v>1/1/2024</v>
      </c>
      <c r="L1512" s="8" t="s">
        <v>65</v>
      </c>
      <c r="M1512" s="8">
        <v>25</v>
      </c>
      <c r="N1512" s="8">
        <v>25</v>
      </c>
      <c r="O1512" s="14" t="s">
        <v>3948</v>
      </c>
    </row>
    <row r="1513" spans="1:16" ht="15" customHeight="1" x14ac:dyDescent="0.3">
      <c r="A1513" s="7" t="s">
        <v>3891</v>
      </c>
      <c r="B1513" s="7">
        <v>8977234</v>
      </c>
      <c r="C1513" s="8">
        <v>1</v>
      </c>
      <c r="D1513" s="8">
        <v>921685178</v>
      </c>
      <c r="E1513" s="8" t="str">
        <f t="shared" si="117"/>
        <v>92168517844</v>
      </c>
      <c r="F1513" s="8" t="s">
        <v>489</v>
      </c>
      <c r="G1513" s="8">
        <v>1</v>
      </c>
      <c r="H1513" s="8">
        <v>20250401</v>
      </c>
      <c r="I1513" s="8" t="str">
        <f t="shared" si="113"/>
        <v>4/1/2025</v>
      </c>
      <c r="J1513" s="8">
        <v>20240101</v>
      </c>
      <c r="K1513" s="8" t="str">
        <f t="shared" si="114"/>
        <v>1/1/2024</v>
      </c>
      <c r="L1513" s="8" t="s">
        <v>65</v>
      </c>
      <c r="M1513" s="8">
        <v>25</v>
      </c>
      <c r="N1513" s="8">
        <v>25</v>
      </c>
      <c r="O1513" s="14" t="s">
        <v>3948</v>
      </c>
    </row>
    <row r="1514" spans="1:16" ht="15" customHeight="1" x14ac:dyDescent="0.3">
      <c r="A1514" s="7" t="s">
        <v>3891</v>
      </c>
      <c r="B1514" s="7">
        <v>8977234</v>
      </c>
      <c r="C1514" s="8">
        <v>1</v>
      </c>
      <c r="D1514" s="8">
        <v>921712494</v>
      </c>
      <c r="E1514" s="8" t="str">
        <f t="shared" si="117"/>
        <v>92171249444</v>
      </c>
      <c r="F1514" s="8" t="s">
        <v>495</v>
      </c>
      <c r="G1514" s="8">
        <v>1</v>
      </c>
      <c r="H1514" s="8">
        <v>20250401</v>
      </c>
      <c r="I1514" s="8" t="str">
        <f t="shared" si="113"/>
        <v>4/1/2025</v>
      </c>
      <c r="J1514" s="8">
        <v>20240301</v>
      </c>
      <c r="K1514" s="8" t="str">
        <f t="shared" si="114"/>
        <v>3/1/2024</v>
      </c>
      <c r="L1514" s="8" t="s">
        <v>65</v>
      </c>
      <c r="M1514" s="8">
        <v>25</v>
      </c>
      <c r="N1514" s="8">
        <v>25</v>
      </c>
      <c r="O1514" s="14" t="s">
        <v>3948</v>
      </c>
    </row>
    <row r="1515" spans="1:16" ht="15" customHeight="1" x14ac:dyDescent="0.3">
      <c r="A1515" s="7" t="s">
        <v>3891</v>
      </c>
      <c r="B1515" s="7">
        <v>8977234</v>
      </c>
      <c r="C1515" s="8">
        <v>2</v>
      </c>
      <c r="D1515" s="8">
        <v>921537558</v>
      </c>
      <c r="E1515" s="8" t="str">
        <f t="shared" si="117"/>
        <v>92153755844</v>
      </c>
      <c r="F1515" s="8" t="s">
        <v>457</v>
      </c>
      <c r="G1515" s="8">
        <v>1</v>
      </c>
      <c r="H1515" s="8">
        <v>20250401</v>
      </c>
      <c r="I1515" s="8" t="str">
        <f t="shared" si="113"/>
        <v>4/1/2025</v>
      </c>
      <c r="J1515" s="8">
        <v>20210101</v>
      </c>
      <c r="K1515" s="8" t="str">
        <f t="shared" si="114"/>
        <v>1/1/2021</v>
      </c>
      <c r="L1515" s="8" t="s">
        <v>65</v>
      </c>
      <c r="M1515" s="8">
        <v>25</v>
      </c>
      <c r="N1515" s="8">
        <v>50</v>
      </c>
      <c r="O1515" s="14" t="s">
        <v>3948</v>
      </c>
      <c r="P1515" s="6" t="s">
        <v>3952</v>
      </c>
    </row>
    <row r="1516" spans="1:16" ht="15" customHeight="1" x14ac:dyDescent="0.3">
      <c r="A1516" s="7" t="s">
        <v>3891</v>
      </c>
      <c r="B1516" s="7">
        <v>8977234</v>
      </c>
      <c r="C1516" s="8">
        <v>4</v>
      </c>
      <c r="D1516" s="8">
        <v>921505326</v>
      </c>
      <c r="E1516" s="8" t="str">
        <f t="shared" si="117"/>
        <v>92150532644</v>
      </c>
      <c r="F1516" s="8" t="s">
        <v>447</v>
      </c>
      <c r="G1516" s="8">
        <v>1</v>
      </c>
      <c r="H1516" s="8">
        <v>20250401</v>
      </c>
      <c r="I1516" s="8" t="str">
        <f t="shared" si="113"/>
        <v>4/1/2025</v>
      </c>
      <c r="J1516" s="8">
        <v>20200101</v>
      </c>
      <c r="K1516" s="8" t="str">
        <f t="shared" si="114"/>
        <v>1/1/2020</v>
      </c>
      <c r="L1516" s="8" t="s">
        <v>65</v>
      </c>
      <c r="M1516" s="8">
        <v>25</v>
      </c>
      <c r="N1516" s="8">
        <v>100</v>
      </c>
      <c r="O1516" s="14" t="s">
        <v>3948</v>
      </c>
      <c r="P1516" s="6" t="s">
        <v>3954</v>
      </c>
    </row>
    <row r="1517" spans="1:16" ht="15" customHeight="1" x14ac:dyDescent="0.3">
      <c r="A1517" s="7" t="s">
        <v>3891</v>
      </c>
      <c r="B1517" s="7">
        <v>8977234</v>
      </c>
      <c r="C1517" s="8">
        <v>1</v>
      </c>
      <c r="D1517" s="8">
        <v>921746658</v>
      </c>
      <c r="E1517" s="8" t="str">
        <f t="shared" si="117"/>
        <v>92174665844</v>
      </c>
      <c r="F1517" s="8" t="s">
        <v>503</v>
      </c>
      <c r="G1517" s="8">
        <v>1</v>
      </c>
      <c r="H1517" s="8">
        <v>20250401</v>
      </c>
      <c r="I1517" s="8" t="str">
        <f t="shared" si="113"/>
        <v>4/1/2025</v>
      </c>
      <c r="J1517" s="8">
        <v>20250101</v>
      </c>
      <c r="K1517" s="8" t="str">
        <f t="shared" si="114"/>
        <v>1/1/2025</v>
      </c>
      <c r="L1517" s="8" t="s">
        <v>65</v>
      </c>
      <c r="M1517" s="8">
        <v>30</v>
      </c>
      <c r="N1517" s="8">
        <v>30</v>
      </c>
      <c r="O1517" s="14" t="s">
        <v>3948</v>
      </c>
    </row>
    <row r="1518" spans="1:16" ht="15" customHeight="1" x14ac:dyDescent="0.3">
      <c r="A1518" s="7" t="s">
        <v>3891</v>
      </c>
      <c r="B1518" s="7">
        <v>8977234</v>
      </c>
      <c r="C1518" s="8">
        <v>1</v>
      </c>
      <c r="D1518" s="8">
        <v>921753790</v>
      </c>
      <c r="E1518" s="8" t="str">
        <f t="shared" si="117"/>
        <v>92175379044</v>
      </c>
      <c r="F1518" s="8" t="s">
        <v>507</v>
      </c>
      <c r="G1518" s="8">
        <v>1</v>
      </c>
      <c r="H1518" s="8">
        <v>20250301</v>
      </c>
      <c r="I1518" s="8" t="str">
        <f t="shared" si="113"/>
        <v>3/1/2025</v>
      </c>
      <c r="J1518" s="8">
        <v>20250101</v>
      </c>
      <c r="K1518" s="8" t="str">
        <f t="shared" si="114"/>
        <v>1/1/2025</v>
      </c>
      <c r="L1518" s="8" t="s">
        <v>65</v>
      </c>
      <c r="M1518" s="8">
        <v>30</v>
      </c>
      <c r="N1518" s="8">
        <v>30</v>
      </c>
      <c r="O1518" s="14" t="s">
        <v>3948</v>
      </c>
    </row>
    <row r="1519" spans="1:16" ht="15" customHeight="1" x14ac:dyDescent="0.3">
      <c r="A1519" s="7" t="s">
        <v>3891</v>
      </c>
      <c r="B1519" s="7">
        <v>8977234</v>
      </c>
      <c r="C1519" s="6">
        <v>-1</v>
      </c>
      <c r="D1519" s="8">
        <v>921753790</v>
      </c>
      <c r="E1519" s="8" t="str">
        <f t="shared" si="117"/>
        <v>92175379044</v>
      </c>
      <c r="F1519" s="8" t="s">
        <v>507</v>
      </c>
      <c r="G1519" s="8">
        <v>-1</v>
      </c>
      <c r="H1519" s="8">
        <v>20250301</v>
      </c>
      <c r="I1519" s="8" t="str">
        <f t="shared" si="113"/>
        <v>3/1/2025</v>
      </c>
      <c r="J1519" s="8">
        <v>20250101</v>
      </c>
      <c r="K1519" s="8" t="str">
        <f t="shared" si="114"/>
        <v>1/1/2025</v>
      </c>
      <c r="L1519" s="8" t="s">
        <v>65</v>
      </c>
      <c r="M1519" s="8">
        <v>30</v>
      </c>
      <c r="N1519" s="8">
        <v>-30</v>
      </c>
      <c r="O1519" s="14" t="s">
        <v>3948</v>
      </c>
    </row>
    <row r="1520" spans="1:16" ht="15" customHeight="1" x14ac:dyDescent="0.2">
      <c r="A1520" s="7" t="s">
        <v>3891</v>
      </c>
      <c r="B1520" s="7">
        <v>8977234</v>
      </c>
      <c r="D1520" s="8">
        <v>920955115</v>
      </c>
      <c r="E1520" s="8" t="str">
        <f>CONCATENATE(1,D1520)</f>
        <v>1920955115</v>
      </c>
      <c r="F1520" s="8" t="s">
        <v>423</v>
      </c>
      <c r="G1520" s="8">
        <v>35.729999999999997</v>
      </c>
      <c r="H1520" s="8">
        <v>20250401</v>
      </c>
      <c r="I1520" s="8" t="str">
        <f t="shared" si="113"/>
        <v>4/1/2025</v>
      </c>
      <c r="J1520" s="8">
        <v>20250101</v>
      </c>
      <c r="K1520" s="8" t="str">
        <f t="shared" si="114"/>
        <v>1/1/2025</v>
      </c>
      <c r="L1520" s="8" t="s">
        <v>116</v>
      </c>
      <c r="M1520" s="8">
        <v>0.04</v>
      </c>
      <c r="N1520" s="8">
        <v>1.43</v>
      </c>
      <c r="O1520" s="6" t="s">
        <v>3938</v>
      </c>
    </row>
    <row r="1521" spans="1:16" ht="15" customHeight="1" x14ac:dyDescent="0.2">
      <c r="A1521" s="7" t="s">
        <v>3909</v>
      </c>
      <c r="B1521" s="7">
        <v>19396223</v>
      </c>
      <c r="C1521" s="8">
        <v>1</v>
      </c>
      <c r="D1521" s="8">
        <v>890142304</v>
      </c>
      <c r="E1521" s="8" t="str">
        <f t="shared" ref="E1521:E1536" si="118">CONCATENATE(D1521,22)</f>
        <v>89014230422</v>
      </c>
      <c r="F1521" s="8" t="s">
        <v>2568</v>
      </c>
      <c r="G1521" s="8">
        <v>1</v>
      </c>
      <c r="H1521" s="8">
        <v>20250301</v>
      </c>
      <c r="I1521" s="8" t="str">
        <f t="shared" si="113"/>
        <v>3/1/2025</v>
      </c>
      <c r="J1521" s="8">
        <v>20200101</v>
      </c>
      <c r="K1521" s="8" t="str">
        <f t="shared" si="114"/>
        <v>1/1/2020</v>
      </c>
      <c r="L1521" s="8" t="s">
        <v>56</v>
      </c>
      <c r="M1521" s="8">
        <v>20</v>
      </c>
      <c r="N1521" s="8">
        <v>20</v>
      </c>
      <c r="O1521" s="6" t="s">
        <v>3947</v>
      </c>
    </row>
    <row r="1522" spans="1:16" ht="15" customHeight="1" x14ac:dyDescent="0.2">
      <c r="A1522" s="7" t="s">
        <v>3909</v>
      </c>
      <c r="B1522" s="7">
        <v>19396223</v>
      </c>
      <c r="C1522" s="8">
        <v>1</v>
      </c>
      <c r="D1522" s="8">
        <v>921549744</v>
      </c>
      <c r="E1522" s="8" t="str">
        <f t="shared" si="118"/>
        <v>92154974422</v>
      </c>
      <c r="F1522" s="8" t="s">
        <v>2590</v>
      </c>
      <c r="G1522" s="8">
        <v>1</v>
      </c>
      <c r="H1522" s="8">
        <v>20250401</v>
      </c>
      <c r="I1522" s="8" t="str">
        <f t="shared" si="113"/>
        <v>4/1/2025</v>
      </c>
      <c r="J1522" s="8">
        <v>20210101</v>
      </c>
      <c r="K1522" s="8" t="str">
        <f t="shared" si="114"/>
        <v>1/1/2021</v>
      </c>
      <c r="L1522" s="8" t="s">
        <v>56</v>
      </c>
      <c r="M1522" s="8">
        <v>20</v>
      </c>
      <c r="N1522" s="8">
        <v>20</v>
      </c>
      <c r="O1522" s="6" t="s">
        <v>3947</v>
      </c>
    </row>
    <row r="1523" spans="1:16" ht="15" customHeight="1" x14ac:dyDescent="0.2">
      <c r="A1523" s="7" t="s">
        <v>3909</v>
      </c>
      <c r="B1523" s="7">
        <v>19396223</v>
      </c>
      <c r="C1523" s="8">
        <v>1</v>
      </c>
      <c r="D1523" s="8">
        <v>921549744</v>
      </c>
      <c r="E1523" s="8" t="str">
        <f t="shared" si="118"/>
        <v>92154974422</v>
      </c>
      <c r="F1523" s="8" t="s">
        <v>2590</v>
      </c>
      <c r="G1523" s="8">
        <v>1</v>
      </c>
      <c r="H1523" s="8">
        <v>20250301</v>
      </c>
      <c r="I1523" s="8" t="str">
        <f t="shared" si="113"/>
        <v>3/1/2025</v>
      </c>
      <c r="J1523" s="8">
        <v>20210101</v>
      </c>
      <c r="K1523" s="8" t="str">
        <f t="shared" si="114"/>
        <v>1/1/2021</v>
      </c>
      <c r="L1523" s="8" t="s">
        <v>56</v>
      </c>
      <c r="M1523" s="8">
        <v>20</v>
      </c>
      <c r="N1523" s="8">
        <v>20</v>
      </c>
      <c r="O1523" s="6" t="s">
        <v>3947</v>
      </c>
    </row>
    <row r="1524" spans="1:16" ht="15" customHeight="1" x14ac:dyDescent="0.2">
      <c r="A1524" s="7" t="s">
        <v>3909</v>
      </c>
      <c r="B1524" s="7">
        <v>19396223</v>
      </c>
      <c r="C1524" s="8">
        <v>1</v>
      </c>
      <c r="D1524" s="8">
        <v>921665726</v>
      </c>
      <c r="E1524" s="8" t="str">
        <f t="shared" si="118"/>
        <v>92166572622</v>
      </c>
      <c r="F1524" s="8" t="s">
        <v>2614</v>
      </c>
      <c r="G1524" s="8">
        <v>1</v>
      </c>
      <c r="H1524" s="8">
        <v>20250401</v>
      </c>
      <c r="I1524" s="8" t="str">
        <f t="shared" si="113"/>
        <v>4/1/2025</v>
      </c>
      <c r="J1524" s="8">
        <v>20230801</v>
      </c>
      <c r="K1524" s="8" t="str">
        <f t="shared" si="114"/>
        <v>8/1/2023</v>
      </c>
      <c r="L1524" s="8" t="s">
        <v>56</v>
      </c>
      <c r="M1524" s="8">
        <v>20</v>
      </c>
      <c r="N1524" s="8">
        <v>20</v>
      </c>
      <c r="O1524" s="6" t="s">
        <v>3947</v>
      </c>
    </row>
    <row r="1525" spans="1:16" ht="15" customHeight="1" x14ac:dyDescent="0.2">
      <c r="A1525" s="7" t="s">
        <v>3909</v>
      </c>
      <c r="B1525" s="7">
        <v>19396223</v>
      </c>
      <c r="C1525" s="8">
        <v>1</v>
      </c>
      <c r="D1525" s="8">
        <v>921683547</v>
      </c>
      <c r="E1525" s="8" t="str">
        <f t="shared" si="118"/>
        <v>92168354722</v>
      </c>
      <c r="F1525" s="8" t="s">
        <v>2620</v>
      </c>
      <c r="G1525" s="8">
        <v>1</v>
      </c>
      <c r="H1525" s="8">
        <v>20250401</v>
      </c>
      <c r="I1525" s="8" t="str">
        <f t="shared" si="113"/>
        <v>4/1/2025</v>
      </c>
      <c r="J1525" s="8">
        <v>20240101</v>
      </c>
      <c r="K1525" s="8" t="str">
        <f t="shared" si="114"/>
        <v>1/1/2024</v>
      </c>
      <c r="L1525" s="8" t="s">
        <v>56</v>
      </c>
      <c r="M1525" s="8">
        <v>20</v>
      </c>
      <c r="N1525" s="8">
        <v>20</v>
      </c>
      <c r="O1525" s="6" t="s">
        <v>3947</v>
      </c>
    </row>
    <row r="1526" spans="1:16" ht="15" customHeight="1" x14ac:dyDescent="0.2">
      <c r="A1526" s="7" t="s">
        <v>3909</v>
      </c>
      <c r="B1526" s="7">
        <v>19396223</v>
      </c>
      <c r="C1526" s="8">
        <v>4</v>
      </c>
      <c r="D1526" s="8">
        <v>921540321</v>
      </c>
      <c r="E1526" s="8" t="str">
        <f t="shared" si="118"/>
        <v>92154032122</v>
      </c>
      <c r="F1526" s="8" t="s">
        <v>2588</v>
      </c>
      <c r="G1526" s="8">
        <v>1</v>
      </c>
      <c r="H1526" s="8">
        <v>20250401</v>
      </c>
      <c r="I1526" s="8" t="str">
        <f t="shared" si="113"/>
        <v>4/1/2025</v>
      </c>
      <c r="J1526" s="8">
        <v>20210101</v>
      </c>
      <c r="K1526" s="8" t="str">
        <f t="shared" si="114"/>
        <v>1/1/2021</v>
      </c>
      <c r="L1526" s="8" t="s">
        <v>56</v>
      </c>
      <c r="M1526" s="8">
        <v>20</v>
      </c>
      <c r="N1526" s="8">
        <v>80</v>
      </c>
      <c r="O1526" s="6" t="s">
        <v>3947</v>
      </c>
      <c r="P1526" s="6" t="s">
        <v>3954</v>
      </c>
    </row>
    <row r="1527" spans="1:16" ht="15" customHeight="1" x14ac:dyDescent="0.2">
      <c r="A1527" s="7" t="s">
        <v>3909</v>
      </c>
      <c r="B1527" s="7">
        <v>19396223</v>
      </c>
      <c r="C1527" s="8">
        <v>5</v>
      </c>
      <c r="D1527" s="8">
        <v>921655802</v>
      </c>
      <c r="E1527" s="8" t="str">
        <f t="shared" si="118"/>
        <v>92165580222</v>
      </c>
      <c r="F1527" s="8" t="s">
        <v>2610</v>
      </c>
      <c r="G1527" s="8">
        <v>1</v>
      </c>
      <c r="H1527" s="8">
        <v>20250401</v>
      </c>
      <c r="I1527" s="8" t="str">
        <f t="shared" si="113"/>
        <v>4/1/2025</v>
      </c>
      <c r="J1527" s="8">
        <v>20230401</v>
      </c>
      <c r="K1527" s="8" t="str">
        <f t="shared" si="114"/>
        <v>4/1/2023</v>
      </c>
      <c r="L1527" s="8" t="s">
        <v>56</v>
      </c>
      <c r="M1527" s="8">
        <v>20</v>
      </c>
      <c r="N1527" s="8">
        <v>100</v>
      </c>
      <c r="O1527" s="6" t="s">
        <v>3947</v>
      </c>
      <c r="P1527" s="6" t="s">
        <v>3955</v>
      </c>
    </row>
    <row r="1528" spans="1:16" ht="15" customHeight="1" x14ac:dyDescent="0.2">
      <c r="A1528" s="7" t="s">
        <v>3909</v>
      </c>
      <c r="B1528" s="7">
        <v>19396223</v>
      </c>
      <c r="C1528" s="8">
        <v>1</v>
      </c>
      <c r="D1528" s="8">
        <v>921322323</v>
      </c>
      <c r="E1528" s="8" t="str">
        <f t="shared" si="118"/>
        <v>92132232322</v>
      </c>
      <c r="F1528" s="8" t="s">
        <v>2586</v>
      </c>
      <c r="G1528" s="8">
        <v>1</v>
      </c>
      <c r="H1528" s="8">
        <v>20250401</v>
      </c>
      <c r="I1528" s="8" t="str">
        <f t="shared" si="113"/>
        <v>4/1/2025</v>
      </c>
      <c r="J1528" s="8">
        <v>20241201</v>
      </c>
      <c r="K1528" s="8" t="str">
        <f t="shared" si="114"/>
        <v>12/1/2024</v>
      </c>
      <c r="L1528" s="8" t="s">
        <v>56</v>
      </c>
      <c r="M1528" s="8">
        <v>25</v>
      </c>
      <c r="N1528" s="8">
        <v>25</v>
      </c>
      <c r="O1528" s="6" t="s">
        <v>3947</v>
      </c>
    </row>
    <row r="1529" spans="1:16" ht="15" customHeight="1" x14ac:dyDescent="0.2">
      <c r="A1529" s="7" t="s">
        <v>3909</v>
      </c>
      <c r="B1529" s="7">
        <v>19396223</v>
      </c>
      <c r="C1529" s="8">
        <v>1</v>
      </c>
      <c r="D1529" s="8">
        <v>921762668</v>
      </c>
      <c r="E1529" s="8" t="str">
        <f t="shared" si="118"/>
        <v>92176266822</v>
      </c>
      <c r="F1529" s="8" t="s">
        <v>2651</v>
      </c>
      <c r="G1529" s="8">
        <v>1</v>
      </c>
      <c r="H1529" s="8">
        <v>20250401</v>
      </c>
      <c r="I1529" s="8" t="str">
        <f t="shared" si="113"/>
        <v>4/1/2025</v>
      </c>
      <c r="J1529" s="8">
        <v>20250101</v>
      </c>
      <c r="K1529" s="8" t="str">
        <f t="shared" si="114"/>
        <v>1/1/2025</v>
      </c>
      <c r="L1529" s="8" t="s">
        <v>56</v>
      </c>
      <c r="M1529" s="8">
        <v>25</v>
      </c>
      <c r="N1529" s="8">
        <v>25</v>
      </c>
      <c r="O1529" s="6" t="s">
        <v>3947</v>
      </c>
    </row>
    <row r="1530" spans="1:16" ht="15" customHeight="1" x14ac:dyDescent="0.2">
      <c r="A1530" s="7" t="s">
        <v>3909</v>
      </c>
      <c r="B1530" s="7">
        <v>19396223</v>
      </c>
      <c r="C1530" s="8">
        <v>1</v>
      </c>
      <c r="D1530" s="8">
        <v>921764010</v>
      </c>
      <c r="E1530" s="8" t="str">
        <f t="shared" si="118"/>
        <v>92176401022</v>
      </c>
      <c r="F1530" s="8" t="s">
        <v>2653</v>
      </c>
      <c r="G1530" s="8">
        <v>1</v>
      </c>
      <c r="H1530" s="8">
        <v>20250401</v>
      </c>
      <c r="I1530" s="8" t="str">
        <f t="shared" si="113"/>
        <v>4/1/2025</v>
      </c>
      <c r="J1530" s="8">
        <v>20250101</v>
      </c>
      <c r="K1530" s="8" t="str">
        <f t="shared" si="114"/>
        <v>1/1/2025</v>
      </c>
      <c r="L1530" s="8" t="s">
        <v>56</v>
      </c>
      <c r="M1530" s="8">
        <v>25</v>
      </c>
      <c r="N1530" s="8">
        <v>25</v>
      </c>
      <c r="O1530" s="6" t="s">
        <v>3947</v>
      </c>
    </row>
    <row r="1531" spans="1:16" ht="15" customHeight="1" x14ac:dyDescent="0.2">
      <c r="A1531" s="7" t="s">
        <v>3909</v>
      </c>
      <c r="B1531" s="7">
        <v>19396223</v>
      </c>
      <c r="C1531" s="8">
        <v>1</v>
      </c>
      <c r="D1531" s="8">
        <v>921769369</v>
      </c>
      <c r="E1531" s="8" t="str">
        <f t="shared" si="118"/>
        <v>92176936922</v>
      </c>
      <c r="F1531" s="8" t="s">
        <v>2657</v>
      </c>
      <c r="G1531" s="8">
        <v>1</v>
      </c>
      <c r="H1531" s="8">
        <v>20250401</v>
      </c>
      <c r="I1531" s="8" t="str">
        <f t="shared" si="113"/>
        <v>4/1/2025</v>
      </c>
      <c r="J1531" s="8">
        <v>20250201</v>
      </c>
      <c r="K1531" s="8" t="str">
        <f t="shared" si="114"/>
        <v>2/1/2025</v>
      </c>
      <c r="L1531" s="8" t="s">
        <v>56</v>
      </c>
      <c r="M1531" s="8">
        <v>25</v>
      </c>
      <c r="N1531" s="8">
        <v>25</v>
      </c>
      <c r="O1531" s="6" t="s">
        <v>3947</v>
      </c>
    </row>
    <row r="1532" spans="1:16" ht="15" customHeight="1" x14ac:dyDescent="0.2">
      <c r="A1532" s="7" t="s">
        <v>3909</v>
      </c>
      <c r="B1532" s="7">
        <v>19396223</v>
      </c>
      <c r="C1532" s="8">
        <v>1</v>
      </c>
      <c r="D1532" s="8">
        <v>921773404</v>
      </c>
      <c r="E1532" s="8" t="str">
        <f t="shared" si="118"/>
        <v>92177340422</v>
      </c>
      <c r="F1532" s="8" t="s">
        <v>2665</v>
      </c>
      <c r="G1532" s="8">
        <v>1</v>
      </c>
      <c r="H1532" s="8">
        <v>20250401</v>
      </c>
      <c r="I1532" s="8" t="str">
        <f t="shared" si="113"/>
        <v>4/1/2025</v>
      </c>
      <c r="J1532" s="8">
        <v>20250201</v>
      </c>
      <c r="K1532" s="8" t="str">
        <f t="shared" si="114"/>
        <v>2/1/2025</v>
      </c>
      <c r="L1532" s="8" t="s">
        <v>56</v>
      </c>
      <c r="M1532" s="8">
        <v>25</v>
      </c>
      <c r="N1532" s="8">
        <v>25</v>
      </c>
      <c r="O1532" s="6" t="s">
        <v>3947</v>
      </c>
    </row>
    <row r="1533" spans="1:16" ht="15" customHeight="1" x14ac:dyDescent="0.2">
      <c r="A1533" s="7" t="s">
        <v>3909</v>
      </c>
      <c r="B1533" s="7">
        <v>19396223</v>
      </c>
      <c r="C1533" s="8">
        <v>1</v>
      </c>
      <c r="D1533" s="8">
        <v>921779853</v>
      </c>
      <c r="E1533" s="8" t="str">
        <f t="shared" si="118"/>
        <v>92177985322</v>
      </c>
      <c r="F1533" s="8" t="s">
        <v>2671</v>
      </c>
      <c r="G1533" s="8">
        <v>1</v>
      </c>
      <c r="H1533" s="8">
        <v>20250401</v>
      </c>
      <c r="I1533" s="8" t="str">
        <f t="shared" si="113"/>
        <v>4/1/2025</v>
      </c>
      <c r="J1533" s="8">
        <v>20250301</v>
      </c>
      <c r="K1533" s="8" t="str">
        <f t="shared" si="114"/>
        <v>3/1/2025</v>
      </c>
      <c r="L1533" s="8" t="s">
        <v>56</v>
      </c>
      <c r="M1533" s="8">
        <v>25</v>
      </c>
      <c r="N1533" s="8">
        <v>25</v>
      </c>
      <c r="O1533" s="6" t="s">
        <v>3947</v>
      </c>
    </row>
    <row r="1534" spans="1:16" ht="15" customHeight="1" x14ac:dyDescent="0.2">
      <c r="A1534" s="7" t="s">
        <v>3909</v>
      </c>
      <c r="B1534" s="7">
        <v>19396223</v>
      </c>
      <c r="C1534" s="8">
        <v>5</v>
      </c>
      <c r="D1534" s="8">
        <v>921770452</v>
      </c>
      <c r="E1534" s="8" t="str">
        <f t="shared" si="118"/>
        <v>92177045222</v>
      </c>
      <c r="F1534" s="8" t="s">
        <v>2659</v>
      </c>
      <c r="G1534" s="8">
        <v>1</v>
      </c>
      <c r="H1534" s="8">
        <v>20250401</v>
      </c>
      <c r="I1534" s="8" t="str">
        <f t="shared" si="113"/>
        <v>4/1/2025</v>
      </c>
      <c r="J1534" s="8">
        <v>20250101</v>
      </c>
      <c r="K1534" s="8" t="str">
        <f t="shared" si="114"/>
        <v>1/1/2025</v>
      </c>
      <c r="L1534" s="8" t="s">
        <v>56</v>
      </c>
      <c r="M1534" s="8">
        <v>25</v>
      </c>
      <c r="N1534" s="8">
        <v>125</v>
      </c>
      <c r="O1534" s="6" t="s">
        <v>3947</v>
      </c>
      <c r="P1534" s="6" t="s">
        <v>3955</v>
      </c>
    </row>
    <row r="1535" spans="1:16" ht="15" customHeight="1" x14ac:dyDescent="0.2">
      <c r="A1535" s="7" t="s">
        <v>3909</v>
      </c>
      <c r="B1535" s="7">
        <v>19396223</v>
      </c>
      <c r="C1535" s="8">
        <v>5</v>
      </c>
      <c r="D1535" s="8">
        <v>921776494</v>
      </c>
      <c r="E1535" s="8" t="str">
        <f t="shared" si="118"/>
        <v>92177649422</v>
      </c>
      <c r="F1535" s="8" t="s">
        <v>2669</v>
      </c>
      <c r="G1535" s="8">
        <v>1</v>
      </c>
      <c r="H1535" s="8">
        <v>20250401</v>
      </c>
      <c r="I1535" s="8" t="str">
        <f t="shared" si="113"/>
        <v>4/1/2025</v>
      </c>
      <c r="J1535" s="8">
        <v>20250201</v>
      </c>
      <c r="K1535" s="8" t="str">
        <f t="shared" si="114"/>
        <v>2/1/2025</v>
      </c>
      <c r="L1535" s="8" t="s">
        <v>56</v>
      </c>
      <c r="M1535" s="8">
        <v>25</v>
      </c>
      <c r="N1535" s="8">
        <v>125</v>
      </c>
      <c r="O1535" s="6" t="s">
        <v>3947</v>
      </c>
      <c r="P1535" s="6" t="s">
        <v>3955</v>
      </c>
    </row>
    <row r="1536" spans="1:16" ht="15" customHeight="1" x14ac:dyDescent="0.2">
      <c r="A1536" s="7" t="s">
        <v>3909</v>
      </c>
      <c r="B1536" s="7">
        <v>19396223</v>
      </c>
      <c r="C1536" s="8">
        <v>5</v>
      </c>
      <c r="D1536" s="8">
        <v>921776494</v>
      </c>
      <c r="E1536" s="8" t="str">
        <f t="shared" si="118"/>
        <v>92177649422</v>
      </c>
      <c r="F1536" s="8" t="s">
        <v>2669</v>
      </c>
      <c r="G1536" s="8">
        <v>1</v>
      </c>
      <c r="H1536" s="8">
        <v>20250301</v>
      </c>
      <c r="I1536" s="8" t="str">
        <f t="shared" si="113"/>
        <v>3/1/2025</v>
      </c>
      <c r="J1536" s="8">
        <v>20250201</v>
      </c>
      <c r="K1536" s="8" t="str">
        <f t="shared" si="114"/>
        <v>2/1/2025</v>
      </c>
      <c r="L1536" s="8" t="s">
        <v>56</v>
      </c>
      <c r="M1536" s="8">
        <v>25</v>
      </c>
      <c r="N1536" s="8">
        <v>125</v>
      </c>
      <c r="O1536" s="6" t="s">
        <v>3947</v>
      </c>
      <c r="P1536" s="6" t="s">
        <v>3955</v>
      </c>
    </row>
    <row r="1537" spans="1:37" ht="15" customHeight="1" x14ac:dyDescent="0.2">
      <c r="A1537" s="7" t="s">
        <v>3909</v>
      </c>
      <c r="B1537" s="7">
        <v>19396223</v>
      </c>
      <c r="C1537" s="8">
        <v>1</v>
      </c>
      <c r="D1537" s="8">
        <v>920934309</v>
      </c>
      <c r="E1537" s="8" t="str">
        <f t="shared" ref="E1537:E1546" si="119">CONCATENATE(D1537,33)</f>
        <v>92093430933</v>
      </c>
      <c r="F1537" s="8" t="s">
        <v>2574</v>
      </c>
      <c r="G1537" s="8">
        <v>1</v>
      </c>
      <c r="H1537" s="8">
        <v>20250401</v>
      </c>
      <c r="I1537" s="8" t="str">
        <f t="shared" si="113"/>
        <v>4/1/2025</v>
      </c>
      <c r="J1537" s="8">
        <v>20240101</v>
      </c>
      <c r="K1537" s="8" t="str">
        <f t="shared" si="114"/>
        <v>1/1/2024</v>
      </c>
      <c r="L1537" s="8" t="s">
        <v>198</v>
      </c>
      <c r="M1537" s="8">
        <v>15</v>
      </c>
      <c r="N1537" s="8">
        <v>15</v>
      </c>
      <c r="O1537" s="6" t="s">
        <v>3950</v>
      </c>
    </row>
    <row r="1538" spans="1:37" ht="15" customHeight="1" x14ac:dyDescent="0.2">
      <c r="A1538" s="7" t="s">
        <v>3909</v>
      </c>
      <c r="B1538" s="7">
        <v>19396223</v>
      </c>
      <c r="C1538" s="8">
        <v>1</v>
      </c>
      <c r="D1538" s="8">
        <v>921690056</v>
      </c>
      <c r="E1538" s="8" t="str">
        <f t="shared" si="119"/>
        <v>92169005633</v>
      </c>
      <c r="F1538" s="8" t="s">
        <v>2624</v>
      </c>
      <c r="G1538" s="8">
        <v>1</v>
      </c>
      <c r="H1538" s="8">
        <v>20250401</v>
      </c>
      <c r="I1538" s="8" t="str">
        <f t="shared" si="113"/>
        <v>4/1/2025</v>
      </c>
      <c r="J1538" s="8">
        <v>20240101</v>
      </c>
      <c r="K1538" s="8" t="str">
        <f t="shared" si="114"/>
        <v>1/1/2024</v>
      </c>
      <c r="L1538" s="8" t="s">
        <v>198</v>
      </c>
      <c r="M1538" s="8">
        <v>15</v>
      </c>
      <c r="N1538" s="8">
        <v>15</v>
      </c>
      <c r="O1538" s="6" t="s">
        <v>3950</v>
      </c>
      <c r="AK1538" s="12"/>
    </row>
    <row r="1539" spans="1:37" ht="15" customHeight="1" x14ac:dyDescent="0.2">
      <c r="A1539" s="7" t="s">
        <v>3909</v>
      </c>
      <c r="B1539" s="7">
        <v>19396223</v>
      </c>
      <c r="C1539" s="8">
        <v>2</v>
      </c>
      <c r="D1539" s="8">
        <v>921634607</v>
      </c>
      <c r="E1539" s="8" t="str">
        <f t="shared" si="119"/>
        <v>92163460733</v>
      </c>
      <c r="F1539" s="8" t="s">
        <v>2606</v>
      </c>
      <c r="G1539" s="8">
        <v>1</v>
      </c>
      <c r="H1539" s="8">
        <v>20250401</v>
      </c>
      <c r="I1539" s="8" t="str">
        <f t="shared" ref="I1539:I1602" si="120">TEXT(DATE(LEFT(H1539,4), MID(H1539,5,2), RIGHT(H1539,2)), "M/d/yyyy")</f>
        <v>4/1/2025</v>
      </c>
      <c r="J1539" s="8">
        <v>20230101</v>
      </c>
      <c r="K1539" s="8" t="str">
        <f t="shared" ref="K1539:K1602" si="121">TEXT(DATE(LEFT(J1539,4), MID(J1539,5,2), RIGHT(J1539,2)), "M/d/yyyy")</f>
        <v>1/1/2023</v>
      </c>
      <c r="L1539" s="8" t="s">
        <v>198</v>
      </c>
      <c r="M1539" s="8">
        <v>15</v>
      </c>
      <c r="N1539" s="8">
        <v>30</v>
      </c>
      <c r="O1539" s="6" t="s">
        <v>3950</v>
      </c>
      <c r="P1539" s="6" t="s">
        <v>3952</v>
      </c>
    </row>
    <row r="1540" spans="1:37" ht="15" customHeight="1" x14ac:dyDescent="0.2">
      <c r="A1540" s="7" t="s">
        <v>3909</v>
      </c>
      <c r="B1540" s="7">
        <v>19396223</v>
      </c>
      <c r="C1540" s="8">
        <v>3</v>
      </c>
      <c r="D1540" s="8">
        <v>890430268</v>
      </c>
      <c r="E1540" s="8" t="str">
        <f t="shared" si="119"/>
        <v>89043026833</v>
      </c>
      <c r="F1540" s="8" t="s">
        <v>2570</v>
      </c>
      <c r="G1540" s="8">
        <v>1</v>
      </c>
      <c r="H1540" s="8">
        <v>20250401</v>
      </c>
      <c r="I1540" s="8" t="str">
        <f t="shared" si="120"/>
        <v>4/1/2025</v>
      </c>
      <c r="J1540" s="8">
        <v>20201201</v>
      </c>
      <c r="K1540" s="8" t="str">
        <f t="shared" si="121"/>
        <v>12/1/2020</v>
      </c>
      <c r="L1540" s="8" t="s">
        <v>198</v>
      </c>
      <c r="M1540" s="8">
        <v>15</v>
      </c>
      <c r="N1540" s="8">
        <v>45</v>
      </c>
      <c r="O1540" s="6" t="s">
        <v>3950</v>
      </c>
      <c r="P1540" s="6" t="s">
        <v>3953</v>
      </c>
    </row>
    <row r="1541" spans="1:37" ht="15" customHeight="1" x14ac:dyDescent="0.2">
      <c r="A1541" s="7" t="s">
        <v>3909</v>
      </c>
      <c r="B1541" s="7">
        <v>19396223</v>
      </c>
      <c r="C1541" s="8">
        <v>1</v>
      </c>
      <c r="D1541" s="8">
        <v>921315563</v>
      </c>
      <c r="E1541" s="8" t="str">
        <f t="shared" si="119"/>
        <v>92131556333</v>
      </c>
      <c r="F1541" s="8" t="s">
        <v>2584</v>
      </c>
      <c r="G1541" s="8">
        <v>1</v>
      </c>
      <c r="H1541" s="8">
        <v>20250401</v>
      </c>
      <c r="I1541" s="8" t="str">
        <f t="shared" si="120"/>
        <v>4/1/2025</v>
      </c>
      <c r="J1541" s="8">
        <v>20250101</v>
      </c>
      <c r="K1541" s="8" t="str">
        <f t="shared" si="121"/>
        <v>1/1/2025</v>
      </c>
      <c r="L1541" s="8" t="s">
        <v>198</v>
      </c>
      <c r="M1541" s="8">
        <v>20</v>
      </c>
      <c r="N1541" s="8">
        <v>20</v>
      </c>
      <c r="O1541" s="6" t="s">
        <v>3950</v>
      </c>
    </row>
    <row r="1542" spans="1:37" ht="15" customHeight="1" x14ac:dyDescent="0.2">
      <c r="A1542" s="7" t="s">
        <v>3909</v>
      </c>
      <c r="B1542" s="7">
        <v>19396223</v>
      </c>
      <c r="C1542" s="8">
        <v>1</v>
      </c>
      <c r="D1542" s="8">
        <v>921767314</v>
      </c>
      <c r="E1542" s="8" t="str">
        <f t="shared" si="119"/>
        <v>92176731433</v>
      </c>
      <c r="F1542" s="8" t="s">
        <v>2655</v>
      </c>
      <c r="G1542" s="8">
        <v>1</v>
      </c>
      <c r="H1542" s="8">
        <v>20250401</v>
      </c>
      <c r="I1542" s="8" t="str">
        <f t="shared" si="120"/>
        <v>4/1/2025</v>
      </c>
      <c r="J1542" s="8">
        <v>20250201</v>
      </c>
      <c r="K1542" s="8" t="str">
        <f t="shared" si="121"/>
        <v>2/1/2025</v>
      </c>
      <c r="L1542" s="8" t="s">
        <v>198</v>
      </c>
      <c r="M1542" s="8">
        <v>20</v>
      </c>
      <c r="N1542" s="8">
        <v>20</v>
      </c>
      <c r="O1542" s="6" t="s">
        <v>3950</v>
      </c>
    </row>
    <row r="1543" spans="1:37" ht="15" customHeight="1" x14ac:dyDescent="0.2">
      <c r="A1543" s="7" t="s">
        <v>3909</v>
      </c>
      <c r="B1543" s="7">
        <v>19396223</v>
      </c>
      <c r="C1543" s="8">
        <v>1</v>
      </c>
      <c r="D1543" s="8">
        <v>921770955</v>
      </c>
      <c r="E1543" s="8" t="str">
        <f t="shared" si="119"/>
        <v>92177095533</v>
      </c>
      <c r="F1543" s="8" t="s">
        <v>2661</v>
      </c>
      <c r="G1543" s="8">
        <v>1</v>
      </c>
      <c r="H1543" s="8">
        <v>20250401</v>
      </c>
      <c r="I1543" s="8" t="str">
        <f t="shared" si="120"/>
        <v>4/1/2025</v>
      </c>
      <c r="J1543" s="8">
        <v>20250201</v>
      </c>
      <c r="K1543" s="8" t="str">
        <f t="shared" si="121"/>
        <v>2/1/2025</v>
      </c>
      <c r="L1543" s="8" t="s">
        <v>198</v>
      </c>
      <c r="M1543" s="8">
        <v>20</v>
      </c>
      <c r="N1543" s="8">
        <v>20</v>
      </c>
      <c r="O1543" s="6" t="s">
        <v>3950</v>
      </c>
    </row>
    <row r="1544" spans="1:37" ht="15" customHeight="1" x14ac:dyDescent="0.2">
      <c r="A1544" s="7" t="s">
        <v>3909</v>
      </c>
      <c r="B1544" s="7">
        <v>19396223</v>
      </c>
      <c r="C1544" s="8">
        <v>1</v>
      </c>
      <c r="D1544" s="8">
        <v>921773402</v>
      </c>
      <c r="E1544" s="8" t="str">
        <f t="shared" si="119"/>
        <v>92177340233</v>
      </c>
      <c r="F1544" s="8" t="s">
        <v>2663</v>
      </c>
      <c r="G1544" s="8">
        <v>1</v>
      </c>
      <c r="H1544" s="8">
        <v>20250401</v>
      </c>
      <c r="I1544" s="8" t="str">
        <f t="shared" si="120"/>
        <v>4/1/2025</v>
      </c>
      <c r="J1544" s="8">
        <v>20250201</v>
      </c>
      <c r="K1544" s="8" t="str">
        <f t="shared" si="121"/>
        <v>2/1/2025</v>
      </c>
      <c r="L1544" s="8" t="s">
        <v>198</v>
      </c>
      <c r="M1544" s="8">
        <v>20</v>
      </c>
      <c r="N1544" s="8">
        <v>20</v>
      </c>
      <c r="O1544" s="6" t="s">
        <v>3950</v>
      </c>
    </row>
    <row r="1545" spans="1:37" ht="15" customHeight="1" x14ac:dyDescent="0.2">
      <c r="A1545" s="7" t="s">
        <v>3909</v>
      </c>
      <c r="B1545" s="7">
        <v>19396223</v>
      </c>
      <c r="C1545" s="8">
        <v>2</v>
      </c>
      <c r="D1545" s="8">
        <v>890570747</v>
      </c>
      <c r="E1545" s="8" t="str">
        <f t="shared" si="119"/>
        <v>89057074733</v>
      </c>
      <c r="F1545" s="8" t="s">
        <v>2572</v>
      </c>
      <c r="G1545" s="8">
        <v>1</v>
      </c>
      <c r="H1545" s="8">
        <v>20250401</v>
      </c>
      <c r="I1545" s="8" t="str">
        <f t="shared" si="120"/>
        <v>4/1/2025</v>
      </c>
      <c r="J1545" s="8">
        <v>20250201</v>
      </c>
      <c r="K1545" s="8" t="str">
        <f t="shared" si="121"/>
        <v>2/1/2025</v>
      </c>
      <c r="L1545" s="8" t="s">
        <v>198</v>
      </c>
      <c r="M1545" s="8">
        <v>20</v>
      </c>
      <c r="N1545" s="8">
        <v>40</v>
      </c>
      <c r="O1545" s="6" t="s">
        <v>3950</v>
      </c>
      <c r="P1545" s="6" t="s">
        <v>3952</v>
      </c>
    </row>
    <row r="1546" spans="1:37" ht="15" customHeight="1" x14ac:dyDescent="0.2">
      <c r="A1546" s="7" t="s">
        <v>3909</v>
      </c>
      <c r="B1546" s="7">
        <v>19396223</v>
      </c>
      <c r="C1546" s="8">
        <v>2</v>
      </c>
      <c r="D1546" s="8">
        <v>921750683</v>
      </c>
      <c r="E1546" s="8" t="str">
        <f t="shared" si="119"/>
        <v>92175068333</v>
      </c>
      <c r="F1546" s="8" t="s">
        <v>2647</v>
      </c>
      <c r="G1546" s="8">
        <v>1</v>
      </c>
      <c r="H1546" s="8">
        <v>20250401</v>
      </c>
      <c r="I1546" s="8" t="str">
        <f t="shared" si="120"/>
        <v>4/1/2025</v>
      </c>
      <c r="J1546" s="8">
        <v>20250101</v>
      </c>
      <c r="K1546" s="8" t="str">
        <f t="shared" si="121"/>
        <v>1/1/2025</v>
      </c>
      <c r="L1546" s="8" t="s">
        <v>198</v>
      </c>
      <c r="M1546" s="8">
        <v>20</v>
      </c>
      <c r="N1546" s="8">
        <v>40</v>
      </c>
      <c r="O1546" s="6" t="s">
        <v>3950</v>
      </c>
      <c r="P1546" s="6" t="s">
        <v>3952</v>
      </c>
    </row>
    <row r="1547" spans="1:37" ht="15" customHeight="1" x14ac:dyDescent="0.3">
      <c r="A1547" s="7" t="s">
        <v>3909</v>
      </c>
      <c r="B1547" s="7">
        <v>19396223</v>
      </c>
      <c r="C1547" s="8">
        <v>1</v>
      </c>
      <c r="D1547" s="8">
        <v>921591179</v>
      </c>
      <c r="E1547" s="8" t="str">
        <f t="shared" ref="E1547:E1565" si="122">CONCATENATE(D1547,44)</f>
        <v>92159117944</v>
      </c>
      <c r="F1547" s="8" t="s">
        <v>2595</v>
      </c>
      <c r="G1547" s="8">
        <v>1</v>
      </c>
      <c r="H1547" s="8">
        <v>20250401</v>
      </c>
      <c r="I1547" s="8" t="str">
        <f t="shared" si="120"/>
        <v>4/1/2025</v>
      </c>
      <c r="J1547" s="8">
        <v>20240101</v>
      </c>
      <c r="K1547" s="8" t="str">
        <f t="shared" si="121"/>
        <v>1/1/2024</v>
      </c>
      <c r="L1547" s="8" t="s">
        <v>65</v>
      </c>
      <c r="M1547" s="8">
        <v>25</v>
      </c>
      <c r="N1547" s="8">
        <v>25</v>
      </c>
      <c r="O1547" s="14" t="s">
        <v>3948</v>
      </c>
    </row>
    <row r="1548" spans="1:37" ht="15" customHeight="1" x14ac:dyDescent="0.3">
      <c r="A1548" s="7" t="s">
        <v>3909</v>
      </c>
      <c r="B1548" s="7">
        <v>19396223</v>
      </c>
      <c r="C1548" s="8">
        <v>1</v>
      </c>
      <c r="D1548" s="8">
        <v>921609601</v>
      </c>
      <c r="E1548" s="8" t="str">
        <f t="shared" si="122"/>
        <v>92160960144</v>
      </c>
      <c r="F1548" s="8" t="s">
        <v>2597</v>
      </c>
      <c r="G1548" s="8">
        <v>1</v>
      </c>
      <c r="H1548" s="8">
        <v>20250401</v>
      </c>
      <c r="I1548" s="8" t="str">
        <f t="shared" si="120"/>
        <v>4/1/2025</v>
      </c>
      <c r="J1548" s="8">
        <v>20220401</v>
      </c>
      <c r="K1548" s="8" t="str">
        <f t="shared" si="121"/>
        <v>4/1/2022</v>
      </c>
      <c r="L1548" s="8" t="s">
        <v>65</v>
      </c>
      <c r="M1548" s="8">
        <v>25</v>
      </c>
      <c r="N1548" s="8">
        <v>25</v>
      </c>
      <c r="O1548" s="14" t="s">
        <v>3948</v>
      </c>
    </row>
    <row r="1549" spans="1:37" ht="15" customHeight="1" x14ac:dyDescent="0.3">
      <c r="A1549" s="7" t="s">
        <v>3909</v>
      </c>
      <c r="B1549" s="7">
        <v>19396223</v>
      </c>
      <c r="C1549" s="8">
        <v>1</v>
      </c>
      <c r="D1549" s="8">
        <v>921626440</v>
      </c>
      <c r="E1549" s="8" t="str">
        <f t="shared" si="122"/>
        <v>92162644044</v>
      </c>
      <c r="F1549" s="8" t="s">
        <v>2602</v>
      </c>
      <c r="G1549" s="8">
        <v>1</v>
      </c>
      <c r="H1549" s="8">
        <v>20250401</v>
      </c>
      <c r="I1549" s="8" t="str">
        <f t="shared" si="120"/>
        <v>4/1/2025</v>
      </c>
      <c r="J1549" s="8">
        <v>20230101</v>
      </c>
      <c r="K1549" s="8" t="str">
        <f t="shared" si="121"/>
        <v>1/1/2023</v>
      </c>
      <c r="L1549" s="8" t="s">
        <v>65</v>
      </c>
      <c r="M1549" s="8">
        <v>25</v>
      </c>
      <c r="N1549" s="8">
        <v>25</v>
      </c>
      <c r="O1549" s="14" t="s">
        <v>3948</v>
      </c>
    </row>
    <row r="1550" spans="1:37" ht="15" customHeight="1" x14ac:dyDescent="0.3">
      <c r="A1550" s="7" t="s">
        <v>3909</v>
      </c>
      <c r="B1550" s="7">
        <v>19396223</v>
      </c>
      <c r="C1550" s="8">
        <v>1</v>
      </c>
      <c r="D1550" s="8">
        <v>921633364</v>
      </c>
      <c r="E1550" s="8" t="str">
        <f t="shared" si="122"/>
        <v>92163336444</v>
      </c>
      <c r="F1550" s="8" t="s">
        <v>2604</v>
      </c>
      <c r="G1550" s="8">
        <v>1</v>
      </c>
      <c r="H1550" s="8">
        <v>20250401</v>
      </c>
      <c r="I1550" s="8" t="str">
        <f t="shared" si="120"/>
        <v>4/1/2025</v>
      </c>
      <c r="J1550" s="8">
        <v>20230101</v>
      </c>
      <c r="K1550" s="8" t="str">
        <f t="shared" si="121"/>
        <v>1/1/2023</v>
      </c>
      <c r="L1550" s="8" t="s">
        <v>65</v>
      </c>
      <c r="M1550" s="8">
        <v>25</v>
      </c>
      <c r="N1550" s="8">
        <v>25</v>
      </c>
      <c r="O1550" s="14" t="s">
        <v>3948</v>
      </c>
    </row>
    <row r="1551" spans="1:37" ht="15" customHeight="1" x14ac:dyDescent="0.3">
      <c r="A1551" s="7" t="s">
        <v>3909</v>
      </c>
      <c r="B1551" s="7">
        <v>19396223</v>
      </c>
      <c r="C1551" s="8">
        <v>1</v>
      </c>
      <c r="D1551" s="8">
        <v>921679852</v>
      </c>
      <c r="E1551" s="8" t="str">
        <f t="shared" si="122"/>
        <v>92167985244</v>
      </c>
      <c r="F1551" s="8" t="s">
        <v>2618</v>
      </c>
      <c r="G1551" s="8">
        <v>1</v>
      </c>
      <c r="H1551" s="8">
        <v>20250401</v>
      </c>
      <c r="I1551" s="8" t="str">
        <f t="shared" si="120"/>
        <v>4/1/2025</v>
      </c>
      <c r="J1551" s="8">
        <v>20240101</v>
      </c>
      <c r="K1551" s="8" t="str">
        <f t="shared" si="121"/>
        <v>1/1/2024</v>
      </c>
      <c r="L1551" s="8" t="s">
        <v>65</v>
      </c>
      <c r="M1551" s="8">
        <v>25</v>
      </c>
      <c r="N1551" s="8">
        <v>25</v>
      </c>
      <c r="O1551" s="14" t="s">
        <v>3948</v>
      </c>
    </row>
    <row r="1552" spans="1:37" ht="15" customHeight="1" x14ac:dyDescent="0.3">
      <c r="A1552" s="7" t="s">
        <v>3909</v>
      </c>
      <c r="B1552" s="7">
        <v>19396223</v>
      </c>
      <c r="C1552" s="8">
        <v>1</v>
      </c>
      <c r="D1552" s="8">
        <v>921687552</v>
      </c>
      <c r="E1552" s="8" t="str">
        <f t="shared" si="122"/>
        <v>92168755244</v>
      </c>
      <c r="F1552" s="8" t="s">
        <v>2622</v>
      </c>
      <c r="G1552" s="8">
        <v>1</v>
      </c>
      <c r="H1552" s="8">
        <v>20250401</v>
      </c>
      <c r="I1552" s="8" t="str">
        <f t="shared" si="120"/>
        <v>4/1/2025</v>
      </c>
      <c r="J1552" s="8">
        <v>20240101</v>
      </c>
      <c r="K1552" s="8" t="str">
        <f t="shared" si="121"/>
        <v>1/1/2024</v>
      </c>
      <c r="L1552" s="8" t="s">
        <v>65</v>
      </c>
      <c r="M1552" s="8">
        <v>25</v>
      </c>
      <c r="N1552" s="8">
        <v>25</v>
      </c>
      <c r="O1552" s="14" t="s">
        <v>3948</v>
      </c>
    </row>
    <row r="1553" spans="1:16" ht="15" customHeight="1" x14ac:dyDescent="0.3">
      <c r="A1553" s="7" t="s">
        <v>3909</v>
      </c>
      <c r="B1553" s="7">
        <v>19396223</v>
      </c>
      <c r="C1553" s="8">
        <v>1</v>
      </c>
      <c r="D1553" s="8">
        <v>921692051</v>
      </c>
      <c r="E1553" s="8" t="str">
        <f t="shared" si="122"/>
        <v>92169205144</v>
      </c>
      <c r="F1553" s="8" t="s">
        <v>2626</v>
      </c>
      <c r="G1553" s="8">
        <v>1</v>
      </c>
      <c r="H1553" s="8">
        <v>20250401</v>
      </c>
      <c r="I1553" s="8" t="str">
        <f t="shared" si="120"/>
        <v>4/1/2025</v>
      </c>
      <c r="J1553" s="8">
        <v>20240101</v>
      </c>
      <c r="K1553" s="8" t="str">
        <f t="shared" si="121"/>
        <v>1/1/2024</v>
      </c>
      <c r="L1553" s="8" t="s">
        <v>65</v>
      </c>
      <c r="M1553" s="8">
        <v>25</v>
      </c>
      <c r="N1553" s="8">
        <v>25</v>
      </c>
      <c r="O1553" s="14" t="s">
        <v>3948</v>
      </c>
    </row>
    <row r="1554" spans="1:16" ht="15" customHeight="1" x14ac:dyDescent="0.3">
      <c r="A1554" s="7" t="s">
        <v>3909</v>
      </c>
      <c r="B1554" s="7">
        <v>19396223</v>
      </c>
      <c r="C1554" s="8">
        <v>1</v>
      </c>
      <c r="D1554" s="8">
        <v>921712145</v>
      </c>
      <c r="E1554" s="8" t="str">
        <f t="shared" si="122"/>
        <v>92171214544</v>
      </c>
      <c r="F1554" s="8" t="s">
        <v>2630</v>
      </c>
      <c r="G1554" s="8">
        <v>1</v>
      </c>
      <c r="H1554" s="8">
        <v>20250401</v>
      </c>
      <c r="I1554" s="8" t="str">
        <f t="shared" si="120"/>
        <v>4/1/2025</v>
      </c>
      <c r="J1554" s="8">
        <v>20240301</v>
      </c>
      <c r="K1554" s="8" t="str">
        <f t="shared" si="121"/>
        <v>3/1/2024</v>
      </c>
      <c r="L1554" s="8" t="s">
        <v>65</v>
      </c>
      <c r="M1554" s="8">
        <v>25</v>
      </c>
      <c r="N1554" s="8">
        <v>25</v>
      </c>
      <c r="O1554" s="14" t="s">
        <v>3948</v>
      </c>
    </row>
    <row r="1555" spans="1:16" ht="15" customHeight="1" x14ac:dyDescent="0.3">
      <c r="A1555" s="7" t="s">
        <v>3909</v>
      </c>
      <c r="B1555" s="7">
        <v>19396223</v>
      </c>
      <c r="C1555" s="8">
        <v>1</v>
      </c>
      <c r="D1555" s="8">
        <v>921712172</v>
      </c>
      <c r="E1555" s="8" t="str">
        <f t="shared" si="122"/>
        <v>92171217244</v>
      </c>
      <c r="F1555" s="8" t="s">
        <v>2632</v>
      </c>
      <c r="G1555" s="8">
        <v>1</v>
      </c>
      <c r="H1555" s="8">
        <v>20250401</v>
      </c>
      <c r="I1555" s="8" t="str">
        <f t="shared" si="120"/>
        <v>4/1/2025</v>
      </c>
      <c r="J1555" s="8">
        <v>20240301</v>
      </c>
      <c r="K1555" s="8" t="str">
        <f t="shared" si="121"/>
        <v>3/1/2024</v>
      </c>
      <c r="L1555" s="8" t="s">
        <v>65</v>
      </c>
      <c r="M1555" s="8">
        <v>25</v>
      </c>
      <c r="N1555" s="8">
        <v>25</v>
      </c>
      <c r="O1555" s="14" t="s">
        <v>3948</v>
      </c>
    </row>
    <row r="1556" spans="1:16" ht="15" customHeight="1" x14ac:dyDescent="0.3">
      <c r="A1556" s="7" t="s">
        <v>3909</v>
      </c>
      <c r="B1556" s="7">
        <v>19396223</v>
      </c>
      <c r="C1556" s="8">
        <v>1</v>
      </c>
      <c r="D1556" s="8">
        <v>921712180</v>
      </c>
      <c r="E1556" s="8" t="str">
        <f t="shared" si="122"/>
        <v>92171218044</v>
      </c>
      <c r="F1556" s="8" t="s">
        <v>2634</v>
      </c>
      <c r="G1556" s="8">
        <v>1</v>
      </c>
      <c r="H1556" s="8">
        <v>20250401</v>
      </c>
      <c r="I1556" s="8" t="str">
        <f t="shared" si="120"/>
        <v>4/1/2025</v>
      </c>
      <c r="J1556" s="8">
        <v>20240301</v>
      </c>
      <c r="K1556" s="8" t="str">
        <f t="shared" si="121"/>
        <v>3/1/2024</v>
      </c>
      <c r="L1556" s="8" t="s">
        <v>65</v>
      </c>
      <c r="M1556" s="8">
        <v>25</v>
      </c>
      <c r="N1556" s="8">
        <v>25</v>
      </c>
      <c r="O1556" s="14" t="s">
        <v>3948</v>
      </c>
    </row>
    <row r="1557" spans="1:16" ht="15" customHeight="1" x14ac:dyDescent="0.3">
      <c r="A1557" s="7" t="s">
        <v>3909</v>
      </c>
      <c r="B1557" s="7">
        <v>19396223</v>
      </c>
      <c r="C1557" s="8">
        <v>2</v>
      </c>
      <c r="D1557" s="8">
        <v>921679309</v>
      </c>
      <c r="E1557" s="8" t="str">
        <f t="shared" si="122"/>
        <v>92167930944</v>
      </c>
      <c r="F1557" s="8" t="s">
        <v>2616</v>
      </c>
      <c r="G1557" s="8">
        <v>1</v>
      </c>
      <c r="H1557" s="8">
        <v>20250401</v>
      </c>
      <c r="I1557" s="8" t="str">
        <f t="shared" si="120"/>
        <v>4/1/2025</v>
      </c>
      <c r="J1557" s="8">
        <v>20240101</v>
      </c>
      <c r="K1557" s="8" t="str">
        <f t="shared" si="121"/>
        <v>1/1/2024</v>
      </c>
      <c r="L1557" s="8" t="s">
        <v>65</v>
      </c>
      <c r="M1557" s="8">
        <v>25</v>
      </c>
      <c r="N1557" s="8">
        <v>50</v>
      </c>
      <c r="O1557" s="14" t="s">
        <v>3948</v>
      </c>
      <c r="P1557" s="6" t="s">
        <v>3952</v>
      </c>
    </row>
    <row r="1558" spans="1:16" ht="15" customHeight="1" x14ac:dyDescent="0.3">
      <c r="A1558" s="7" t="s">
        <v>3909</v>
      </c>
      <c r="B1558" s="7">
        <v>19396223</v>
      </c>
      <c r="C1558" s="8">
        <v>1</v>
      </c>
      <c r="D1558" s="8">
        <v>921200310</v>
      </c>
      <c r="E1558" s="8" t="str">
        <f t="shared" si="122"/>
        <v>92120031044</v>
      </c>
      <c r="F1558" s="8" t="s">
        <v>2578</v>
      </c>
      <c r="G1558" s="8">
        <v>1</v>
      </c>
      <c r="H1558" s="8">
        <v>20250401</v>
      </c>
      <c r="I1558" s="8" t="str">
        <f t="shared" si="120"/>
        <v>4/1/2025</v>
      </c>
      <c r="J1558" s="8">
        <v>20250101</v>
      </c>
      <c r="K1558" s="8" t="str">
        <f t="shared" si="121"/>
        <v>1/1/2025</v>
      </c>
      <c r="L1558" s="8" t="s">
        <v>65</v>
      </c>
      <c r="M1558" s="8">
        <v>30</v>
      </c>
      <c r="N1558" s="8">
        <v>30</v>
      </c>
      <c r="O1558" s="14" t="s">
        <v>3948</v>
      </c>
    </row>
    <row r="1559" spans="1:16" ht="15" customHeight="1" x14ac:dyDescent="0.3">
      <c r="A1559" s="7" t="s">
        <v>3909</v>
      </c>
      <c r="B1559" s="7">
        <v>19396223</v>
      </c>
      <c r="C1559" s="8">
        <v>1</v>
      </c>
      <c r="D1559" s="8">
        <v>921292424</v>
      </c>
      <c r="E1559" s="8" t="str">
        <f t="shared" si="122"/>
        <v>92129242444</v>
      </c>
      <c r="F1559" s="8" t="s">
        <v>2582</v>
      </c>
      <c r="G1559" s="8">
        <v>1</v>
      </c>
      <c r="H1559" s="8">
        <v>20250401</v>
      </c>
      <c r="I1559" s="8" t="str">
        <f t="shared" si="120"/>
        <v>4/1/2025</v>
      </c>
      <c r="J1559" s="8">
        <v>20250101</v>
      </c>
      <c r="K1559" s="8" t="str">
        <f t="shared" si="121"/>
        <v>1/1/2025</v>
      </c>
      <c r="L1559" s="8" t="s">
        <v>65</v>
      </c>
      <c r="M1559" s="8">
        <v>30</v>
      </c>
      <c r="N1559" s="8">
        <v>30</v>
      </c>
      <c r="O1559" s="14" t="s">
        <v>3948</v>
      </c>
    </row>
    <row r="1560" spans="1:16" ht="15" customHeight="1" x14ac:dyDescent="0.3">
      <c r="A1560" s="7" t="s">
        <v>3909</v>
      </c>
      <c r="B1560" s="7">
        <v>19396223</v>
      </c>
      <c r="C1560" s="8">
        <v>1</v>
      </c>
      <c r="D1560" s="8">
        <v>921740652</v>
      </c>
      <c r="E1560" s="8" t="str">
        <f t="shared" si="122"/>
        <v>92174065244</v>
      </c>
      <c r="F1560" s="8" t="s">
        <v>2640</v>
      </c>
      <c r="G1560" s="8">
        <v>1</v>
      </c>
      <c r="H1560" s="8">
        <v>20250401</v>
      </c>
      <c r="I1560" s="8" t="str">
        <f t="shared" si="120"/>
        <v>4/1/2025</v>
      </c>
      <c r="J1560" s="8">
        <v>20241001</v>
      </c>
      <c r="K1560" s="8" t="str">
        <f t="shared" si="121"/>
        <v>10/1/2024</v>
      </c>
      <c r="L1560" s="8" t="s">
        <v>65</v>
      </c>
      <c r="M1560" s="8">
        <v>30</v>
      </c>
      <c r="N1560" s="8">
        <v>30</v>
      </c>
      <c r="O1560" s="14" t="s">
        <v>3948</v>
      </c>
    </row>
    <row r="1561" spans="1:16" ht="15" customHeight="1" x14ac:dyDescent="0.3">
      <c r="A1561" s="7" t="s">
        <v>3909</v>
      </c>
      <c r="B1561" s="7">
        <v>19396223</v>
      </c>
      <c r="C1561" s="8">
        <v>1</v>
      </c>
      <c r="D1561" s="8">
        <v>921743680</v>
      </c>
      <c r="E1561" s="8" t="str">
        <f t="shared" si="122"/>
        <v>92174368044</v>
      </c>
      <c r="F1561" s="8" t="s">
        <v>2642</v>
      </c>
      <c r="G1561" s="8">
        <v>1</v>
      </c>
      <c r="H1561" s="8">
        <v>20250401</v>
      </c>
      <c r="I1561" s="8" t="str">
        <f t="shared" si="120"/>
        <v>4/1/2025</v>
      </c>
      <c r="J1561" s="8">
        <v>20240821</v>
      </c>
      <c r="K1561" s="8" t="str">
        <f t="shared" si="121"/>
        <v>8/21/2024</v>
      </c>
      <c r="L1561" s="8" t="s">
        <v>65</v>
      </c>
      <c r="M1561" s="8">
        <v>30</v>
      </c>
      <c r="N1561" s="8">
        <v>30</v>
      </c>
      <c r="O1561" s="14" t="s">
        <v>3948</v>
      </c>
    </row>
    <row r="1562" spans="1:16" ht="15" customHeight="1" x14ac:dyDescent="0.3">
      <c r="A1562" s="7" t="s">
        <v>3909</v>
      </c>
      <c r="B1562" s="7">
        <v>19396223</v>
      </c>
      <c r="C1562" s="8">
        <v>1</v>
      </c>
      <c r="D1562" s="8">
        <v>921750393</v>
      </c>
      <c r="E1562" s="8" t="str">
        <f t="shared" si="122"/>
        <v>92175039344</v>
      </c>
      <c r="F1562" s="8" t="s">
        <v>2645</v>
      </c>
      <c r="G1562" s="8">
        <v>1</v>
      </c>
      <c r="H1562" s="8">
        <v>20250401</v>
      </c>
      <c r="I1562" s="8" t="str">
        <f t="shared" si="120"/>
        <v>4/1/2025</v>
      </c>
      <c r="J1562" s="8">
        <v>20250101</v>
      </c>
      <c r="K1562" s="8" t="str">
        <f t="shared" si="121"/>
        <v>1/1/2025</v>
      </c>
      <c r="L1562" s="8" t="s">
        <v>65</v>
      </c>
      <c r="M1562" s="8">
        <v>30</v>
      </c>
      <c r="N1562" s="8">
        <v>30</v>
      </c>
      <c r="O1562" s="14" t="s">
        <v>3948</v>
      </c>
    </row>
    <row r="1563" spans="1:16" ht="15" customHeight="1" x14ac:dyDescent="0.3">
      <c r="A1563" s="7" t="s">
        <v>3909</v>
      </c>
      <c r="B1563" s="7">
        <v>19396223</v>
      </c>
      <c r="C1563" s="8">
        <v>1</v>
      </c>
      <c r="D1563" s="8">
        <v>921760647</v>
      </c>
      <c r="E1563" s="8" t="str">
        <f t="shared" si="122"/>
        <v>92176064744</v>
      </c>
      <c r="F1563" s="8" t="s">
        <v>2649</v>
      </c>
      <c r="G1563" s="8">
        <v>1</v>
      </c>
      <c r="H1563" s="8">
        <v>20250401</v>
      </c>
      <c r="I1563" s="8" t="str">
        <f t="shared" si="120"/>
        <v>4/1/2025</v>
      </c>
      <c r="J1563" s="8">
        <v>20250101</v>
      </c>
      <c r="K1563" s="8" t="str">
        <f t="shared" si="121"/>
        <v>1/1/2025</v>
      </c>
      <c r="L1563" s="8" t="s">
        <v>65</v>
      </c>
      <c r="M1563" s="8">
        <v>30</v>
      </c>
      <c r="N1563" s="8">
        <v>30</v>
      </c>
      <c r="O1563" s="14" t="s">
        <v>3948</v>
      </c>
    </row>
    <row r="1564" spans="1:16" ht="15" customHeight="1" x14ac:dyDescent="0.3">
      <c r="A1564" s="7" t="s">
        <v>3909</v>
      </c>
      <c r="B1564" s="7">
        <v>19396223</v>
      </c>
      <c r="C1564" s="8">
        <v>1</v>
      </c>
      <c r="D1564" s="8">
        <v>921775352</v>
      </c>
      <c r="E1564" s="8" t="str">
        <f t="shared" si="122"/>
        <v>92177535244</v>
      </c>
      <c r="F1564" s="8" t="s">
        <v>2667</v>
      </c>
      <c r="G1564" s="8">
        <v>1</v>
      </c>
      <c r="H1564" s="8">
        <v>20250401</v>
      </c>
      <c r="I1564" s="8" t="str">
        <f t="shared" si="120"/>
        <v>4/1/2025</v>
      </c>
      <c r="J1564" s="8">
        <v>20250201</v>
      </c>
      <c r="K1564" s="8" t="str">
        <f t="shared" si="121"/>
        <v>2/1/2025</v>
      </c>
      <c r="L1564" s="8" t="s">
        <v>65</v>
      </c>
      <c r="M1564" s="8">
        <v>30</v>
      </c>
      <c r="N1564" s="8">
        <v>30</v>
      </c>
      <c r="O1564" s="14" t="s">
        <v>3948</v>
      </c>
    </row>
    <row r="1565" spans="1:16" ht="15" customHeight="1" x14ac:dyDescent="0.3">
      <c r="A1565" s="7" t="s">
        <v>3909</v>
      </c>
      <c r="B1565" s="7">
        <v>19396223</v>
      </c>
      <c r="C1565" s="8">
        <v>2</v>
      </c>
      <c r="D1565" s="8">
        <v>921714544</v>
      </c>
      <c r="E1565" s="8" t="str">
        <f t="shared" si="122"/>
        <v>92171454444</v>
      </c>
      <c r="F1565" s="8" t="s">
        <v>2636</v>
      </c>
      <c r="G1565" s="8">
        <v>1</v>
      </c>
      <c r="H1565" s="8">
        <v>20250401</v>
      </c>
      <c r="I1565" s="8" t="str">
        <f t="shared" si="120"/>
        <v>4/1/2025</v>
      </c>
      <c r="J1565" s="8">
        <v>20240401</v>
      </c>
      <c r="K1565" s="8" t="str">
        <f t="shared" si="121"/>
        <v>4/1/2024</v>
      </c>
      <c r="L1565" s="8" t="s">
        <v>65</v>
      </c>
      <c r="M1565" s="8">
        <v>30</v>
      </c>
      <c r="N1565" s="8">
        <v>60</v>
      </c>
      <c r="O1565" s="14" t="s">
        <v>3948</v>
      </c>
      <c r="P1565" s="6" t="s">
        <v>3952</v>
      </c>
    </row>
    <row r="1566" spans="1:16" ht="15" customHeight="1" x14ac:dyDescent="0.2">
      <c r="A1566" s="7" t="s">
        <v>3909</v>
      </c>
      <c r="B1566" s="7">
        <v>19396223</v>
      </c>
      <c r="C1566" s="8">
        <v>1</v>
      </c>
      <c r="D1566" s="8">
        <v>921612005</v>
      </c>
      <c r="E1566" s="8" t="str">
        <f>CONCATENATE(D1566,55)</f>
        <v>92161200555</v>
      </c>
      <c r="F1566" s="8" t="s">
        <v>2599</v>
      </c>
      <c r="G1566" s="8">
        <v>1</v>
      </c>
      <c r="H1566" s="8">
        <v>20250401</v>
      </c>
      <c r="I1566" s="8" t="str">
        <f t="shared" si="120"/>
        <v>4/1/2025</v>
      </c>
      <c r="J1566" s="8">
        <v>20220331</v>
      </c>
      <c r="K1566" s="8" t="str">
        <f t="shared" si="121"/>
        <v>3/31/2022</v>
      </c>
      <c r="L1566" s="8" t="s">
        <v>138</v>
      </c>
      <c r="M1566" s="8">
        <v>20</v>
      </c>
      <c r="N1566" s="8">
        <v>20</v>
      </c>
      <c r="O1566" s="6" t="s">
        <v>3946</v>
      </c>
    </row>
    <row r="1567" spans="1:16" ht="15" customHeight="1" x14ac:dyDescent="0.2">
      <c r="A1567" s="7" t="s">
        <v>3909</v>
      </c>
      <c r="B1567" s="7">
        <v>19396223</v>
      </c>
      <c r="C1567" s="8">
        <v>1</v>
      </c>
      <c r="D1567" s="8">
        <v>921695547</v>
      </c>
      <c r="E1567" s="8" t="str">
        <f>CONCATENATE(D1567,55)</f>
        <v>92169554755</v>
      </c>
      <c r="F1567" s="8" t="s">
        <v>2628</v>
      </c>
      <c r="G1567" s="8">
        <v>1</v>
      </c>
      <c r="H1567" s="8">
        <v>20250401</v>
      </c>
      <c r="I1567" s="8" t="str">
        <f t="shared" si="120"/>
        <v>4/1/2025</v>
      </c>
      <c r="J1567" s="8">
        <v>20240101</v>
      </c>
      <c r="K1567" s="8" t="str">
        <f t="shared" si="121"/>
        <v>1/1/2024</v>
      </c>
      <c r="L1567" s="8" t="s">
        <v>138</v>
      </c>
      <c r="M1567" s="8">
        <v>20</v>
      </c>
      <c r="N1567" s="8">
        <v>20</v>
      </c>
      <c r="O1567" s="6" t="s">
        <v>3946</v>
      </c>
    </row>
    <row r="1568" spans="1:16" ht="15" customHeight="1" x14ac:dyDescent="0.2">
      <c r="A1568" s="7" t="s">
        <v>3909</v>
      </c>
      <c r="B1568" s="7">
        <v>19396223</v>
      </c>
      <c r="C1568" s="8">
        <v>5</v>
      </c>
      <c r="D1568" s="8">
        <v>921735271</v>
      </c>
      <c r="E1568" s="8" t="str">
        <f>CONCATENATE(D1568,55)</f>
        <v>92173527155</v>
      </c>
      <c r="F1568" s="8" t="s">
        <v>2638</v>
      </c>
      <c r="G1568" s="8">
        <v>1</v>
      </c>
      <c r="H1568" s="8">
        <v>20250401</v>
      </c>
      <c r="I1568" s="8" t="str">
        <f t="shared" si="120"/>
        <v>4/1/2025</v>
      </c>
      <c r="J1568" s="8">
        <v>20240901</v>
      </c>
      <c r="K1568" s="8" t="str">
        <f t="shared" si="121"/>
        <v>9/1/2024</v>
      </c>
      <c r="L1568" s="8" t="s">
        <v>138</v>
      </c>
      <c r="M1568" s="8">
        <v>25</v>
      </c>
      <c r="N1568" s="8">
        <v>125</v>
      </c>
      <c r="O1568" s="6" t="s">
        <v>3946</v>
      </c>
      <c r="P1568" s="6" t="s">
        <v>3955</v>
      </c>
    </row>
    <row r="1569" spans="1:16" ht="15" customHeight="1" x14ac:dyDescent="0.2">
      <c r="A1569" s="7" t="s">
        <v>3909</v>
      </c>
      <c r="B1569" s="7">
        <v>19396223</v>
      </c>
      <c r="D1569" s="8">
        <v>921640623</v>
      </c>
      <c r="E1569" s="8" t="str">
        <f>CONCATENATE(1,D1569)</f>
        <v>1921640623</v>
      </c>
      <c r="F1569" s="8" t="s">
        <v>2608</v>
      </c>
      <c r="G1569" s="8">
        <v>23.98</v>
      </c>
      <c r="H1569" s="8">
        <v>20250401</v>
      </c>
      <c r="I1569" s="8" t="str">
        <f t="shared" si="120"/>
        <v>4/1/2025</v>
      </c>
      <c r="J1569" s="8">
        <v>20250101</v>
      </c>
      <c r="K1569" s="8" t="str">
        <f t="shared" si="121"/>
        <v>1/1/2025</v>
      </c>
      <c r="L1569" s="8" t="s">
        <v>116</v>
      </c>
      <c r="M1569" s="8">
        <v>0.06</v>
      </c>
      <c r="N1569" s="8">
        <v>1.44</v>
      </c>
      <c r="O1569" s="6" t="s">
        <v>3938</v>
      </c>
    </row>
    <row r="1570" spans="1:16" ht="15" customHeight="1" x14ac:dyDescent="0.2">
      <c r="A1570" s="7" t="s">
        <v>3909</v>
      </c>
      <c r="B1570" s="7">
        <v>19396223</v>
      </c>
      <c r="D1570" s="8">
        <v>957176895</v>
      </c>
      <c r="E1570" s="8" t="str">
        <f>CONCATENATE(D1570,7)</f>
        <v>9571768957</v>
      </c>
      <c r="F1570" s="8" t="s">
        <v>2564</v>
      </c>
      <c r="G1570" s="8">
        <v>132.47</v>
      </c>
      <c r="H1570" s="8">
        <v>20250301</v>
      </c>
      <c r="I1570" s="8" t="str">
        <f t="shared" si="120"/>
        <v>3/1/2025</v>
      </c>
      <c r="J1570" s="8">
        <v>20240601</v>
      </c>
      <c r="K1570" s="8" t="str">
        <f t="shared" si="121"/>
        <v>6/1/2024</v>
      </c>
      <c r="L1570" s="8" t="s">
        <v>398</v>
      </c>
      <c r="M1570" s="8">
        <v>0.1</v>
      </c>
      <c r="N1570" s="8">
        <v>13.25</v>
      </c>
      <c r="O1570" s="6" t="s">
        <v>3942</v>
      </c>
    </row>
    <row r="1571" spans="1:16" ht="15" customHeight="1" x14ac:dyDescent="0.2">
      <c r="A1571" s="7" t="s">
        <v>3909</v>
      </c>
      <c r="B1571" s="7">
        <v>19396223</v>
      </c>
      <c r="D1571" s="8">
        <v>957176901</v>
      </c>
      <c r="E1571" s="8" t="str">
        <f>CONCATENATE(D1571,7)</f>
        <v>9571769017</v>
      </c>
      <c r="F1571" s="8" t="s">
        <v>2674</v>
      </c>
      <c r="G1571" s="8">
        <v>174.02</v>
      </c>
      <c r="H1571" s="8">
        <v>20250301</v>
      </c>
      <c r="I1571" s="8" t="str">
        <f t="shared" si="120"/>
        <v>3/1/2025</v>
      </c>
      <c r="J1571" s="8">
        <v>20240601</v>
      </c>
      <c r="K1571" s="8" t="str">
        <f t="shared" si="121"/>
        <v>6/1/2024</v>
      </c>
      <c r="L1571" s="8" t="s">
        <v>398</v>
      </c>
      <c r="M1571" s="8">
        <v>0.1</v>
      </c>
      <c r="N1571" s="8">
        <v>17.399999999999999</v>
      </c>
      <c r="O1571" s="6" t="s">
        <v>3942</v>
      </c>
    </row>
    <row r="1572" spans="1:16" ht="15" customHeight="1" x14ac:dyDescent="0.2">
      <c r="A1572" s="7" t="s">
        <v>3909</v>
      </c>
      <c r="B1572" s="7">
        <v>19396223</v>
      </c>
      <c r="D1572" s="8">
        <v>957199999</v>
      </c>
      <c r="E1572" s="8" t="str">
        <f>CONCATENATE(D1572,7)</f>
        <v>9571999997</v>
      </c>
      <c r="F1572" s="8" t="s">
        <v>2679</v>
      </c>
      <c r="G1572" s="8">
        <v>257.67</v>
      </c>
      <c r="H1572" s="8">
        <v>20250301</v>
      </c>
      <c r="I1572" s="8" t="str">
        <f t="shared" si="120"/>
        <v>3/1/2025</v>
      </c>
      <c r="J1572" s="8">
        <v>20250101</v>
      </c>
      <c r="K1572" s="8" t="str">
        <f t="shared" si="121"/>
        <v>1/1/2025</v>
      </c>
      <c r="L1572" s="8" t="s">
        <v>398</v>
      </c>
      <c r="M1572" s="8">
        <v>0.1</v>
      </c>
      <c r="N1572" s="8">
        <v>25.77</v>
      </c>
      <c r="O1572" s="6" t="s">
        <v>3942</v>
      </c>
    </row>
    <row r="1573" spans="1:16" ht="15" customHeight="1" x14ac:dyDescent="0.2">
      <c r="A1573" s="7" t="s">
        <v>3909</v>
      </c>
      <c r="B1573" s="7">
        <v>19396223</v>
      </c>
      <c r="D1573" s="8">
        <v>957198887</v>
      </c>
      <c r="E1573" s="8" t="str">
        <f>CONCATENATE(D1573,0)</f>
        <v>9571988870</v>
      </c>
      <c r="F1573" s="8" t="s">
        <v>2561</v>
      </c>
      <c r="G1573" s="8">
        <v>259.35000000000002</v>
      </c>
      <c r="H1573" s="8">
        <v>20250301</v>
      </c>
      <c r="I1573" s="8" t="str">
        <f t="shared" si="120"/>
        <v>3/1/2025</v>
      </c>
      <c r="J1573" s="8">
        <v>20250101</v>
      </c>
      <c r="K1573" s="8" t="str">
        <f t="shared" si="121"/>
        <v>1/1/2025</v>
      </c>
      <c r="L1573" s="8" t="s">
        <v>959</v>
      </c>
      <c r="M1573" s="8">
        <v>0.09</v>
      </c>
      <c r="N1573" s="8">
        <v>23.34</v>
      </c>
      <c r="O1573" s="12" t="s">
        <v>3941</v>
      </c>
    </row>
    <row r="1574" spans="1:16" ht="15" customHeight="1" x14ac:dyDescent="0.2">
      <c r="A1574" s="7" t="s">
        <v>3899</v>
      </c>
      <c r="B1574" s="7">
        <v>19645587</v>
      </c>
      <c r="C1574" s="8">
        <v>1</v>
      </c>
      <c r="D1574" s="8">
        <v>921761683</v>
      </c>
      <c r="E1574" s="8" t="str">
        <f>CONCATENATE(D1574,33)</f>
        <v>92176168333</v>
      </c>
      <c r="F1574" s="8" t="s">
        <v>1297</v>
      </c>
      <c r="G1574" s="8">
        <v>1</v>
      </c>
      <c r="H1574" s="8">
        <v>20250401</v>
      </c>
      <c r="I1574" s="8" t="str">
        <f t="shared" si="120"/>
        <v>4/1/2025</v>
      </c>
      <c r="J1574" s="8">
        <v>20250101</v>
      </c>
      <c r="K1574" s="8" t="str">
        <f t="shared" si="121"/>
        <v>1/1/2025</v>
      </c>
      <c r="L1574" s="8" t="s">
        <v>198</v>
      </c>
      <c r="M1574" s="8">
        <v>20</v>
      </c>
      <c r="N1574" s="8">
        <v>20</v>
      </c>
      <c r="O1574" s="6" t="s">
        <v>3950</v>
      </c>
    </row>
    <row r="1575" spans="1:16" ht="15" customHeight="1" x14ac:dyDescent="0.2">
      <c r="A1575" s="7" t="s">
        <v>3899</v>
      </c>
      <c r="B1575" s="7">
        <v>19645587</v>
      </c>
      <c r="C1575" s="15">
        <v>1</v>
      </c>
      <c r="D1575" s="15">
        <v>804501244</v>
      </c>
      <c r="E1575" s="8" t="str">
        <f>CONCATENATE(D1575,99)</f>
        <v>80450124499</v>
      </c>
      <c r="F1575" s="15" t="s">
        <v>1288</v>
      </c>
      <c r="G1575" s="15">
        <v>1</v>
      </c>
      <c r="H1575" s="15">
        <v>20250301</v>
      </c>
      <c r="I1575" s="8" t="str">
        <f t="shared" si="120"/>
        <v>3/1/2025</v>
      </c>
      <c r="J1575" s="15">
        <v>20250201</v>
      </c>
      <c r="K1575" s="8" t="str">
        <f t="shared" si="121"/>
        <v>2/1/2025</v>
      </c>
      <c r="L1575" s="15" t="s">
        <v>1289</v>
      </c>
      <c r="N1575" s="15">
        <v>313</v>
      </c>
      <c r="O1575" s="6" t="s">
        <v>3949</v>
      </c>
      <c r="P1575" s="6" t="s">
        <v>3958</v>
      </c>
    </row>
    <row r="1576" spans="1:16" ht="15" customHeight="1" x14ac:dyDescent="0.2">
      <c r="A1576" s="7" t="s">
        <v>3899</v>
      </c>
      <c r="B1576" s="7">
        <v>19645587</v>
      </c>
      <c r="C1576" s="15">
        <v>1</v>
      </c>
      <c r="D1576" s="15">
        <v>804501244</v>
      </c>
      <c r="E1576" s="8" t="str">
        <f>CONCATENATE(D1576,99)</f>
        <v>80450124499</v>
      </c>
      <c r="F1576" s="15" t="s">
        <v>1288</v>
      </c>
      <c r="G1576" s="15">
        <v>1</v>
      </c>
      <c r="H1576" s="15">
        <v>20250301</v>
      </c>
      <c r="I1576" s="8" t="str">
        <f t="shared" si="120"/>
        <v>3/1/2025</v>
      </c>
      <c r="J1576" s="15">
        <v>20250201</v>
      </c>
      <c r="K1576" s="8" t="str">
        <f t="shared" si="121"/>
        <v>2/1/2025</v>
      </c>
      <c r="L1576" s="15" t="s">
        <v>1289</v>
      </c>
      <c r="N1576" s="15">
        <v>26.08</v>
      </c>
      <c r="O1576" s="6" t="s">
        <v>3949</v>
      </c>
      <c r="P1576" s="6" t="s">
        <v>3956</v>
      </c>
    </row>
    <row r="1577" spans="1:16" ht="15" customHeight="1" x14ac:dyDescent="0.2">
      <c r="A1577" s="7" t="s">
        <v>3899</v>
      </c>
      <c r="B1577" s="7">
        <v>19645587</v>
      </c>
      <c r="D1577" s="8">
        <v>957184029</v>
      </c>
      <c r="E1577" s="8" t="str">
        <f>CONCATENATE(D1577,7)</f>
        <v>9571840297</v>
      </c>
      <c r="F1577" s="8" t="s">
        <v>1293</v>
      </c>
      <c r="G1577" s="8">
        <v>180.27</v>
      </c>
      <c r="H1577" s="8">
        <v>20250401</v>
      </c>
      <c r="I1577" s="8" t="str">
        <f t="shared" si="120"/>
        <v>4/1/2025</v>
      </c>
      <c r="J1577" s="8">
        <v>20241101</v>
      </c>
      <c r="K1577" s="8" t="str">
        <f t="shared" si="121"/>
        <v>11/1/2024</v>
      </c>
      <c r="L1577" s="8" t="s">
        <v>398</v>
      </c>
      <c r="M1577" s="8">
        <v>0.1</v>
      </c>
      <c r="N1577" s="8">
        <v>18.03</v>
      </c>
      <c r="O1577" s="6" t="s">
        <v>3942</v>
      </c>
    </row>
    <row r="1578" spans="1:16" ht="15" customHeight="1" x14ac:dyDescent="0.2">
      <c r="A1578" s="7" t="s">
        <v>3899</v>
      </c>
      <c r="B1578" s="7">
        <v>19645587</v>
      </c>
      <c r="D1578" s="8">
        <v>957192007</v>
      </c>
      <c r="E1578" s="8" t="str">
        <f>CONCATENATE(D1578,7)</f>
        <v>9571920077</v>
      </c>
      <c r="F1578" s="8" t="s">
        <v>1320</v>
      </c>
      <c r="G1578" s="8">
        <v>205.78</v>
      </c>
      <c r="H1578" s="8">
        <v>20250301</v>
      </c>
      <c r="I1578" s="8" t="str">
        <f t="shared" si="120"/>
        <v>3/1/2025</v>
      </c>
      <c r="J1578" s="8">
        <v>20250101</v>
      </c>
      <c r="K1578" s="8" t="str">
        <f t="shared" si="121"/>
        <v>1/1/2025</v>
      </c>
      <c r="L1578" s="8" t="s">
        <v>398</v>
      </c>
      <c r="M1578" s="8">
        <v>0.1</v>
      </c>
      <c r="N1578" s="8">
        <v>20.58</v>
      </c>
      <c r="O1578" s="6" t="s">
        <v>3942</v>
      </c>
    </row>
    <row r="1579" spans="1:16" ht="15" customHeight="1" x14ac:dyDescent="0.2">
      <c r="A1579" s="7" t="s">
        <v>3899</v>
      </c>
      <c r="B1579" s="7">
        <v>19645587</v>
      </c>
      <c r="D1579" s="8">
        <v>957190953</v>
      </c>
      <c r="E1579" s="8" t="str">
        <f t="shared" ref="E1579:E1585" si="123">CONCATENATE(D1579,9)</f>
        <v>9571909539</v>
      </c>
      <c r="F1579" s="8" t="s">
        <v>1316</v>
      </c>
      <c r="G1579" s="8">
        <v>124.34</v>
      </c>
      <c r="H1579" s="8">
        <v>20250301</v>
      </c>
      <c r="I1579" s="8" t="str">
        <f t="shared" si="120"/>
        <v>3/1/2025</v>
      </c>
      <c r="J1579" s="8">
        <v>20250101</v>
      </c>
      <c r="K1579" s="8" t="str">
        <f t="shared" si="121"/>
        <v>1/1/2025</v>
      </c>
      <c r="L1579" s="8" t="s">
        <v>980</v>
      </c>
      <c r="M1579" s="8">
        <v>0.18</v>
      </c>
      <c r="N1579" s="8">
        <v>22.38</v>
      </c>
      <c r="O1579" s="6" t="s">
        <v>3944</v>
      </c>
    </row>
    <row r="1580" spans="1:16" ht="15" customHeight="1" x14ac:dyDescent="0.2">
      <c r="A1580" s="7" t="s">
        <v>3899</v>
      </c>
      <c r="B1580" s="7">
        <v>19645587</v>
      </c>
      <c r="D1580" s="8">
        <v>957194826</v>
      </c>
      <c r="E1580" s="8" t="str">
        <f t="shared" si="123"/>
        <v>9571948269</v>
      </c>
      <c r="F1580" s="8" t="s">
        <v>1324</v>
      </c>
      <c r="G1580" s="8">
        <v>208.96</v>
      </c>
      <c r="H1580" s="8">
        <v>20250301</v>
      </c>
      <c r="I1580" s="8" t="str">
        <f t="shared" si="120"/>
        <v>3/1/2025</v>
      </c>
      <c r="J1580" s="8">
        <v>20250101</v>
      </c>
      <c r="K1580" s="8" t="str">
        <f t="shared" si="121"/>
        <v>1/1/2025</v>
      </c>
      <c r="L1580" s="8" t="s">
        <v>980</v>
      </c>
      <c r="M1580" s="8">
        <v>0.18</v>
      </c>
      <c r="N1580" s="8">
        <v>37.61</v>
      </c>
      <c r="O1580" s="6" t="s">
        <v>3944</v>
      </c>
    </row>
    <row r="1581" spans="1:16" ht="15" customHeight="1" x14ac:dyDescent="0.2">
      <c r="A1581" s="7" t="s">
        <v>3899</v>
      </c>
      <c r="B1581" s="7">
        <v>19645587</v>
      </c>
      <c r="D1581" s="8">
        <v>957188930</v>
      </c>
      <c r="E1581" s="8" t="str">
        <f t="shared" si="123"/>
        <v>9571889309</v>
      </c>
      <c r="F1581" s="8" t="s">
        <v>1312</v>
      </c>
      <c r="G1581" s="8">
        <v>211.29</v>
      </c>
      <c r="H1581" s="8">
        <v>20250401</v>
      </c>
      <c r="I1581" s="8" t="str">
        <f t="shared" si="120"/>
        <v>4/1/2025</v>
      </c>
      <c r="J1581" s="8">
        <v>20250101</v>
      </c>
      <c r="K1581" s="8" t="str">
        <f t="shared" si="121"/>
        <v>1/1/2025</v>
      </c>
      <c r="L1581" s="8" t="s">
        <v>980</v>
      </c>
      <c r="M1581" s="8">
        <v>0.18</v>
      </c>
      <c r="N1581" s="8">
        <v>38.03</v>
      </c>
      <c r="O1581" s="6" t="s">
        <v>3944</v>
      </c>
    </row>
    <row r="1582" spans="1:16" ht="15" customHeight="1" x14ac:dyDescent="0.2">
      <c r="A1582" s="7" t="s">
        <v>3899</v>
      </c>
      <c r="B1582" s="7">
        <v>19645587</v>
      </c>
      <c r="D1582" s="8">
        <v>957188930</v>
      </c>
      <c r="E1582" s="8" t="str">
        <f t="shared" si="123"/>
        <v>9571889309</v>
      </c>
      <c r="F1582" s="8" t="s">
        <v>1312</v>
      </c>
      <c r="G1582" s="8">
        <v>211.29</v>
      </c>
      <c r="H1582" s="8">
        <v>20250301</v>
      </c>
      <c r="I1582" s="8" t="str">
        <f t="shared" si="120"/>
        <v>3/1/2025</v>
      </c>
      <c r="J1582" s="8">
        <v>20250101</v>
      </c>
      <c r="K1582" s="8" t="str">
        <f t="shared" si="121"/>
        <v>1/1/2025</v>
      </c>
      <c r="L1582" s="8" t="s">
        <v>980</v>
      </c>
      <c r="M1582" s="8">
        <v>0.18</v>
      </c>
      <c r="N1582" s="8">
        <v>38.03</v>
      </c>
      <c r="O1582" s="6" t="s">
        <v>3944</v>
      </c>
    </row>
    <row r="1583" spans="1:16" ht="15" customHeight="1" x14ac:dyDescent="0.2">
      <c r="A1583" s="7" t="s">
        <v>3899</v>
      </c>
      <c r="B1583" s="7">
        <v>19645587</v>
      </c>
      <c r="D1583" s="8">
        <v>957188926</v>
      </c>
      <c r="E1583" s="8" t="str">
        <f t="shared" si="123"/>
        <v>9571889269</v>
      </c>
      <c r="F1583" s="8" t="s">
        <v>1308</v>
      </c>
      <c r="G1583" s="8">
        <v>215.05</v>
      </c>
      <c r="H1583" s="8">
        <v>20250401</v>
      </c>
      <c r="I1583" s="8" t="str">
        <f t="shared" si="120"/>
        <v>4/1/2025</v>
      </c>
      <c r="J1583" s="8">
        <v>20250101</v>
      </c>
      <c r="K1583" s="8" t="str">
        <f t="shared" si="121"/>
        <v>1/1/2025</v>
      </c>
      <c r="L1583" s="8" t="s">
        <v>980</v>
      </c>
      <c r="M1583" s="8">
        <v>0.18</v>
      </c>
      <c r="N1583" s="8">
        <v>38.71</v>
      </c>
      <c r="O1583" s="6" t="s">
        <v>3944</v>
      </c>
    </row>
    <row r="1584" spans="1:16" ht="15" customHeight="1" x14ac:dyDescent="0.2">
      <c r="A1584" s="7" t="s">
        <v>3899</v>
      </c>
      <c r="B1584" s="7">
        <v>19645587</v>
      </c>
      <c r="D1584" s="8">
        <v>957188926</v>
      </c>
      <c r="E1584" s="8" t="str">
        <f t="shared" si="123"/>
        <v>9571889269</v>
      </c>
      <c r="F1584" s="8" t="s">
        <v>1308</v>
      </c>
      <c r="G1584" s="8">
        <v>215.05</v>
      </c>
      <c r="H1584" s="8">
        <v>20250301</v>
      </c>
      <c r="I1584" s="8" t="str">
        <f t="shared" si="120"/>
        <v>3/1/2025</v>
      </c>
      <c r="J1584" s="8">
        <v>20250101</v>
      </c>
      <c r="K1584" s="8" t="str">
        <f t="shared" si="121"/>
        <v>1/1/2025</v>
      </c>
      <c r="L1584" s="8" t="s">
        <v>980</v>
      </c>
      <c r="M1584" s="8">
        <v>0.18</v>
      </c>
      <c r="N1584" s="8">
        <v>38.71</v>
      </c>
      <c r="O1584" s="6" t="s">
        <v>3944</v>
      </c>
    </row>
    <row r="1585" spans="1:16" ht="15" customHeight="1" x14ac:dyDescent="0.2">
      <c r="A1585" s="7" t="s">
        <v>3899</v>
      </c>
      <c r="B1585" s="7">
        <v>19645587</v>
      </c>
      <c r="D1585" s="8">
        <v>957187034</v>
      </c>
      <c r="E1585" s="8" t="str">
        <f t="shared" si="123"/>
        <v>9571870349</v>
      </c>
      <c r="F1585" s="8" t="s">
        <v>1303</v>
      </c>
      <c r="G1585" s="8">
        <v>247.84</v>
      </c>
      <c r="H1585" s="8">
        <v>20250301</v>
      </c>
      <c r="I1585" s="8" t="str">
        <f t="shared" si="120"/>
        <v>3/1/2025</v>
      </c>
      <c r="J1585" s="8">
        <v>20250101</v>
      </c>
      <c r="K1585" s="8" t="str">
        <f t="shared" si="121"/>
        <v>1/1/2025</v>
      </c>
      <c r="L1585" s="8" t="s">
        <v>980</v>
      </c>
      <c r="M1585" s="8">
        <v>0.18</v>
      </c>
      <c r="N1585" s="8">
        <v>44.61</v>
      </c>
      <c r="O1585" s="6" t="s">
        <v>3944</v>
      </c>
    </row>
    <row r="1586" spans="1:16" ht="15" customHeight="1" x14ac:dyDescent="0.2">
      <c r="A1586" s="7" t="s">
        <v>3910</v>
      </c>
      <c r="B1586" s="7">
        <v>17126004</v>
      </c>
      <c r="C1586" s="8">
        <v>1</v>
      </c>
      <c r="D1586" s="8">
        <v>920893529</v>
      </c>
      <c r="E1586" s="8" t="str">
        <f t="shared" ref="E1586:E1594" si="124">CONCATENATE(D1586,22)</f>
        <v>92089352922</v>
      </c>
      <c r="F1586" s="8" t="s">
        <v>2684</v>
      </c>
      <c r="G1586" s="8">
        <v>1</v>
      </c>
      <c r="H1586" s="8">
        <v>20250401</v>
      </c>
      <c r="I1586" s="8" t="str">
        <f t="shared" si="120"/>
        <v>4/1/2025</v>
      </c>
      <c r="J1586" s="8">
        <v>20150101</v>
      </c>
      <c r="K1586" s="8" t="str">
        <f t="shared" si="121"/>
        <v>1/1/2015</v>
      </c>
      <c r="L1586" s="8" t="s">
        <v>56</v>
      </c>
      <c r="M1586" s="8">
        <v>20</v>
      </c>
      <c r="N1586" s="8">
        <v>20</v>
      </c>
      <c r="O1586" s="6" t="s">
        <v>3947</v>
      </c>
    </row>
    <row r="1587" spans="1:16" ht="15" customHeight="1" x14ac:dyDescent="0.2">
      <c r="A1587" s="7" t="s">
        <v>3910</v>
      </c>
      <c r="B1587" s="7">
        <v>17126004</v>
      </c>
      <c r="C1587" s="8">
        <v>1</v>
      </c>
      <c r="D1587" s="8">
        <v>920893529</v>
      </c>
      <c r="E1587" s="8" t="str">
        <f t="shared" si="124"/>
        <v>92089352922</v>
      </c>
      <c r="F1587" s="8" t="s">
        <v>2684</v>
      </c>
      <c r="G1587" s="8">
        <v>1</v>
      </c>
      <c r="H1587" s="8">
        <v>20250301</v>
      </c>
      <c r="I1587" s="8" t="str">
        <f t="shared" si="120"/>
        <v>3/1/2025</v>
      </c>
      <c r="J1587" s="8">
        <v>20150101</v>
      </c>
      <c r="K1587" s="8" t="str">
        <f t="shared" si="121"/>
        <v>1/1/2015</v>
      </c>
      <c r="L1587" s="8" t="s">
        <v>56</v>
      </c>
      <c r="M1587" s="8">
        <v>20</v>
      </c>
      <c r="N1587" s="8">
        <v>20</v>
      </c>
      <c r="O1587" s="6" t="s">
        <v>3947</v>
      </c>
    </row>
    <row r="1588" spans="1:16" ht="15" customHeight="1" x14ac:dyDescent="0.2">
      <c r="A1588" s="7" t="s">
        <v>3910</v>
      </c>
      <c r="B1588" s="7">
        <v>17126004</v>
      </c>
      <c r="C1588" s="8">
        <v>1</v>
      </c>
      <c r="D1588" s="8">
        <v>920914774</v>
      </c>
      <c r="E1588" s="8" t="str">
        <f t="shared" si="124"/>
        <v>92091477422</v>
      </c>
      <c r="F1588" s="8" t="s">
        <v>2687</v>
      </c>
      <c r="G1588" s="8">
        <v>1</v>
      </c>
      <c r="H1588" s="8">
        <v>20250401</v>
      </c>
      <c r="I1588" s="8" t="str">
        <f t="shared" si="120"/>
        <v>4/1/2025</v>
      </c>
      <c r="J1588" s="8">
        <v>20140501</v>
      </c>
      <c r="K1588" s="8" t="str">
        <f t="shared" si="121"/>
        <v>5/1/2014</v>
      </c>
      <c r="L1588" s="8" t="s">
        <v>56</v>
      </c>
      <c r="M1588" s="8">
        <v>20</v>
      </c>
      <c r="N1588" s="8">
        <v>20</v>
      </c>
      <c r="O1588" s="6" t="s">
        <v>3947</v>
      </c>
    </row>
    <row r="1589" spans="1:16" ht="15" customHeight="1" x14ac:dyDescent="0.2">
      <c r="A1589" s="7" t="s">
        <v>3910</v>
      </c>
      <c r="B1589" s="7">
        <v>17126004</v>
      </c>
      <c r="C1589" s="8">
        <v>1</v>
      </c>
      <c r="D1589" s="8">
        <v>921603746</v>
      </c>
      <c r="E1589" s="8" t="str">
        <f t="shared" si="124"/>
        <v>92160374622</v>
      </c>
      <c r="F1589" s="8" t="s">
        <v>2697</v>
      </c>
      <c r="G1589" s="8">
        <v>1</v>
      </c>
      <c r="H1589" s="8">
        <v>20250401</v>
      </c>
      <c r="I1589" s="8" t="str">
        <f t="shared" si="120"/>
        <v>4/1/2025</v>
      </c>
      <c r="J1589" s="8">
        <v>20220201</v>
      </c>
      <c r="K1589" s="8" t="str">
        <f t="shared" si="121"/>
        <v>2/1/2022</v>
      </c>
      <c r="L1589" s="8" t="s">
        <v>56</v>
      </c>
      <c r="M1589" s="8">
        <v>20</v>
      </c>
      <c r="N1589" s="8">
        <v>20</v>
      </c>
      <c r="O1589" s="6" t="s">
        <v>3947</v>
      </c>
    </row>
    <row r="1590" spans="1:16" ht="15" customHeight="1" x14ac:dyDescent="0.2">
      <c r="A1590" s="7" t="s">
        <v>3910</v>
      </c>
      <c r="B1590" s="7">
        <v>17126004</v>
      </c>
      <c r="C1590" s="8">
        <v>1</v>
      </c>
      <c r="D1590" s="8">
        <v>921603746</v>
      </c>
      <c r="E1590" s="8" t="str">
        <f t="shared" si="124"/>
        <v>92160374622</v>
      </c>
      <c r="F1590" s="8" t="s">
        <v>2697</v>
      </c>
      <c r="G1590" s="8">
        <v>1</v>
      </c>
      <c r="H1590" s="8">
        <v>20250301</v>
      </c>
      <c r="I1590" s="8" t="str">
        <f t="shared" si="120"/>
        <v>3/1/2025</v>
      </c>
      <c r="J1590" s="8">
        <v>20220201</v>
      </c>
      <c r="K1590" s="8" t="str">
        <f t="shared" si="121"/>
        <v>2/1/2022</v>
      </c>
      <c r="L1590" s="8" t="s">
        <v>56</v>
      </c>
      <c r="M1590" s="8">
        <v>20</v>
      </c>
      <c r="N1590" s="8">
        <v>20</v>
      </c>
      <c r="O1590" s="6" t="s">
        <v>3947</v>
      </c>
    </row>
    <row r="1591" spans="1:16" ht="15" customHeight="1" x14ac:dyDescent="0.2">
      <c r="A1591" s="7" t="s">
        <v>3910</v>
      </c>
      <c r="B1591" s="7">
        <v>17126004</v>
      </c>
      <c r="C1591" s="8">
        <v>1</v>
      </c>
      <c r="D1591" s="8">
        <v>921603746</v>
      </c>
      <c r="E1591" s="8" t="str">
        <f t="shared" si="124"/>
        <v>92160374622</v>
      </c>
      <c r="F1591" s="8" t="s">
        <v>2697</v>
      </c>
      <c r="G1591" s="8">
        <v>1</v>
      </c>
      <c r="H1591" s="8">
        <v>20250201</v>
      </c>
      <c r="I1591" s="8" t="str">
        <f t="shared" si="120"/>
        <v>2/1/2025</v>
      </c>
      <c r="J1591" s="8">
        <v>20220201</v>
      </c>
      <c r="K1591" s="8" t="str">
        <f t="shared" si="121"/>
        <v>2/1/2022</v>
      </c>
      <c r="L1591" s="8" t="s">
        <v>56</v>
      </c>
      <c r="M1591" s="8">
        <v>20</v>
      </c>
      <c r="N1591" s="8">
        <v>20</v>
      </c>
      <c r="O1591" s="6" t="s">
        <v>3947</v>
      </c>
    </row>
    <row r="1592" spans="1:16" ht="15" customHeight="1" x14ac:dyDescent="0.2">
      <c r="A1592" s="7" t="s">
        <v>3910</v>
      </c>
      <c r="B1592" s="7">
        <v>17126004</v>
      </c>
      <c r="C1592" s="8">
        <v>1</v>
      </c>
      <c r="D1592" s="8">
        <v>921663718</v>
      </c>
      <c r="E1592" s="8" t="str">
        <f t="shared" si="124"/>
        <v>92166371822</v>
      </c>
      <c r="F1592" s="8" t="s">
        <v>2701</v>
      </c>
      <c r="G1592" s="8">
        <v>1</v>
      </c>
      <c r="H1592" s="8">
        <v>20250401</v>
      </c>
      <c r="I1592" s="8" t="str">
        <f t="shared" si="120"/>
        <v>4/1/2025</v>
      </c>
      <c r="J1592" s="8">
        <v>20230701</v>
      </c>
      <c r="K1592" s="8" t="str">
        <f t="shared" si="121"/>
        <v>7/1/2023</v>
      </c>
      <c r="L1592" s="8" t="s">
        <v>56</v>
      </c>
      <c r="M1592" s="8">
        <v>20</v>
      </c>
      <c r="N1592" s="8">
        <v>20</v>
      </c>
      <c r="O1592" s="6" t="s">
        <v>3947</v>
      </c>
    </row>
    <row r="1593" spans="1:16" ht="15" customHeight="1" x14ac:dyDescent="0.2">
      <c r="A1593" s="7" t="s">
        <v>3910</v>
      </c>
      <c r="B1593" s="7">
        <v>17126004</v>
      </c>
      <c r="C1593" s="8">
        <v>2</v>
      </c>
      <c r="D1593" s="8">
        <v>921649052</v>
      </c>
      <c r="E1593" s="8" t="str">
        <f t="shared" si="124"/>
        <v>92164905222</v>
      </c>
      <c r="F1593" s="8" t="s">
        <v>2699</v>
      </c>
      <c r="G1593" s="8">
        <v>1</v>
      </c>
      <c r="H1593" s="8">
        <v>20250201</v>
      </c>
      <c r="I1593" s="8" t="str">
        <f t="shared" si="120"/>
        <v>2/1/2025</v>
      </c>
      <c r="J1593" s="8">
        <v>20230101</v>
      </c>
      <c r="K1593" s="8" t="str">
        <f t="shared" si="121"/>
        <v>1/1/2023</v>
      </c>
      <c r="L1593" s="8" t="s">
        <v>56</v>
      </c>
      <c r="M1593" s="8">
        <v>20</v>
      </c>
      <c r="N1593" s="8">
        <v>40</v>
      </c>
      <c r="O1593" s="6" t="s">
        <v>3947</v>
      </c>
      <c r="P1593" s="6" t="s">
        <v>3952</v>
      </c>
    </row>
    <row r="1594" spans="1:16" ht="15" customHeight="1" x14ac:dyDescent="0.2">
      <c r="A1594" s="7" t="s">
        <v>3910</v>
      </c>
      <c r="B1594" s="7">
        <v>17126004</v>
      </c>
      <c r="C1594" s="8">
        <v>1</v>
      </c>
      <c r="D1594" s="8">
        <v>921756382</v>
      </c>
      <c r="E1594" s="8" t="str">
        <f t="shared" si="124"/>
        <v>92175638222</v>
      </c>
      <c r="F1594" s="8" t="s">
        <v>2711</v>
      </c>
      <c r="G1594" s="8">
        <v>1</v>
      </c>
      <c r="H1594" s="8">
        <v>20250401</v>
      </c>
      <c r="I1594" s="8" t="str">
        <f t="shared" si="120"/>
        <v>4/1/2025</v>
      </c>
      <c r="J1594" s="8">
        <v>20250101</v>
      </c>
      <c r="K1594" s="8" t="str">
        <f t="shared" si="121"/>
        <v>1/1/2025</v>
      </c>
      <c r="L1594" s="8" t="s">
        <v>56</v>
      </c>
      <c r="M1594" s="8">
        <v>25</v>
      </c>
      <c r="N1594" s="8">
        <v>25</v>
      </c>
      <c r="O1594" s="6" t="s">
        <v>3947</v>
      </c>
    </row>
    <row r="1595" spans="1:16" ht="15" customHeight="1" x14ac:dyDescent="0.2">
      <c r="A1595" s="7" t="s">
        <v>3910</v>
      </c>
      <c r="B1595" s="7">
        <v>17126004</v>
      </c>
      <c r="C1595" s="8">
        <v>1</v>
      </c>
      <c r="D1595" s="8">
        <v>921771955</v>
      </c>
      <c r="E1595" s="8" t="str">
        <f>CONCATENATE(D1595,33)</f>
        <v>92177195533</v>
      </c>
      <c r="F1595" s="8" t="s">
        <v>2713</v>
      </c>
      <c r="G1595" s="8">
        <v>1</v>
      </c>
      <c r="H1595" s="8">
        <v>20250401</v>
      </c>
      <c r="I1595" s="8" t="str">
        <f t="shared" si="120"/>
        <v>4/1/2025</v>
      </c>
      <c r="J1595" s="8">
        <v>20250201</v>
      </c>
      <c r="K1595" s="8" t="str">
        <f t="shared" si="121"/>
        <v>2/1/2025</v>
      </c>
      <c r="L1595" s="8" t="s">
        <v>198</v>
      </c>
      <c r="M1595" s="8">
        <v>20</v>
      </c>
      <c r="N1595" s="8">
        <v>20</v>
      </c>
      <c r="O1595" s="6" t="s">
        <v>3950</v>
      </c>
    </row>
    <row r="1596" spans="1:16" ht="15" customHeight="1" x14ac:dyDescent="0.2">
      <c r="A1596" s="7" t="s">
        <v>3910</v>
      </c>
      <c r="B1596" s="7">
        <v>17126004</v>
      </c>
      <c r="C1596" s="8">
        <v>2</v>
      </c>
      <c r="D1596" s="8">
        <v>921515574</v>
      </c>
      <c r="E1596" s="8" t="str">
        <f>CONCATENATE(D1596,33)</f>
        <v>92151557433</v>
      </c>
      <c r="F1596" s="8" t="s">
        <v>2695</v>
      </c>
      <c r="G1596" s="8">
        <v>1</v>
      </c>
      <c r="H1596" s="8">
        <v>20250301</v>
      </c>
      <c r="I1596" s="8" t="str">
        <f t="shared" si="120"/>
        <v>3/1/2025</v>
      </c>
      <c r="J1596" s="8">
        <v>20250201</v>
      </c>
      <c r="K1596" s="8" t="str">
        <f t="shared" si="121"/>
        <v>2/1/2025</v>
      </c>
      <c r="L1596" s="8" t="s">
        <v>198</v>
      </c>
      <c r="M1596" s="8">
        <v>20</v>
      </c>
      <c r="N1596" s="8">
        <v>40</v>
      </c>
      <c r="O1596" s="6" t="s">
        <v>3950</v>
      </c>
      <c r="P1596" s="6" t="s">
        <v>3952</v>
      </c>
    </row>
    <row r="1597" spans="1:16" ht="15" customHeight="1" x14ac:dyDescent="0.2">
      <c r="A1597" s="7" t="s">
        <v>3910</v>
      </c>
      <c r="B1597" s="7">
        <v>17126004</v>
      </c>
      <c r="C1597" s="8">
        <v>2</v>
      </c>
      <c r="D1597" s="8">
        <v>921754814</v>
      </c>
      <c r="E1597" s="8" t="str">
        <f>CONCATENATE(D1597,33)</f>
        <v>92175481433</v>
      </c>
      <c r="F1597" s="8" t="s">
        <v>2709</v>
      </c>
      <c r="G1597" s="8">
        <v>1</v>
      </c>
      <c r="H1597" s="8">
        <v>20250401</v>
      </c>
      <c r="I1597" s="8" t="str">
        <f t="shared" si="120"/>
        <v>4/1/2025</v>
      </c>
      <c r="J1597" s="8">
        <v>20250101</v>
      </c>
      <c r="K1597" s="8" t="str">
        <f t="shared" si="121"/>
        <v>1/1/2025</v>
      </c>
      <c r="L1597" s="8" t="s">
        <v>198</v>
      </c>
      <c r="M1597" s="8">
        <v>20</v>
      </c>
      <c r="N1597" s="8">
        <v>40</v>
      </c>
      <c r="O1597" s="6" t="s">
        <v>3950</v>
      </c>
      <c r="P1597" s="6" t="s">
        <v>3952</v>
      </c>
    </row>
    <row r="1598" spans="1:16" ht="15" customHeight="1" x14ac:dyDescent="0.3">
      <c r="A1598" s="7" t="s">
        <v>3910</v>
      </c>
      <c r="B1598" s="7">
        <v>17126004</v>
      </c>
      <c r="C1598" s="8">
        <v>1</v>
      </c>
      <c r="D1598" s="8">
        <v>921716008</v>
      </c>
      <c r="E1598" s="8" t="str">
        <f>CONCATENATE(D1598,44)</f>
        <v>92171600844</v>
      </c>
      <c r="F1598" s="8" t="s">
        <v>2707</v>
      </c>
      <c r="G1598" s="8">
        <v>1</v>
      </c>
      <c r="H1598" s="8">
        <v>20250401</v>
      </c>
      <c r="I1598" s="8" t="str">
        <f t="shared" si="120"/>
        <v>4/1/2025</v>
      </c>
      <c r="J1598" s="8">
        <v>20240401</v>
      </c>
      <c r="K1598" s="8" t="str">
        <f t="shared" si="121"/>
        <v>4/1/2024</v>
      </c>
      <c r="L1598" s="8" t="s">
        <v>65</v>
      </c>
      <c r="M1598" s="8">
        <v>30</v>
      </c>
      <c r="N1598" s="8">
        <v>30</v>
      </c>
      <c r="O1598" s="14" t="s">
        <v>3948</v>
      </c>
    </row>
    <row r="1599" spans="1:16" ht="15" customHeight="1" x14ac:dyDescent="0.3">
      <c r="A1599" s="7" t="s">
        <v>3910</v>
      </c>
      <c r="B1599" s="7">
        <v>17126004</v>
      </c>
      <c r="C1599" s="8">
        <v>1</v>
      </c>
      <c r="D1599" s="8">
        <v>921777292</v>
      </c>
      <c r="E1599" s="8" t="str">
        <f>CONCATENATE(D1599,44)</f>
        <v>92177729244</v>
      </c>
      <c r="F1599" s="8" t="s">
        <v>2715</v>
      </c>
      <c r="G1599" s="8">
        <v>1</v>
      </c>
      <c r="H1599" s="8">
        <v>20250401</v>
      </c>
      <c r="I1599" s="8" t="str">
        <f t="shared" si="120"/>
        <v>4/1/2025</v>
      </c>
      <c r="J1599" s="8">
        <v>20250301</v>
      </c>
      <c r="K1599" s="8" t="str">
        <f t="shared" si="121"/>
        <v>3/1/2025</v>
      </c>
      <c r="L1599" s="8" t="s">
        <v>65</v>
      </c>
      <c r="M1599" s="8">
        <v>30</v>
      </c>
      <c r="N1599" s="8">
        <v>30</v>
      </c>
      <c r="O1599" s="14" t="s">
        <v>3948</v>
      </c>
    </row>
    <row r="1600" spans="1:16" ht="15" customHeight="1" x14ac:dyDescent="0.2">
      <c r="A1600" s="7" t="s">
        <v>3910</v>
      </c>
      <c r="B1600" s="7">
        <v>17126004</v>
      </c>
      <c r="C1600" s="8">
        <v>1</v>
      </c>
      <c r="D1600" s="8">
        <v>920949489</v>
      </c>
      <c r="E1600" s="8" t="str">
        <f>CONCATENATE(D1600,55)</f>
        <v>92094948955</v>
      </c>
      <c r="F1600" s="8" t="s">
        <v>2689</v>
      </c>
      <c r="G1600" s="8">
        <v>1</v>
      </c>
      <c r="H1600" s="8">
        <v>20250401</v>
      </c>
      <c r="I1600" s="8" t="str">
        <f t="shared" si="120"/>
        <v>4/1/2025</v>
      </c>
      <c r="J1600" s="8">
        <v>20141001</v>
      </c>
      <c r="K1600" s="8" t="str">
        <f t="shared" si="121"/>
        <v>10/1/2014</v>
      </c>
      <c r="L1600" s="8" t="s">
        <v>138</v>
      </c>
      <c r="M1600" s="8">
        <v>20</v>
      </c>
      <c r="N1600" s="8">
        <v>20</v>
      </c>
      <c r="O1600" s="6" t="s">
        <v>3946</v>
      </c>
    </row>
    <row r="1601" spans="1:36" ht="15" customHeight="1" x14ac:dyDescent="0.2">
      <c r="A1601" s="7" t="s">
        <v>3910</v>
      </c>
      <c r="B1601" s="7">
        <v>17126004</v>
      </c>
      <c r="C1601" s="8">
        <v>1</v>
      </c>
      <c r="D1601" s="8">
        <v>920949489</v>
      </c>
      <c r="E1601" s="8" t="str">
        <f>CONCATENATE(D1601,55)</f>
        <v>92094948955</v>
      </c>
      <c r="F1601" s="8" t="s">
        <v>2689</v>
      </c>
      <c r="G1601" s="8">
        <v>1</v>
      </c>
      <c r="H1601" s="8">
        <v>20250301</v>
      </c>
      <c r="I1601" s="8" t="str">
        <f t="shared" si="120"/>
        <v>3/1/2025</v>
      </c>
      <c r="J1601" s="8">
        <v>20141001</v>
      </c>
      <c r="K1601" s="8" t="str">
        <f t="shared" si="121"/>
        <v>10/1/2014</v>
      </c>
      <c r="L1601" s="8" t="s">
        <v>138</v>
      </c>
      <c r="M1601" s="8">
        <v>20</v>
      </c>
      <c r="N1601" s="8">
        <v>20</v>
      </c>
      <c r="O1601" s="6" t="s">
        <v>3946</v>
      </c>
    </row>
    <row r="1602" spans="1:36" ht="15" customHeight="1" x14ac:dyDescent="0.2">
      <c r="A1602" s="7" t="s">
        <v>3910</v>
      </c>
      <c r="B1602" s="7">
        <v>17126004</v>
      </c>
      <c r="C1602" s="8">
        <v>1</v>
      </c>
      <c r="D1602" s="8">
        <v>920949489</v>
      </c>
      <c r="E1602" s="8" t="str">
        <f>CONCATENATE(D1602,55)</f>
        <v>92094948955</v>
      </c>
      <c r="F1602" s="8" t="s">
        <v>2689</v>
      </c>
      <c r="G1602" s="8">
        <v>1</v>
      </c>
      <c r="H1602" s="8">
        <v>20250201</v>
      </c>
      <c r="I1602" s="8" t="str">
        <f t="shared" si="120"/>
        <v>2/1/2025</v>
      </c>
      <c r="J1602" s="8">
        <v>20141001</v>
      </c>
      <c r="K1602" s="8" t="str">
        <f t="shared" si="121"/>
        <v>10/1/2014</v>
      </c>
      <c r="L1602" s="8" t="s">
        <v>138</v>
      </c>
      <c r="M1602" s="8">
        <v>20</v>
      </c>
      <c r="N1602" s="8">
        <v>20</v>
      </c>
      <c r="O1602" s="6" t="s">
        <v>3946</v>
      </c>
    </row>
    <row r="1603" spans="1:36" ht="15" customHeight="1" x14ac:dyDescent="0.2">
      <c r="A1603" s="7" t="s">
        <v>3910</v>
      </c>
      <c r="B1603" s="7">
        <v>17126004</v>
      </c>
      <c r="C1603" s="8">
        <v>1</v>
      </c>
      <c r="D1603" s="8">
        <v>921260152</v>
      </c>
      <c r="E1603" s="8" t="str">
        <f>CONCATENATE(D1603,55)</f>
        <v>92126015255</v>
      </c>
      <c r="F1603" s="8" t="s">
        <v>2691</v>
      </c>
      <c r="G1603" s="8">
        <v>1</v>
      </c>
      <c r="H1603" s="8">
        <v>20250401</v>
      </c>
      <c r="I1603" s="8" t="str">
        <f t="shared" ref="I1603:I1644" si="125">TEXT(DATE(LEFT(H1603,4), MID(H1603,5,2), RIGHT(H1603,2)), "M/d/yyyy")</f>
        <v>4/1/2025</v>
      </c>
      <c r="J1603" s="8">
        <v>20180101</v>
      </c>
      <c r="K1603" s="8" t="str">
        <f t="shared" ref="K1603:K1644" si="126">TEXT(DATE(LEFT(J1603,4), MID(J1603,5,2), RIGHT(J1603,2)), "M/d/yyyy")</f>
        <v>1/1/2018</v>
      </c>
      <c r="L1603" s="8" t="s">
        <v>138</v>
      </c>
      <c r="M1603" s="8">
        <v>20</v>
      </c>
      <c r="N1603" s="8">
        <v>20</v>
      </c>
      <c r="O1603" s="6" t="s">
        <v>3946</v>
      </c>
    </row>
    <row r="1604" spans="1:36" ht="15" customHeight="1" x14ac:dyDescent="0.2">
      <c r="A1604" s="7" t="s">
        <v>3910</v>
      </c>
      <c r="B1604" s="7">
        <v>17126004</v>
      </c>
      <c r="C1604" s="8">
        <v>1</v>
      </c>
      <c r="D1604" s="8">
        <v>921698526</v>
      </c>
      <c r="E1604" s="8" t="str">
        <f>CONCATENATE(D1604,55)</f>
        <v>92169852655</v>
      </c>
      <c r="F1604" s="8" t="s">
        <v>2705</v>
      </c>
      <c r="G1604" s="8">
        <v>1</v>
      </c>
      <c r="H1604" s="8">
        <v>20250401</v>
      </c>
      <c r="I1604" s="8" t="str">
        <f t="shared" si="125"/>
        <v>4/1/2025</v>
      </c>
      <c r="J1604" s="8">
        <v>20240101</v>
      </c>
      <c r="K1604" s="8" t="str">
        <f t="shared" si="126"/>
        <v>1/1/2024</v>
      </c>
      <c r="L1604" s="8" t="s">
        <v>138</v>
      </c>
      <c r="M1604" s="8">
        <v>20</v>
      </c>
      <c r="N1604" s="8">
        <v>20</v>
      </c>
      <c r="O1604" s="6" t="s">
        <v>3946</v>
      </c>
    </row>
    <row r="1605" spans="1:36" ht="15" customHeight="1" x14ac:dyDescent="0.2">
      <c r="A1605" s="7" t="s">
        <v>3910</v>
      </c>
      <c r="B1605" s="7">
        <v>17126004</v>
      </c>
      <c r="D1605" s="8">
        <v>920893529</v>
      </c>
      <c r="E1605" s="8" t="str">
        <f>CONCATENATE(1,D1605)</f>
        <v>1920893529</v>
      </c>
      <c r="F1605" s="8" t="s">
        <v>2684</v>
      </c>
      <c r="G1605" s="8">
        <v>35.729999999999997</v>
      </c>
      <c r="H1605" s="8">
        <v>20250401</v>
      </c>
      <c r="I1605" s="8" t="str">
        <f t="shared" si="125"/>
        <v>4/1/2025</v>
      </c>
      <c r="J1605" s="8">
        <v>20250101</v>
      </c>
      <c r="K1605" s="8" t="str">
        <f t="shared" si="126"/>
        <v>1/1/2025</v>
      </c>
      <c r="L1605" s="8" t="s">
        <v>116</v>
      </c>
      <c r="M1605" s="8">
        <v>0.04</v>
      </c>
      <c r="N1605" s="8">
        <v>1.43</v>
      </c>
      <c r="O1605" s="6" t="s">
        <v>3938</v>
      </c>
    </row>
    <row r="1606" spans="1:36" ht="15" customHeight="1" x14ac:dyDescent="0.2">
      <c r="A1606" s="10" t="s">
        <v>3927</v>
      </c>
      <c r="B1606" s="10">
        <v>19481808</v>
      </c>
      <c r="C1606" s="12"/>
      <c r="D1606" s="11">
        <v>957190219</v>
      </c>
      <c r="E1606" s="8" t="str">
        <f>CONCATENATE(D1606,9)</f>
        <v>9571902199</v>
      </c>
      <c r="F1606" s="11" t="s">
        <v>3475</v>
      </c>
      <c r="G1606" s="11">
        <v>138.16</v>
      </c>
      <c r="H1606" s="11">
        <v>20250301</v>
      </c>
      <c r="I1606" s="8" t="str">
        <f t="shared" si="125"/>
        <v>3/1/2025</v>
      </c>
      <c r="J1606" s="11">
        <v>20241201</v>
      </c>
      <c r="K1606" s="8" t="str">
        <f t="shared" si="126"/>
        <v>12/1/2024</v>
      </c>
      <c r="L1606" s="11" t="s">
        <v>980</v>
      </c>
      <c r="M1606" s="11">
        <v>0.18</v>
      </c>
      <c r="N1606" s="11">
        <v>24.87</v>
      </c>
      <c r="O1606" s="6" t="s">
        <v>3944</v>
      </c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</row>
    <row r="1607" spans="1:36" ht="15" customHeight="1" x14ac:dyDescent="0.2">
      <c r="A1607" s="10" t="s">
        <v>3927</v>
      </c>
      <c r="B1607" s="10">
        <v>19481808</v>
      </c>
      <c r="C1607" s="11">
        <v>1</v>
      </c>
      <c r="D1607" s="11">
        <v>808538722</v>
      </c>
      <c r="E1607" s="8" t="str">
        <f>CONCATENATE(D1606,"PDP")</f>
        <v>957190219PDP</v>
      </c>
      <c r="F1607" s="11" t="s">
        <v>3471</v>
      </c>
      <c r="G1607" s="11">
        <v>10</v>
      </c>
      <c r="H1607" s="11">
        <v>20250401</v>
      </c>
      <c r="I1607" s="8" t="str">
        <f t="shared" si="125"/>
        <v>4/1/2025</v>
      </c>
      <c r="J1607" s="11">
        <v>20250301</v>
      </c>
      <c r="K1607" s="8" t="str">
        <f t="shared" si="126"/>
        <v>3/1/2025</v>
      </c>
      <c r="L1607" s="11" t="s">
        <v>669</v>
      </c>
      <c r="M1607" s="12"/>
      <c r="N1607" s="11">
        <v>10</v>
      </c>
      <c r="O1607" s="12" t="s">
        <v>3951</v>
      </c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</row>
    <row r="1608" spans="1:36" ht="15" customHeight="1" x14ac:dyDescent="0.2">
      <c r="A1608" s="7" t="s">
        <v>3932</v>
      </c>
      <c r="B1608" s="7">
        <v>20098658</v>
      </c>
      <c r="C1608" s="8">
        <v>1</v>
      </c>
      <c r="D1608" s="8">
        <v>920796493</v>
      </c>
      <c r="E1608" s="8" t="str">
        <f>CONCATENATE(D1608,33)</f>
        <v>92079649333</v>
      </c>
      <c r="F1608" s="8" t="s">
        <v>3566</v>
      </c>
      <c r="G1608" s="8">
        <v>1</v>
      </c>
      <c r="H1608" s="8">
        <v>20250401</v>
      </c>
      <c r="I1608" s="8" t="str">
        <f t="shared" si="125"/>
        <v>4/1/2025</v>
      </c>
      <c r="J1608" s="8">
        <v>20250101</v>
      </c>
      <c r="K1608" s="8" t="str">
        <f t="shared" si="126"/>
        <v>1/1/2025</v>
      </c>
      <c r="L1608" s="8" t="s">
        <v>198</v>
      </c>
      <c r="M1608" s="8">
        <v>20</v>
      </c>
      <c r="N1608" s="8">
        <v>20</v>
      </c>
      <c r="O1608" s="6" t="s">
        <v>3950</v>
      </c>
    </row>
    <row r="1609" spans="1:36" ht="15" customHeight="1" x14ac:dyDescent="0.2">
      <c r="A1609" s="7" t="s">
        <v>3932</v>
      </c>
      <c r="B1609" s="7">
        <v>20098658</v>
      </c>
      <c r="D1609" s="8">
        <v>921749359</v>
      </c>
      <c r="E1609" s="8" t="str">
        <f>CONCATENATE(1,D1609)</f>
        <v>1921749359</v>
      </c>
      <c r="F1609" s="8" t="s">
        <v>3569</v>
      </c>
      <c r="G1609" s="8">
        <v>15.33</v>
      </c>
      <c r="H1609" s="8">
        <v>20250401</v>
      </c>
      <c r="I1609" s="8" t="str">
        <f t="shared" si="125"/>
        <v>4/1/2025</v>
      </c>
      <c r="J1609" s="8">
        <v>20250101</v>
      </c>
      <c r="K1609" s="8" t="str">
        <f t="shared" si="126"/>
        <v>1/1/2025</v>
      </c>
      <c r="L1609" s="8" t="s">
        <v>116</v>
      </c>
      <c r="M1609" s="8">
        <v>0.06</v>
      </c>
      <c r="N1609" s="8">
        <v>0.92</v>
      </c>
      <c r="O1609" s="6" t="s">
        <v>3938</v>
      </c>
    </row>
    <row r="1610" spans="1:36" ht="15" customHeight="1" x14ac:dyDescent="0.2">
      <c r="A1610" s="7" t="s">
        <v>3917</v>
      </c>
      <c r="B1610" s="9">
        <v>371819</v>
      </c>
      <c r="C1610" s="8">
        <v>1</v>
      </c>
      <c r="D1610" s="8">
        <v>921779955</v>
      </c>
      <c r="E1610" s="8" t="str">
        <f>CONCATENATE(D1610,22)</f>
        <v>92177995522</v>
      </c>
      <c r="F1610" s="8" t="s">
        <v>3113</v>
      </c>
      <c r="G1610" s="8">
        <v>1</v>
      </c>
      <c r="H1610" s="8">
        <v>20250401</v>
      </c>
      <c r="I1610" s="8" t="str">
        <f t="shared" si="125"/>
        <v>4/1/2025</v>
      </c>
      <c r="J1610" s="8">
        <v>20250301</v>
      </c>
      <c r="K1610" s="8" t="str">
        <f t="shared" si="126"/>
        <v>3/1/2025</v>
      </c>
      <c r="L1610" s="8" t="s">
        <v>56</v>
      </c>
      <c r="M1610" s="8">
        <v>25</v>
      </c>
      <c r="N1610" s="8">
        <v>25</v>
      </c>
      <c r="O1610" s="6" t="s">
        <v>3947</v>
      </c>
    </row>
    <row r="1611" spans="1:36" ht="15" customHeight="1" x14ac:dyDescent="0.3">
      <c r="A1611" s="7" t="s">
        <v>3917</v>
      </c>
      <c r="B1611" s="9">
        <v>371819</v>
      </c>
      <c r="C1611" s="8">
        <v>1</v>
      </c>
      <c r="D1611" s="8">
        <v>921735115</v>
      </c>
      <c r="E1611" s="8" t="str">
        <f>CONCATENATE(D1611,44)</f>
        <v>92173511544</v>
      </c>
      <c r="F1611" s="8" t="s">
        <v>3111</v>
      </c>
      <c r="G1611" s="8">
        <v>1</v>
      </c>
      <c r="H1611" s="8">
        <v>20250401</v>
      </c>
      <c r="I1611" s="8" t="str">
        <f t="shared" si="125"/>
        <v>4/1/2025</v>
      </c>
      <c r="J1611" s="8">
        <v>20240901</v>
      </c>
      <c r="K1611" s="8" t="str">
        <f t="shared" si="126"/>
        <v>9/1/2024</v>
      </c>
      <c r="L1611" s="8" t="s">
        <v>65</v>
      </c>
      <c r="M1611" s="8">
        <v>30</v>
      </c>
      <c r="N1611" s="8">
        <v>30</v>
      </c>
      <c r="O1611" s="14" t="s">
        <v>3948</v>
      </c>
    </row>
    <row r="1612" spans="1:36" ht="15" customHeight="1" x14ac:dyDescent="0.2">
      <c r="A1612" s="7" t="s">
        <v>3896</v>
      </c>
      <c r="B1612" s="7">
        <v>18581063</v>
      </c>
      <c r="C1612" s="8">
        <v>1</v>
      </c>
      <c r="D1612" s="8">
        <v>890147974</v>
      </c>
      <c r="E1612" s="8" t="str">
        <f>CONCATENATE(D1612,22)</f>
        <v>89014797422</v>
      </c>
      <c r="F1612" s="8" t="s">
        <v>651</v>
      </c>
      <c r="G1612" s="8">
        <v>1</v>
      </c>
      <c r="H1612" s="8">
        <v>20250401</v>
      </c>
      <c r="I1612" s="8" t="str">
        <f t="shared" si="125"/>
        <v>4/1/2025</v>
      </c>
      <c r="J1612" s="8">
        <v>20200101</v>
      </c>
      <c r="K1612" s="8" t="str">
        <f t="shared" si="126"/>
        <v>1/1/2020</v>
      </c>
      <c r="L1612" s="8" t="s">
        <v>56</v>
      </c>
      <c r="M1612" s="8">
        <v>20</v>
      </c>
      <c r="N1612" s="8">
        <v>20</v>
      </c>
      <c r="O1612" s="6" t="s">
        <v>3947</v>
      </c>
    </row>
    <row r="1613" spans="1:36" ht="15" customHeight="1" x14ac:dyDescent="0.2">
      <c r="A1613" s="7" t="s">
        <v>3896</v>
      </c>
      <c r="B1613" s="7">
        <v>18581063</v>
      </c>
      <c r="C1613" s="8">
        <v>1</v>
      </c>
      <c r="D1613" s="8">
        <v>921708287</v>
      </c>
      <c r="E1613" s="8" t="str">
        <f>CONCATENATE(D1613,22)</f>
        <v>92170828722</v>
      </c>
      <c r="F1613" s="8" t="s">
        <v>660</v>
      </c>
      <c r="G1613" s="8">
        <v>1</v>
      </c>
      <c r="H1613" s="8">
        <v>20250401</v>
      </c>
      <c r="I1613" s="8" t="str">
        <f t="shared" si="125"/>
        <v>4/1/2025</v>
      </c>
      <c r="J1613" s="8">
        <v>20240201</v>
      </c>
      <c r="K1613" s="8" t="str">
        <f t="shared" si="126"/>
        <v>2/1/2024</v>
      </c>
      <c r="L1613" s="8" t="s">
        <v>56</v>
      </c>
      <c r="M1613" s="8">
        <v>20</v>
      </c>
      <c r="N1613" s="8">
        <v>20</v>
      </c>
      <c r="O1613" s="6" t="s">
        <v>3947</v>
      </c>
    </row>
    <row r="1614" spans="1:36" ht="15" customHeight="1" x14ac:dyDescent="0.2">
      <c r="A1614" s="7" t="s">
        <v>3896</v>
      </c>
      <c r="B1614" s="7">
        <v>18581063</v>
      </c>
      <c r="C1614" s="8">
        <v>4</v>
      </c>
      <c r="D1614" s="8">
        <v>921487022</v>
      </c>
      <c r="E1614" s="8" t="str">
        <f>CONCATENATE(D1614,22)</f>
        <v>92148702222</v>
      </c>
      <c r="F1614" s="8" t="s">
        <v>653</v>
      </c>
      <c r="G1614" s="8">
        <v>1</v>
      </c>
      <c r="H1614" s="8">
        <v>20250401</v>
      </c>
      <c r="I1614" s="8" t="str">
        <f t="shared" si="125"/>
        <v>4/1/2025</v>
      </c>
      <c r="J1614" s="8">
        <v>20191101</v>
      </c>
      <c r="K1614" s="8" t="str">
        <f t="shared" si="126"/>
        <v>11/1/2019</v>
      </c>
      <c r="L1614" s="8" t="s">
        <v>56</v>
      </c>
      <c r="M1614" s="8">
        <v>20</v>
      </c>
      <c r="N1614" s="8">
        <v>80</v>
      </c>
      <c r="O1614" s="6" t="s">
        <v>3947</v>
      </c>
      <c r="P1614" s="6" t="s">
        <v>3954</v>
      </c>
    </row>
    <row r="1615" spans="1:36" ht="15" customHeight="1" x14ac:dyDescent="0.2">
      <c r="A1615" s="7" t="s">
        <v>3896</v>
      </c>
      <c r="B1615" s="7">
        <v>18581063</v>
      </c>
      <c r="C1615" s="8">
        <v>4</v>
      </c>
      <c r="D1615" s="8">
        <v>921487022</v>
      </c>
      <c r="E1615" s="8" t="str">
        <f>CONCATENATE(D1615,22)</f>
        <v>92148702222</v>
      </c>
      <c r="F1615" s="8" t="s">
        <v>653</v>
      </c>
      <c r="G1615" s="8">
        <v>1</v>
      </c>
      <c r="H1615" s="8">
        <v>20250301</v>
      </c>
      <c r="I1615" s="8" t="str">
        <f t="shared" si="125"/>
        <v>3/1/2025</v>
      </c>
      <c r="J1615" s="8">
        <v>20191101</v>
      </c>
      <c r="K1615" s="8" t="str">
        <f t="shared" si="126"/>
        <v>11/1/2019</v>
      </c>
      <c r="L1615" s="8" t="s">
        <v>56</v>
      </c>
      <c r="M1615" s="8">
        <v>20</v>
      </c>
      <c r="N1615" s="8">
        <v>80</v>
      </c>
      <c r="O1615" s="6" t="s">
        <v>3947</v>
      </c>
      <c r="P1615" s="6" t="s">
        <v>3954</v>
      </c>
    </row>
    <row r="1616" spans="1:36" ht="15" customHeight="1" x14ac:dyDescent="0.2">
      <c r="A1616" s="7" t="s">
        <v>3896</v>
      </c>
      <c r="B1616" s="7">
        <v>18581063</v>
      </c>
      <c r="C1616" s="8">
        <v>4</v>
      </c>
      <c r="D1616" s="8">
        <v>921774098</v>
      </c>
      <c r="E1616" s="8" t="str">
        <f>CONCATENATE(D1616,33)</f>
        <v>92177409833</v>
      </c>
      <c r="F1616" s="8" t="s">
        <v>663</v>
      </c>
      <c r="G1616" s="8">
        <v>1</v>
      </c>
      <c r="H1616" s="8">
        <v>20250401</v>
      </c>
      <c r="I1616" s="8" t="str">
        <f t="shared" si="125"/>
        <v>4/1/2025</v>
      </c>
      <c r="J1616" s="8">
        <v>20250201</v>
      </c>
      <c r="K1616" s="8" t="str">
        <f t="shared" si="126"/>
        <v>2/1/2025</v>
      </c>
      <c r="L1616" s="8" t="s">
        <v>198</v>
      </c>
      <c r="M1616" s="8">
        <v>20</v>
      </c>
      <c r="N1616" s="8">
        <v>80</v>
      </c>
      <c r="O1616" s="6" t="s">
        <v>3950</v>
      </c>
      <c r="P1616" s="6" t="s">
        <v>3954</v>
      </c>
    </row>
    <row r="1617" spans="1:16" ht="15" customHeight="1" x14ac:dyDescent="0.2">
      <c r="A1617" s="7" t="s">
        <v>3896</v>
      </c>
      <c r="B1617" s="7">
        <v>18581063</v>
      </c>
      <c r="C1617" s="8">
        <v>2</v>
      </c>
      <c r="D1617" s="8">
        <v>921635724</v>
      </c>
      <c r="E1617" s="8" t="str">
        <f>CONCATENATE(D1617,55)</f>
        <v>92163572455</v>
      </c>
      <c r="F1617" s="8" t="s">
        <v>658</v>
      </c>
      <c r="G1617" s="8">
        <v>1</v>
      </c>
      <c r="H1617" s="8">
        <v>20250301</v>
      </c>
      <c r="I1617" s="8" t="str">
        <f t="shared" si="125"/>
        <v>3/1/2025</v>
      </c>
      <c r="J1617" s="8">
        <v>20230101</v>
      </c>
      <c r="K1617" s="8" t="str">
        <f t="shared" si="126"/>
        <v>1/1/2023</v>
      </c>
      <c r="L1617" s="8" t="s">
        <v>138</v>
      </c>
      <c r="M1617" s="8">
        <v>20</v>
      </c>
      <c r="N1617" s="8">
        <v>40</v>
      </c>
      <c r="O1617" s="6" t="s">
        <v>3946</v>
      </c>
      <c r="P1617" s="6" t="s">
        <v>3952</v>
      </c>
    </row>
    <row r="1618" spans="1:16" ht="15" customHeight="1" x14ac:dyDescent="0.2">
      <c r="A1618" s="7" t="s">
        <v>3896</v>
      </c>
      <c r="B1618" s="7">
        <v>18581063</v>
      </c>
      <c r="C1618" s="8">
        <v>2</v>
      </c>
      <c r="D1618" s="8">
        <v>921635724</v>
      </c>
      <c r="E1618" s="8" t="str">
        <f>CONCATENATE(D1618,55)</f>
        <v>92163572455</v>
      </c>
      <c r="F1618" s="8" t="s">
        <v>658</v>
      </c>
      <c r="G1618" s="8">
        <v>1</v>
      </c>
      <c r="H1618" s="8">
        <v>20250201</v>
      </c>
      <c r="I1618" s="8" t="str">
        <f t="shared" si="125"/>
        <v>2/1/2025</v>
      </c>
      <c r="J1618" s="8">
        <v>20230101</v>
      </c>
      <c r="K1618" s="8" t="str">
        <f t="shared" si="126"/>
        <v>1/1/2023</v>
      </c>
      <c r="L1618" s="8" t="s">
        <v>138</v>
      </c>
      <c r="M1618" s="8">
        <v>20</v>
      </c>
      <c r="N1618" s="8">
        <v>40</v>
      </c>
      <c r="O1618" s="6" t="s">
        <v>3946</v>
      </c>
      <c r="P1618" s="6" t="s">
        <v>3952</v>
      </c>
    </row>
    <row r="1619" spans="1:16" ht="15" customHeight="1" x14ac:dyDescent="0.2">
      <c r="A1619" s="7" t="s">
        <v>3919</v>
      </c>
      <c r="B1619" s="7">
        <v>20490188</v>
      </c>
      <c r="C1619" s="8">
        <v>1</v>
      </c>
      <c r="D1619" s="8">
        <v>921625956</v>
      </c>
      <c r="E1619" s="8" t="str">
        <f t="shared" ref="E1619:E1630" si="127">CONCATENATE(D1619,22)</f>
        <v>92162595622</v>
      </c>
      <c r="F1619" s="8" t="s">
        <v>3155</v>
      </c>
      <c r="G1619" s="8">
        <v>1</v>
      </c>
      <c r="H1619" s="8">
        <v>20250401</v>
      </c>
      <c r="I1619" s="8" t="str">
        <f t="shared" si="125"/>
        <v>4/1/2025</v>
      </c>
      <c r="J1619" s="8">
        <v>20221101</v>
      </c>
      <c r="K1619" s="8" t="str">
        <f t="shared" si="126"/>
        <v>11/1/2022</v>
      </c>
      <c r="L1619" s="8" t="s">
        <v>56</v>
      </c>
      <c r="M1619" s="8">
        <v>20</v>
      </c>
      <c r="N1619" s="8">
        <v>20</v>
      </c>
      <c r="O1619" s="6" t="s">
        <v>3947</v>
      </c>
    </row>
    <row r="1620" spans="1:16" ht="15" customHeight="1" x14ac:dyDescent="0.2">
      <c r="A1620" s="7" t="s">
        <v>3919</v>
      </c>
      <c r="B1620" s="7">
        <v>20490188</v>
      </c>
      <c r="C1620" s="8">
        <v>1</v>
      </c>
      <c r="D1620" s="8">
        <v>921654944</v>
      </c>
      <c r="E1620" s="8" t="str">
        <f t="shared" si="127"/>
        <v>92165494422</v>
      </c>
      <c r="F1620" s="8" t="s">
        <v>3157</v>
      </c>
      <c r="G1620" s="8">
        <v>1</v>
      </c>
      <c r="H1620" s="8">
        <v>20250401</v>
      </c>
      <c r="I1620" s="8" t="str">
        <f t="shared" si="125"/>
        <v>4/1/2025</v>
      </c>
      <c r="J1620" s="8">
        <v>20230401</v>
      </c>
      <c r="K1620" s="8" t="str">
        <f t="shared" si="126"/>
        <v>4/1/2023</v>
      </c>
      <c r="L1620" s="8" t="s">
        <v>56</v>
      </c>
      <c r="M1620" s="8">
        <v>20</v>
      </c>
      <c r="N1620" s="8">
        <v>20</v>
      </c>
      <c r="O1620" s="6" t="s">
        <v>3947</v>
      </c>
    </row>
    <row r="1621" spans="1:16" ht="15" customHeight="1" x14ac:dyDescent="0.2">
      <c r="A1621" s="7" t="s">
        <v>3919</v>
      </c>
      <c r="B1621" s="7">
        <v>20490188</v>
      </c>
      <c r="C1621" s="8">
        <v>1</v>
      </c>
      <c r="D1621" s="8">
        <v>921685986</v>
      </c>
      <c r="E1621" s="8" t="str">
        <f t="shared" si="127"/>
        <v>92168598622</v>
      </c>
      <c r="F1621" s="8" t="s">
        <v>3159</v>
      </c>
      <c r="G1621" s="8">
        <v>1</v>
      </c>
      <c r="H1621" s="8">
        <v>20250401</v>
      </c>
      <c r="I1621" s="8" t="str">
        <f t="shared" si="125"/>
        <v>4/1/2025</v>
      </c>
      <c r="J1621" s="8">
        <v>20240101</v>
      </c>
      <c r="K1621" s="8" t="str">
        <f t="shared" si="126"/>
        <v>1/1/2024</v>
      </c>
      <c r="L1621" s="8" t="s">
        <v>56</v>
      </c>
      <c r="M1621" s="8">
        <v>20</v>
      </c>
      <c r="N1621" s="8">
        <v>20</v>
      </c>
      <c r="O1621" s="6" t="s">
        <v>3947</v>
      </c>
    </row>
    <row r="1622" spans="1:16" ht="15" customHeight="1" x14ac:dyDescent="0.2">
      <c r="A1622" s="7" t="s">
        <v>3919</v>
      </c>
      <c r="B1622" s="7">
        <v>20490188</v>
      </c>
      <c r="C1622" s="8">
        <v>1</v>
      </c>
      <c r="D1622" s="8">
        <v>921704033</v>
      </c>
      <c r="E1622" s="8" t="str">
        <f t="shared" si="127"/>
        <v>92170403322</v>
      </c>
      <c r="F1622" s="8" t="s">
        <v>3161</v>
      </c>
      <c r="G1622" s="8">
        <v>1</v>
      </c>
      <c r="H1622" s="8">
        <v>20250401</v>
      </c>
      <c r="I1622" s="8" t="str">
        <f t="shared" si="125"/>
        <v>4/1/2025</v>
      </c>
      <c r="J1622" s="8">
        <v>20240101</v>
      </c>
      <c r="K1622" s="8" t="str">
        <f t="shared" si="126"/>
        <v>1/1/2024</v>
      </c>
      <c r="L1622" s="8" t="s">
        <v>56</v>
      </c>
      <c r="M1622" s="8">
        <v>20</v>
      </c>
      <c r="N1622" s="8">
        <v>20</v>
      </c>
      <c r="O1622" s="6" t="s">
        <v>3947</v>
      </c>
    </row>
    <row r="1623" spans="1:16" ht="15" customHeight="1" x14ac:dyDescent="0.2">
      <c r="A1623" s="7" t="s">
        <v>3919</v>
      </c>
      <c r="B1623" s="7">
        <v>20490188</v>
      </c>
      <c r="C1623" s="8">
        <v>1</v>
      </c>
      <c r="D1623" s="8">
        <v>890314576</v>
      </c>
      <c r="E1623" s="8" t="str">
        <f t="shared" si="127"/>
        <v>89031457622</v>
      </c>
      <c r="F1623" s="8" t="s">
        <v>3143</v>
      </c>
      <c r="G1623" s="8">
        <v>1</v>
      </c>
      <c r="H1623" s="8">
        <v>20250401</v>
      </c>
      <c r="I1623" s="8" t="str">
        <f t="shared" si="125"/>
        <v>4/1/2025</v>
      </c>
      <c r="J1623" s="8">
        <v>20250101</v>
      </c>
      <c r="K1623" s="8" t="str">
        <f t="shared" si="126"/>
        <v>1/1/2025</v>
      </c>
      <c r="L1623" s="8" t="s">
        <v>56</v>
      </c>
      <c r="M1623" s="8">
        <v>25</v>
      </c>
      <c r="N1623" s="8">
        <v>25</v>
      </c>
      <c r="O1623" s="6" t="s">
        <v>3947</v>
      </c>
    </row>
    <row r="1624" spans="1:16" ht="15" customHeight="1" x14ac:dyDescent="0.2">
      <c r="A1624" s="7" t="s">
        <v>3919</v>
      </c>
      <c r="B1624" s="7">
        <v>20490188</v>
      </c>
      <c r="C1624" s="8">
        <v>1</v>
      </c>
      <c r="D1624" s="8">
        <v>890646180</v>
      </c>
      <c r="E1624" s="8" t="str">
        <f t="shared" si="127"/>
        <v>89064618022</v>
      </c>
      <c r="F1624" s="8" t="s">
        <v>3145</v>
      </c>
      <c r="G1624" s="8">
        <v>1</v>
      </c>
      <c r="H1624" s="8">
        <v>20250401</v>
      </c>
      <c r="I1624" s="8" t="str">
        <f t="shared" si="125"/>
        <v>4/1/2025</v>
      </c>
      <c r="J1624" s="8">
        <v>20240601</v>
      </c>
      <c r="K1624" s="8" t="str">
        <f t="shared" si="126"/>
        <v>6/1/2024</v>
      </c>
      <c r="L1624" s="8" t="s">
        <v>56</v>
      </c>
      <c r="M1624" s="8">
        <v>25</v>
      </c>
      <c r="N1624" s="8">
        <v>25</v>
      </c>
      <c r="O1624" s="6" t="s">
        <v>3947</v>
      </c>
    </row>
    <row r="1625" spans="1:16" ht="15" customHeight="1" x14ac:dyDescent="0.2">
      <c r="A1625" s="7" t="s">
        <v>3919</v>
      </c>
      <c r="B1625" s="7">
        <v>20490188</v>
      </c>
      <c r="C1625" s="8">
        <v>1</v>
      </c>
      <c r="D1625" s="8">
        <v>921502568</v>
      </c>
      <c r="E1625" s="8" t="str">
        <f t="shared" si="127"/>
        <v>92150256822</v>
      </c>
      <c r="F1625" s="8" t="s">
        <v>3151</v>
      </c>
      <c r="G1625" s="8">
        <v>1</v>
      </c>
      <c r="H1625" s="8">
        <v>20250401</v>
      </c>
      <c r="I1625" s="8" t="str">
        <f t="shared" si="125"/>
        <v>4/1/2025</v>
      </c>
      <c r="J1625" s="8">
        <v>20250101</v>
      </c>
      <c r="K1625" s="8" t="str">
        <f t="shared" si="126"/>
        <v>1/1/2025</v>
      </c>
      <c r="L1625" s="8" t="s">
        <v>56</v>
      </c>
      <c r="M1625" s="8">
        <v>25</v>
      </c>
      <c r="N1625" s="8">
        <v>25</v>
      </c>
      <c r="O1625" s="6" t="s">
        <v>3947</v>
      </c>
    </row>
    <row r="1626" spans="1:16" ht="15" customHeight="1" x14ac:dyDescent="0.2">
      <c r="A1626" s="7" t="s">
        <v>3919</v>
      </c>
      <c r="B1626" s="7">
        <v>20490188</v>
      </c>
      <c r="C1626" s="8">
        <v>1</v>
      </c>
      <c r="D1626" s="8">
        <v>921737642</v>
      </c>
      <c r="E1626" s="8" t="str">
        <f t="shared" si="127"/>
        <v>92173764222</v>
      </c>
      <c r="F1626" s="8" t="s">
        <v>3163</v>
      </c>
      <c r="G1626" s="8">
        <v>1</v>
      </c>
      <c r="H1626" s="8">
        <v>20250401</v>
      </c>
      <c r="I1626" s="8" t="str">
        <f t="shared" si="125"/>
        <v>4/1/2025</v>
      </c>
      <c r="J1626" s="8">
        <v>20240901</v>
      </c>
      <c r="K1626" s="8" t="str">
        <f t="shared" si="126"/>
        <v>9/1/2024</v>
      </c>
      <c r="L1626" s="8" t="s">
        <v>56</v>
      </c>
      <c r="M1626" s="8">
        <v>25</v>
      </c>
      <c r="N1626" s="8">
        <v>25</v>
      </c>
      <c r="O1626" s="6" t="s">
        <v>3947</v>
      </c>
    </row>
    <row r="1627" spans="1:16" ht="15" customHeight="1" x14ac:dyDescent="0.2">
      <c r="A1627" s="7" t="s">
        <v>3919</v>
      </c>
      <c r="B1627" s="7">
        <v>20490188</v>
      </c>
      <c r="C1627" s="8">
        <v>1</v>
      </c>
      <c r="D1627" s="8">
        <v>921759989</v>
      </c>
      <c r="E1627" s="8" t="str">
        <f t="shared" si="127"/>
        <v>92175998922</v>
      </c>
      <c r="F1627" s="8" t="s">
        <v>3165</v>
      </c>
      <c r="G1627" s="8">
        <v>1</v>
      </c>
      <c r="H1627" s="8">
        <v>20250401</v>
      </c>
      <c r="I1627" s="8" t="str">
        <f t="shared" si="125"/>
        <v>4/1/2025</v>
      </c>
      <c r="J1627" s="8">
        <v>20250101</v>
      </c>
      <c r="K1627" s="8" t="str">
        <f t="shared" si="126"/>
        <v>1/1/2025</v>
      </c>
      <c r="L1627" s="8" t="s">
        <v>56</v>
      </c>
      <c r="M1627" s="8">
        <v>25</v>
      </c>
      <c r="N1627" s="8">
        <v>25</v>
      </c>
      <c r="O1627" s="6" t="s">
        <v>3947</v>
      </c>
    </row>
    <row r="1628" spans="1:16" ht="15" customHeight="1" x14ac:dyDescent="0.2">
      <c r="A1628" s="7" t="s">
        <v>3919</v>
      </c>
      <c r="B1628" s="7">
        <v>20490188</v>
      </c>
      <c r="C1628" s="8">
        <v>1</v>
      </c>
      <c r="D1628" s="8">
        <v>921761471</v>
      </c>
      <c r="E1628" s="8" t="str">
        <f t="shared" si="127"/>
        <v>92176147122</v>
      </c>
      <c r="F1628" s="8" t="s">
        <v>3167</v>
      </c>
      <c r="G1628" s="8">
        <v>1</v>
      </c>
      <c r="H1628" s="8">
        <v>20250401</v>
      </c>
      <c r="I1628" s="8" t="str">
        <f t="shared" si="125"/>
        <v>4/1/2025</v>
      </c>
      <c r="J1628" s="8">
        <v>20250101</v>
      </c>
      <c r="K1628" s="8" t="str">
        <f t="shared" si="126"/>
        <v>1/1/2025</v>
      </c>
      <c r="L1628" s="8" t="s">
        <v>56</v>
      </c>
      <c r="M1628" s="8">
        <v>25</v>
      </c>
      <c r="N1628" s="8">
        <v>25</v>
      </c>
      <c r="O1628" s="6" t="s">
        <v>3947</v>
      </c>
    </row>
    <row r="1629" spans="1:16" ht="15" customHeight="1" x14ac:dyDescent="0.2">
      <c r="A1629" s="7" t="s">
        <v>3919</v>
      </c>
      <c r="B1629" s="7">
        <v>20490188</v>
      </c>
      <c r="C1629" s="8">
        <v>3</v>
      </c>
      <c r="D1629" s="8">
        <v>921779534</v>
      </c>
      <c r="E1629" s="8" t="str">
        <f t="shared" si="127"/>
        <v>92177953422</v>
      </c>
      <c r="F1629" s="8" t="s">
        <v>3171</v>
      </c>
      <c r="G1629" s="8">
        <v>1</v>
      </c>
      <c r="H1629" s="8">
        <v>20250401</v>
      </c>
      <c r="I1629" s="8" t="str">
        <f t="shared" si="125"/>
        <v>4/1/2025</v>
      </c>
      <c r="J1629" s="8">
        <v>20250301</v>
      </c>
      <c r="K1629" s="8" t="str">
        <f t="shared" si="126"/>
        <v>3/1/2025</v>
      </c>
      <c r="L1629" s="8" t="s">
        <v>56</v>
      </c>
      <c r="M1629" s="8">
        <v>25</v>
      </c>
      <c r="N1629" s="8">
        <v>75</v>
      </c>
      <c r="O1629" s="6" t="s">
        <v>3947</v>
      </c>
      <c r="P1629" s="6" t="s">
        <v>3953</v>
      </c>
    </row>
    <row r="1630" spans="1:16" ht="15" customHeight="1" x14ac:dyDescent="0.2">
      <c r="A1630" s="7" t="s">
        <v>3919</v>
      </c>
      <c r="B1630" s="7">
        <v>20490188</v>
      </c>
      <c r="C1630" s="8">
        <v>4</v>
      </c>
      <c r="D1630" s="8">
        <v>921608884</v>
      </c>
      <c r="E1630" s="8" t="str">
        <f t="shared" si="127"/>
        <v>92160888422</v>
      </c>
      <c r="F1630" s="8" t="s">
        <v>3153</v>
      </c>
      <c r="G1630" s="8">
        <v>1</v>
      </c>
      <c r="H1630" s="8">
        <v>20250401</v>
      </c>
      <c r="I1630" s="8" t="str">
        <f t="shared" si="125"/>
        <v>4/1/2025</v>
      </c>
      <c r="J1630" s="8">
        <v>20250101</v>
      </c>
      <c r="K1630" s="8" t="str">
        <f t="shared" si="126"/>
        <v>1/1/2025</v>
      </c>
      <c r="L1630" s="8" t="s">
        <v>56</v>
      </c>
      <c r="M1630" s="8">
        <v>25</v>
      </c>
      <c r="N1630" s="8">
        <v>100</v>
      </c>
      <c r="O1630" s="6" t="s">
        <v>3947</v>
      </c>
      <c r="P1630" s="6" t="s">
        <v>3954</v>
      </c>
    </row>
    <row r="1631" spans="1:16" ht="15" customHeight="1" x14ac:dyDescent="0.2">
      <c r="A1631" s="7" t="s">
        <v>3919</v>
      </c>
      <c r="B1631" s="7">
        <v>20490188</v>
      </c>
      <c r="C1631" s="8">
        <v>1</v>
      </c>
      <c r="D1631" s="8">
        <v>921769734</v>
      </c>
      <c r="E1631" s="8" t="str">
        <f>CONCATENATE(D1631,33)</f>
        <v>92176973433</v>
      </c>
      <c r="F1631" s="8" t="s">
        <v>3169</v>
      </c>
      <c r="G1631" s="8">
        <v>1</v>
      </c>
      <c r="H1631" s="8">
        <v>20250401</v>
      </c>
      <c r="I1631" s="8" t="str">
        <f t="shared" si="125"/>
        <v>4/1/2025</v>
      </c>
      <c r="J1631" s="8">
        <v>20250201</v>
      </c>
      <c r="K1631" s="8" t="str">
        <f t="shared" si="126"/>
        <v>2/1/2025</v>
      </c>
      <c r="L1631" s="8" t="s">
        <v>198</v>
      </c>
      <c r="M1631" s="8">
        <v>20</v>
      </c>
      <c r="N1631" s="8">
        <v>20</v>
      </c>
      <c r="O1631" s="6" t="s">
        <v>3950</v>
      </c>
    </row>
    <row r="1632" spans="1:16" ht="15" customHeight="1" x14ac:dyDescent="0.2">
      <c r="A1632" s="7" t="s">
        <v>3919</v>
      </c>
      <c r="B1632" s="7">
        <v>20490188</v>
      </c>
      <c r="D1632" s="8">
        <v>957181120</v>
      </c>
      <c r="E1632" s="8" t="str">
        <f t="shared" ref="E1632:E1637" si="128">CONCATENATE(D1632,7)</f>
        <v>9571811207</v>
      </c>
      <c r="F1632" s="8" t="s">
        <v>3177</v>
      </c>
      <c r="G1632" s="8">
        <v>129.53</v>
      </c>
      <c r="H1632" s="8">
        <v>20250301</v>
      </c>
      <c r="I1632" s="8" t="str">
        <f t="shared" si="125"/>
        <v>3/1/2025</v>
      </c>
      <c r="J1632" s="8">
        <v>20240801</v>
      </c>
      <c r="K1632" s="8" t="str">
        <f t="shared" si="126"/>
        <v>8/1/2024</v>
      </c>
      <c r="L1632" s="8" t="s">
        <v>398</v>
      </c>
      <c r="M1632" s="8">
        <v>0.1</v>
      </c>
      <c r="N1632" s="8">
        <v>12.95</v>
      </c>
      <c r="O1632" s="6" t="s">
        <v>3942</v>
      </c>
    </row>
    <row r="1633" spans="1:37" ht="15" customHeight="1" x14ac:dyDescent="0.2">
      <c r="A1633" s="7" t="s">
        <v>3919</v>
      </c>
      <c r="B1633" s="7">
        <v>20490188</v>
      </c>
      <c r="D1633" s="8">
        <v>957181187</v>
      </c>
      <c r="E1633" s="8" t="str">
        <f t="shared" si="128"/>
        <v>9571811877</v>
      </c>
      <c r="F1633" s="8" t="s">
        <v>3179</v>
      </c>
      <c r="G1633" s="8">
        <v>136.88999999999999</v>
      </c>
      <c r="H1633" s="8">
        <v>20250301</v>
      </c>
      <c r="I1633" s="8" t="str">
        <f t="shared" si="125"/>
        <v>3/1/2025</v>
      </c>
      <c r="J1633" s="8">
        <v>20240901</v>
      </c>
      <c r="K1633" s="8" t="str">
        <f t="shared" si="126"/>
        <v>9/1/2024</v>
      </c>
      <c r="L1633" s="8" t="s">
        <v>398</v>
      </c>
      <c r="M1633" s="8">
        <v>0.1</v>
      </c>
      <c r="N1633" s="8">
        <v>13.69</v>
      </c>
      <c r="O1633" s="6" t="s">
        <v>3942</v>
      </c>
    </row>
    <row r="1634" spans="1:37" ht="15" customHeight="1" x14ac:dyDescent="0.2">
      <c r="A1634" s="7" t="s">
        <v>3919</v>
      </c>
      <c r="B1634" s="7">
        <v>20490188</v>
      </c>
      <c r="D1634" s="8">
        <v>957191991</v>
      </c>
      <c r="E1634" s="8" t="str">
        <f t="shared" si="128"/>
        <v>9571919917</v>
      </c>
      <c r="F1634" s="8" t="s">
        <v>3181</v>
      </c>
      <c r="G1634" s="8">
        <v>136.88999999999999</v>
      </c>
      <c r="H1634" s="8">
        <v>20250401</v>
      </c>
      <c r="I1634" s="8" t="str">
        <f t="shared" si="125"/>
        <v>4/1/2025</v>
      </c>
      <c r="J1634" s="8">
        <v>20241201</v>
      </c>
      <c r="K1634" s="8" t="str">
        <f t="shared" si="126"/>
        <v>12/1/2024</v>
      </c>
      <c r="L1634" s="8" t="s">
        <v>398</v>
      </c>
      <c r="M1634" s="8">
        <v>0.1</v>
      </c>
      <c r="N1634" s="8">
        <v>13.69</v>
      </c>
      <c r="O1634" s="6" t="s">
        <v>3942</v>
      </c>
    </row>
    <row r="1635" spans="1:37" ht="15" customHeight="1" x14ac:dyDescent="0.2">
      <c r="A1635" s="7" t="s">
        <v>3919</v>
      </c>
      <c r="B1635" s="7">
        <v>20490188</v>
      </c>
      <c r="D1635" s="8">
        <v>957181119</v>
      </c>
      <c r="E1635" s="8" t="str">
        <f t="shared" si="128"/>
        <v>9571811197</v>
      </c>
      <c r="F1635" s="8" t="s">
        <v>3173</v>
      </c>
      <c r="G1635" s="8">
        <v>149.84</v>
      </c>
      <c r="H1635" s="8">
        <v>20250301</v>
      </c>
      <c r="I1635" s="8" t="str">
        <f t="shared" si="125"/>
        <v>3/1/2025</v>
      </c>
      <c r="J1635" s="8">
        <v>20240801</v>
      </c>
      <c r="K1635" s="8" t="str">
        <f t="shared" si="126"/>
        <v>8/1/2024</v>
      </c>
      <c r="L1635" s="8" t="s">
        <v>398</v>
      </c>
      <c r="M1635" s="8">
        <v>0.1</v>
      </c>
      <c r="N1635" s="8">
        <v>14.98</v>
      </c>
      <c r="O1635" s="6" t="s">
        <v>3942</v>
      </c>
    </row>
    <row r="1636" spans="1:37" ht="15" customHeight="1" x14ac:dyDescent="0.2">
      <c r="A1636" s="7" t="s">
        <v>3919</v>
      </c>
      <c r="B1636" s="7">
        <v>20490188</v>
      </c>
      <c r="D1636" s="8">
        <v>957206187</v>
      </c>
      <c r="E1636" s="8" t="str">
        <f t="shared" si="128"/>
        <v>9572061877</v>
      </c>
      <c r="F1636" s="8" t="s">
        <v>3183</v>
      </c>
      <c r="G1636" s="8">
        <v>170.27</v>
      </c>
      <c r="H1636" s="8">
        <v>20250323</v>
      </c>
      <c r="I1636" s="8" t="str">
        <f t="shared" si="125"/>
        <v>3/23/2025</v>
      </c>
      <c r="J1636" s="8">
        <v>20250123</v>
      </c>
      <c r="K1636" s="8" t="str">
        <f t="shared" si="126"/>
        <v>1/23/2025</v>
      </c>
      <c r="L1636" s="8" t="s">
        <v>398</v>
      </c>
      <c r="M1636" s="8">
        <v>0.1</v>
      </c>
      <c r="N1636" s="8">
        <v>17.03</v>
      </c>
      <c r="O1636" s="6" t="s">
        <v>3942</v>
      </c>
    </row>
    <row r="1637" spans="1:37" ht="15" customHeight="1" x14ac:dyDescent="0.2">
      <c r="A1637" s="7" t="s">
        <v>3919</v>
      </c>
      <c r="B1637" s="7">
        <v>20490188</v>
      </c>
      <c r="D1637" s="8">
        <v>957206187</v>
      </c>
      <c r="E1637" s="8" t="str">
        <f t="shared" si="128"/>
        <v>9572061877</v>
      </c>
      <c r="F1637" s="8" t="s">
        <v>3183</v>
      </c>
      <c r="G1637" s="8">
        <v>170.27</v>
      </c>
      <c r="H1637" s="8">
        <v>20250223</v>
      </c>
      <c r="I1637" s="8" t="str">
        <f t="shared" si="125"/>
        <v>2/23/2025</v>
      </c>
      <c r="J1637" s="8">
        <v>20250123</v>
      </c>
      <c r="K1637" s="8" t="str">
        <f t="shared" si="126"/>
        <v>1/23/2025</v>
      </c>
      <c r="L1637" s="8" t="s">
        <v>398</v>
      </c>
      <c r="M1637" s="8">
        <v>0.1</v>
      </c>
      <c r="N1637" s="8">
        <v>17.03</v>
      </c>
      <c r="O1637" s="6" t="s">
        <v>3942</v>
      </c>
    </row>
    <row r="1638" spans="1:37" ht="15" customHeight="1" x14ac:dyDescent="0.2">
      <c r="A1638" s="10" t="s">
        <v>3928</v>
      </c>
      <c r="B1638" s="10">
        <v>21283956</v>
      </c>
      <c r="C1638" s="11">
        <v>1</v>
      </c>
      <c r="D1638" s="11">
        <v>921778758</v>
      </c>
      <c r="E1638" s="8" t="str">
        <f>CONCATENATE(D1638,22)</f>
        <v>92177875822</v>
      </c>
      <c r="F1638" s="11" t="s">
        <v>3495</v>
      </c>
      <c r="G1638" s="8">
        <v>1</v>
      </c>
      <c r="H1638" s="11">
        <v>20250401</v>
      </c>
      <c r="I1638" s="8" t="str">
        <f t="shared" si="125"/>
        <v>4/1/2025</v>
      </c>
      <c r="J1638" s="11">
        <v>20250301</v>
      </c>
      <c r="K1638" s="8" t="str">
        <f t="shared" si="126"/>
        <v>3/1/2025</v>
      </c>
      <c r="L1638" s="11" t="s">
        <v>56</v>
      </c>
      <c r="M1638" s="11">
        <v>25</v>
      </c>
      <c r="N1638" s="11">
        <v>25</v>
      </c>
      <c r="O1638" s="6" t="s">
        <v>3947</v>
      </c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</row>
    <row r="1639" spans="1:37" ht="15" customHeight="1" x14ac:dyDescent="0.2">
      <c r="A1639" s="10" t="s">
        <v>3928</v>
      </c>
      <c r="B1639" s="10">
        <v>21283956</v>
      </c>
      <c r="C1639" s="11">
        <v>1</v>
      </c>
      <c r="D1639" s="11">
        <v>921617380</v>
      </c>
      <c r="E1639" s="8" t="str">
        <f>CONCATENATE(D1639,33)</f>
        <v>92161738033</v>
      </c>
      <c r="F1639" s="11" t="s">
        <v>3478</v>
      </c>
      <c r="G1639" s="8">
        <v>1</v>
      </c>
      <c r="H1639" s="11">
        <v>20250401</v>
      </c>
      <c r="I1639" s="8" t="str">
        <f t="shared" si="125"/>
        <v>4/1/2025</v>
      </c>
      <c r="J1639" s="11">
        <v>20220701</v>
      </c>
      <c r="K1639" s="8" t="str">
        <f t="shared" si="126"/>
        <v>7/1/2022</v>
      </c>
      <c r="L1639" s="11" t="s">
        <v>198</v>
      </c>
      <c r="M1639" s="11">
        <v>15</v>
      </c>
      <c r="N1639" s="11">
        <v>15</v>
      </c>
      <c r="O1639" s="6" t="s">
        <v>3950</v>
      </c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</row>
    <row r="1640" spans="1:37" ht="15" customHeight="1" x14ac:dyDescent="0.2">
      <c r="A1640" s="10" t="s">
        <v>3928</v>
      </c>
      <c r="B1640" s="10">
        <v>21283956</v>
      </c>
      <c r="C1640" s="11">
        <v>1</v>
      </c>
      <c r="D1640" s="11">
        <v>921743474</v>
      </c>
      <c r="E1640" s="8" t="str">
        <f>CONCATENATE(D1640,33)</f>
        <v>92174347433</v>
      </c>
      <c r="F1640" s="11" t="s">
        <v>3487</v>
      </c>
      <c r="G1640" s="8">
        <v>1</v>
      </c>
      <c r="H1640" s="11">
        <v>20250401</v>
      </c>
      <c r="I1640" s="8" t="str">
        <f t="shared" si="125"/>
        <v>4/1/2025</v>
      </c>
      <c r="J1640" s="11">
        <v>20241101</v>
      </c>
      <c r="K1640" s="8" t="str">
        <f t="shared" si="126"/>
        <v>11/1/2024</v>
      </c>
      <c r="L1640" s="11" t="s">
        <v>198</v>
      </c>
      <c r="M1640" s="11">
        <v>20</v>
      </c>
      <c r="N1640" s="11">
        <v>20</v>
      </c>
      <c r="O1640" s="6" t="s">
        <v>3950</v>
      </c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</row>
    <row r="1641" spans="1:37" ht="15" customHeight="1" x14ac:dyDescent="0.2">
      <c r="A1641" s="10" t="s">
        <v>3928</v>
      </c>
      <c r="B1641" s="10">
        <v>21283956</v>
      </c>
      <c r="C1641" s="11">
        <v>1</v>
      </c>
      <c r="D1641" s="11">
        <v>921765929</v>
      </c>
      <c r="E1641" s="8" t="str">
        <f>CONCATENATE(D1641,33)</f>
        <v>92176592933</v>
      </c>
      <c r="F1641" s="11" t="s">
        <v>3493</v>
      </c>
      <c r="G1641" s="8">
        <v>1</v>
      </c>
      <c r="H1641" s="11">
        <v>20250401</v>
      </c>
      <c r="I1641" s="8" t="str">
        <f t="shared" si="125"/>
        <v>4/1/2025</v>
      </c>
      <c r="J1641" s="11">
        <v>20250101</v>
      </c>
      <c r="K1641" s="8" t="str">
        <f t="shared" si="126"/>
        <v>1/1/2025</v>
      </c>
      <c r="L1641" s="11" t="s">
        <v>198</v>
      </c>
      <c r="M1641" s="11">
        <v>20</v>
      </c>
      <c r="N1641" s="11">
        <v>20</v>
      </c>
      <c r="O1641" s="6" t="s">
        <v>3950</v>
      </c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</row>
    <row r="1642" spans="1:37" ht="15" customHeight="1" x14ac:dyDescent="0.3">
      <c r="A1642" s="10" t="s">
        <v>3928</v>
      </c>
      <c r="B1642" s="10">
        <v>21283956</v>
      </c>
      <c r="C1642" s="11">
        <v>1</v>
      </c>
      <c r="D1642" s="11">
        <v>921724104</v>
      </c>
      <c r="E1642" s="8" t="str">
        <f>CONCATENATE(D1642,44)</f>
        <v>92172410444</v>
      </c>
      <c r="F1642" s="11" t="s">
        <v>3483</v>
      </c>
      <c r="G1642" s="8">
        <v>1</v>
      </c>
      <c r="H1642" s="11">
        <v>20250401</v>
      </c>
      <c r="I1642" s="8" t="str">
        <f t="shared" si="125"/>
        <v>4/1/2025</v>
      </c>
      <c r="J1642" s="11">
        <v>20240501</v>
      </c>
      <c r="K1642" s="8" t="str">
        <f t="shared" si="126"/>
        <v>5/1/2024</v>
      </c>
      <c r="L1642" s="11" t="s">
        <v>65</v>
      </c>
      <c r="M1642" s="11">
        <v>30</v>
      </c>
      <c r="N1642" s="11">
        <v>30</v>
      </c>
      <c r="O1642" s="14" t="s">
        <v>3948</v>
      </c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</row>
    <row r="1643" spans="1:37" ht="15" customHeight="1" x14ac:dyDescent="0.3">
      <c r="A1643" s="10" t="s">
        <v>3928</v>
      </c>
      <c r="B1643" s="10">
        <v>21283956</v>
      </c>
      <c r="C1643" s="11">
        <v>1</v>
      </c>
      <c r="D1643" s="11">
        <v>921759933</v>
      </c>
      <c r="E1643" s="8" t="str">
        <f>CONCATENATE(D1643,44)</f>
        <v>92175993344</v>
      </c>
      <c r="F1643" s="11" t="s">
        <v>3491</v>
      </c>
      <c r="G1643" s="8">
        <v>1</v>
      </c>
      <c r="H1643" s="11">
        <v>20250401</v>
      </c>
      <c r="I1643" s="8" t="str">
        <f t="shared" si="125"/>
        <v>4/1/2025</v>
      </c>
      <c r="J1643" s="11">
        <v>20250101</v>
      </c>
      <c r="K1643" s="8" t="str">
        <f t="shared" si="126"/>
        <v>1/1/2025</v>
      </c>
      <c r="L1643" s="11" t="s">
        <v>65</v>
      </c>
      <c r="M1643" s="11">
        <v>30</v>
      </c>
      <c r="N1643" s="11">
        <v>30</v>
      </c>
      <c r="O1643" s="14" t="s">
        <v>3948</v>
      </c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</row>
    <row r="1644" spans="1:37" s="12" customFormat="1" ht="15" customHeight="1" x14ac:dyDescent="0.2">
      <c r="A1644" s="10" t="s">
        <v>3928</v>
      </c>
      <c r="B1644" s="10">
        <v>21283956</v>
      </c>
      <c r="C1644" s="11">
        <v>2</v>
      </c>
      <c r="D1644" s="11">
        <v>921757381</v>
      </c>
      <c r="E1644" s="8" t="str">
        <f>CONCATENATE(D1644,55)</f>
        <v>92175738155</v>
      </c>
      <c r="F1644" s="11" t="s">
        <v>3489</v>
      </c>
      <c r="G1644" s="8">
        <v>1</v>
      </c>
      <c r="H1644" s="11">
        <v>20250401</v>
      </c>
      <c r="I1644" s="8" t="str">
        <f t="shared" si="125"/>
        <v>4/1/2025</v>
      </c>
      <c r="J1644" s="11">
        <v>20250101</v>
      </c>
      <c r="K1644" s="8" t="str">
        <f t="shared" si="126"/>
        <v>1/1/2025</v>
      </c>
      <c r="L1644" s="11" t="s">
        <v>138</v>
      </c>
      <c r="M1644" s="11">
        <v>25</v>
      </c>
      <c r="N1644" s="11">
        <v>50</v>
      </c>
      <c r="O1644" s="6" t="s">
        <v>3946</v>
      </c>
      <c r="P1644" s="6" t="s">
        <v>3952</v>
      </c>
      <c r="AK1644" s="6"/>
    </row>
  </sheetData>
  <sortState xmlns:xlrd2="http://schemas.microsoft.com/office/spreadsheetml/2017/richdata2" ref="A2:AK1644">
    <sortCondition ref="A2:A1644"/>
  </sortState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7AE4-962B-480D-AE89-0BEDB2BA74EE}">
  <dimension ref="A1:AK35"/>
  <sheetViews>
    <sheetView workbookViewId="0">
      <selection activeCell="O26" sqref="O26"/>
    </sheetView>
  </sheetViews>
  <sheetFormatPr defaultRowHeight="12.75" x14ac:dyDescent="0.2"/>
  <cols>
    <col min="4" max="4" width="10" bestFit="1" customWidth="1"/>
    <col min="5" max="5" width="13.7109375" bestFit="1" customWidth="1"/>
    <col min="15" max="15" width="47.42578125" bestFit="1" customWidth="1"/>
  </cols>
  <sheetData>
    <row r="1" spans="1:36" s="6" customFormat="1" ht="15" customHeight="1" x14ac:dyDescent="0.2">
      <c r="A1" s="10" t="s">
        <v>3908</v>
      </c>
      <c r="B1" s="10">
        <v>16912722</v>
      </c>
      <c r="C1" s="11">
        <v>1</v>
      </c>
      <c r="D1" s="11">
        <v>921748438</v>
      </c>
      <c r="E1" s="8" t="str">
        <f>CONCATENATE(D1,22)</f>
        <v>92174843822</v>
      </c>
      <c r="F1" s="11" t="s">
        <v>2544</v>
      </c>
      <c r="G1" s="8">
        <v>1</v>
      </c>
      <c r="H1" s="11">
        <v>20250401</v>
      </c>
      <c r="I1" s="8" t="str">
        <f t="shared" ref="I1:I35" si="0">TEXT(DATE(LEFT(H1,4), MID(H1,5,2), RIGHT(H1,2)), "M/d/yyyy")</f>
        <v>4/1/2025</v>
      </c>
      <c r="J1" s="11">
        <v>20250101</v>
      </c>
      <c r="K1" s="8" t="str">
        <f t="shared" ref="K1:K35" si="1">TEXT(DATE(LEFT(J1,4), MID(J1,5,2), RIGHT(J1,2)), "M/d/yyyy")</f>
        <v>1/1/2025</v>
      </c>
      <c r="L1" s="11" t="s">
        <v>56</v>
      </c>
      <c r="M1" s="11">
        <v>25</v>
      </c>
      <c r="N1" s="11">
        <v>25</v>
      </c>
      <c r="O1" s="6" t="s">
        <v>3947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s="6" customFormat="1" ht="15" customHeight="1" x14ac:dyDescent="0.2">
      <c r="A2" s="10" t="s">
        <v>3908</v>
      </c>
      <c r="B2" s="10">
        <v>16912722</v>
      </c>
      <c r="C2" s="11">
        <v>1</v>
      </c>
      <c r="D2" s="11">
        <v>921779244</v>
      </c>
      <c r="E2" s="8" t="str">
        <f>CONCATENATE(D2,22)</f>
        <v>92177924422</v>
      </c>
      <c r="F2" s="11" t="s">
        <v>2558</v>
      </c>
      <c r="G2" s="8">
        <v>1</v>
      </c>
      <c r="H2" s="11">
        <v>20250401</v>
      </c>
      <c r="I2" s="8" t="str">
        <f t="shared" si="0"/>
        <v>4/1/2025</v>
      </c>
      <c r="J2" s="11">
        <v>20250301</v>
      </c>
      <c r="K2" s="8" t="str">
        <f t="shared" si="1"/>
        <v>3/1/2025</v>
      </c>
      <c r="L2" s="11" t="s">
        <v>56</v>
      </c>
      <c r="M2" s="11">
        <v>25</v>
      </c>
      <c r="N2" s="11">
        <v>25</v>
      </c>
      <c r="O2" s="6" t="s">
        <v>3947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 s="6" customFormat="1" ht="15" customHeight="1" x14ac:dyDescent="0.2">
      <c r="A3" s="10" t="s">
        <v>3931</v>
      </c>
      <c r="B3" s="10">
        <v>21348299</v>
      </c>
      <c r="C3" s="11">
        <v>1</v>
      </c>
      <c r="D3" s="11">
        <v>921748119</v>
      </c>
      <c r="E3" s="8" t="str">
        <f>CONCATENATE(D3,22)</f>
        <v>92174811922</v>
      </c>
      <c r="F3" s="11" t="s">
        <v>3556</v>
      </c>
      <c r="G3" s="8">
        <v>1</v>
      </c>
      <c r="H3" s="11">
        <v>20250401</v>
      </c>
      <c r="I3" s="8" t="str">
        <f t="shared" si="0"/>
        <v>4/1/2025</v>
      </c>
      <c r="J3" s="11">
        <v>20250101</v>
      </c>
      <c r="K3" s="8" t="str">
        <f t="shared" si="1"/>
        <v>1/1/2025</v>
      </c>
      <c r="L3" s="11" t="s">
        <v>56</v>
      </c>
      <c r="M3" s="11">
        <v>25</v>
      </c>
      <c r="N3" s="11">
        <v>25</v>
      </c>
      <c r="O3" s="6" t="s">
        <v>3947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6" s="6" customFormat="1" ht="15" customHeight="1" x14ac:dyDescent="0.2">
      <c r="A4" s="10" t="s">
        <v>3914</v>
      </c>
      <c r="B4" s="10">
        <v>16983460</v>
      </c>
      <c r="C4" s="11">
        <v>2</v>
      </c>
      <c r="D4" s="11">
        <v>921774585</v>
      </c>
      <c r="E4" s="8" t="str">
        <f>CONCATENATE(D4,22)</f>
        <v>92177458522</v>
      </c>
      <c r="F4" s="11" t="s">
        <v>2936</v>
      </c>
      <c r="G4" s="8">
        <v>1</v>
      </c>
      <c r="H4" s="11">
        <v>20250401</v>
      </c>
      <c r="I4" s="8" t="str">
        <f t="shared" si="0"/>
        <v>4/1/2025</v>
      </c>
      <c r="J4" s="11">
        <v>20250201</v>
      </c>
      <c r="K4" s="8" t="str">
        <f t="shared" si="1"/>
        <v>2/1/2025</v>
      </c>
      <c r="L4" s="11" t="s">
        <v>56</v>
      </c>
      <c r="M4" s="11">
        <v>25</v>
      </c>
      <c r="N4" s="11">
        <v>50</v>
      </c>
      <c r="O4" s="6" t="s">
        <v>3947</v>
      </c>
      <c r="P4" s="6" t="s">
        <v>3952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s="6" customFormat="1" ht="15" customHeight="1" x14ac:dyDescent="0.2">
      <c r="A5" s="10" t="s">
        <v>3928</v>
      </c>
      <c r="B5" s="10">
        <v>21283956</v>
      </c>
      <c r="C5" s="11">
        <v>1</v>
      </c>
      <c r="D5" s="11">
        <v>921778758</v>
      </c>
      <c r="E5" s="8" t="str">
        <f>CONCATENATE(D5,22)</f>
        <v>92177875822</v>
      </c>
      <c r="F5" s="11" t="s">
        <v>3495</v>
      </c>
      <c r="G5" s="8">
        <v>1</v>
      </c>
      <c r="H5" s="11">
        <v>20250401</v>
      </c>
      <c r="I5" s="8" t="str">
        <f t="shared" si="0"/>
        <v>4/1/2025</v>
      </c>
      <c r="J5" s="11">
        <v>20250301</v>
      </c>
      <c r="K5" s="8" t="str">
        <f t="shared" si="1"/>
        <v>3/1/2025</v>
      </c>
      <c r="L5" s="11" t="s">
        <v>56</v>
      </c>
      <c r="M5" s="11">
        <v>25</v>
      </c>
      <c r="N5" s="11">
        <v>25</v>
      </c>
      <c r="O5" s="6" t="s">
        <v>3947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spans="1:36" s="6" customFormat="1" ht="15" customHeight="1" x14ac:dyDescent="0.2">
      <c r="A6" s="10" t="s">
        <v>3908</v>
      </c>
      <c r="B6" s="10">
        <v>16912722</v>
      </c>
      <c r="C6" s="11">
        <v>1</v>
      </c>
      <c r="D6" s="11">
        <v>921759663</v>
      </c>
      <c r="E6" s="8" t="str">
        <f t="shared" ref="E6:E22" si="2">CONCATENATE(D6,33)</f>
        <v>92175966333</v>
      </c>
      <c r="F6" s="11" t="s">
        <v>2550</v>
      </c>
      <c r="G6" s="8">
        <v>1</v>
      </c>
      <c r="H6" s="11">
        <v>20250401</v>
      </c>
      <c r="I6" s="8" t="str">
        <f t="shared" si="0"/>
        <v>4/1/2025</v>
      </c>
      <c r="J6" s="11">
        <v>20250101</v>
      </c>
      <c r="K6" s="8" t="str">
        <f t="shared" si="1"/>
        <v>1/1/2025</v>
      </c>
      <c r="L6" s="11" t="s">
        <v>198</v>
      </c>
      <c r="M6" s="11">
        <v>20</v>
      </c>
      <c r="N6" s="11">
        <v>20</v>
      </c>
      <c r="O6" s="6" t="s">
        <v>3950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spans="1:36" s="6" customFormat="1" ht="15" customHeight="1" x14ac:dyDescent="0.2">
      <c r="A7" s="10" t="s">
        <v>3908</v>
      </c>
      <c r="B7" s="10">
        <v>16912722</v>
      </c>
      <c r="C7" s="11">
        <v>1</v>
      </c>
      <c r="D7" s="11">
        <v>921764777</v>
      </c>
      <c r="E7" s="8" t="str">
        <f t="shared" si="2"/>
        <v>92176477733</v>
      </c>
      <c r="F7" s="11" t="s">
        <v>2552</v>
      </c>
      <c r="G7" s="8">
        <v>1</v>
      </c>
      <c r="H7" s="11">
        <v>20250401</v>
      </c>
      <c r="I7" s="8" t="str">
        <f t="shared" si="0"/>
        <v>4/1/2025</v>
      </c>
      <c r="J7" s="11">
        <v>20250101</v>
      </c>
      <c r="K7" s="8" t="str">
        <f t="shared" si="1"/>
        <v>1/1/2025</v>
      </c>
      <c r="L7" s="11" t="s">
        <v>198</v>
      </c>
      <c r="M7" s="11">
        <v>20</v>
      </c>
      <c r="N7" s="11">
        <v>20</v>
      </c>
      <c r="O7" s="6" t="s">
        <v>3950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spans="1:36" s="6" customFormat="1" ht="15" customHeight="1" x14ac:dyDescent="0.2">
      <c r="A8" s="10" t="s">
        <v>3908</v>
      </c>
      <c r="B8" s="10">
        <v>16912722</v>
      </c>
      <c r="C8" s="11">
        <v>1</v>
      </c>
      <c r="D8" s="11">
        <v>921765101</v>
      </c>
      <c r="E8" s="8" t="str">
        <f t="shared" si="2"/>
        <v>92176510133</v>
      </c>
      <c r="F8" s="11" t="s">
        <v>2554</v>
      </c>
      <c r="G8" s="8">
        <v>1</v>
      </c>
      <c r="H8" s="11">
        <v>20250401</v>
      </c>
      <c r="I8" s="8" t="str">
        <f t="shared" si="0"/>
        <v>4/1/2025</v>
      </c>
      <c r="J8" s="11">
        <v>20250101</v>
      </c>
      <c r="K8" s="8" t="str">
        <f t="shared" si="1"/>
        <v>1/1/2025</v>
      </c>
      <c r="L8" s="11" t="s">
        <v>198</v>
      </c>
      <c r="M8" s="11">
        <v>20</v>
      </c>
      <c r="N8" s="11">
        <v>20</v>
      </c>
      <c r="O8" s="6" t="s">
        <v>3950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spans="1:36" s="6" customFormat="1" ht="15" customHeight="1" x14ac:dyDescent="0.2">
      <c r="A9" s="10" t="s">
        <v>3908</v>
      </c>
      <c r="B9" s="10">
        <v>16912722</v>
      </c>
      <c r="C9" s="11">
        <v>3</v>
      </c>
      <c r="D9" s="11">
        <v>921776147</v>
      </c>
      <c r="E9" s="8" t="str">
        <f t="shared" si="2"/>
        <v>92177614733</v>
      </c>
      <c r="F9" s="11" t="s">
        <v>2556</v>
      </c>
      <c r="G9" s="8">
        <v>1</v>
      </c>
      <c r="H9" s="11">
        <v>20250401</v>
      </c>
      <c r="I9" s="8" t="str">
        <f t="shared" si="0"/>
        <v>4/1/2025</v>
      </c>
      <c r="J9" s="11">
        <v>20250201</v>
      </c>
      <c r="K9" s="8" t="str">
        <f t="shared" si="1"/>
        <v>2/1/2025</v>
      </c>
      <c r="L9" s="11" t="s">
        <v>198</v>
      </c>
      <c r="M9" s="11">
        <v>20</v>
      </c>
      <c r="N9" s="11">
        <v>60</v>
      </c>
      <c r="O9" s="6" t="s">
        <v>3950</v>
      </c>
      <c r="P9" s="6" t="s">
        <v>3953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1:36" s="6" customFormat="1" ht="15" customHeight="1" x14ac:dyDescent="0.2">
      <c r="A10" s="10" t="s">
        <v>3931</v>
      </c>
      <c r="B10" s="10">
        <v>21348299</v>
      </c>
      <c r="C10" s="11">
        <v>1</v>
      </c>
      <c r="D10" s="11">
        <v>921754273</v>
      </c>
      <c r="E10" s="8" t="str">
        <f t="shared" si="2"/>
        <v>92175427333</v>
      </c>
      <c r="F10" s="11" t="s">
        <v>3559</v>
      </c>
      <c r="G10" s="8">
        <v>1</v>
      </c>
      <c r="H10" s="11">
        <v>20250401</v>
      </c>
      <c r="I10" s="8" t="str">
        <f t="shared" si="0"/>
        <v>4/1/2025</v>
      </c>
      <c r="J10" s="11">
        <v>20250101</v>
      </c>
      <c r="K10" s="8" t="str">
        <f t="shared" si="1"/>
        <v>1/1/2025</v>
      </c>
      <c r="L10" s="11" t="s">
        <v>198</v>
      </c>
      <c r="M10" s="11">
        <v>20</v>
      </c>
      <c r="N10" s="11">
        <v>20</v>
      </c>
      <c r="O10" s="6" t="s">
        <v>3950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36" s="6" customFormat="1" ht="15" customHeight="1" x14ac:dyDescent="0.2">
      <c r="A11" s="10" t="s">
        <v>3931</v>
      </c>
      <c r="B11" s="10">
        <v>21348299</v>
      </c>
      <c r="C11" s="11">
        <v>1</v>
      </c>
      <c r="D11" s="11">
        <v>921757425</v>
      </c>
      <c r="E11" s="8" t="str">
        <f t="shared" si="2"/>
        <v>92175742533</v>
      </c>
      <c r="F11" s="11" t="s">
        <v>3561</v>
      </c>
      <c r="G11" s="8">
        <v>1</v>
      </c>
      <c r="H11" s="11">
        <v>20250401</v>
      </c>
      <c r="I11" s="8" t="str">
        <f t="shared" si="0"/>
        <v>4/1/2025</v>
      </c>
      <c r="J11" s="11">
        <v>20250101</v>
      </c>
      <c r="K11" s="8" t="str">
        <f t="shared" si="1"/>
        <v>1/1/2025</v>
      </c>
      <c r="L11" s="11" t="s">
        <v>198</v>
      </c>
      <c r="M11" s="11">
        <v>20</v>
      </c>
      <c r="N11" s="11">
        <v>20</v>
      </c>
      <c r="O11" s="6" t="s">
        <v>3950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1:36" s="6" customFormat="1" ht="15" customHeight="1" x14ac:dyDescent="0.2">
      <c r="A12" s="10" t="s">
        <v>3931</v>
      </c>
      <c r="B12" s="10">
        <v>21348299</v>
      </c>
      <c r="C12" s="11">
        <v>1</v>
      </c>
      <c r="D12" s="11">
        <v>921757733</v>
      </c>
      <c r="E12" s="8" t="str">
        <f t="shared" si="2"/>
        <v>92175773333</v>
      </c>
      <c r="F12" s="11" t="s">
        <v>3563</v>
      </c>
      <c r="G12" s="8">
        <v>1</v>
      </c>
      <c r="H12" s="11">
        <v>20250401</v>
      </c>
      <c r="I12" s="8" t="str">
        <f t="shared" si="0"/>
        <v>4/1/2025</v>
      </c>
      <c r="J12" s="11">
        <v>20250101</v>
      </c>
      <c r="K12" s="8" t="str">
        <f t="shared" si="1"/>
        <v>1/1/2025</v>
      </c>
      <c r="L12" s="11" t="s">
        <v>198</v>
      </c>
      <c r="M12" s="11">
        <v>20</v>
      </c>
      <c r="N12" s="11">
        <v>20</v>
      </c>
      <c r="O12" s="6" t="s">
        <v>3950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36" s="6" customFormat="1" ht="15" customHeight="1" x14ac:dyDescent="0.2">
      <c r="A13" s="10" t="s">
        <v>3936</v>
      </c>
      <c r="B13" s="10">
        <v>21435997</v>
      </c>
      <c r="C13" s="11">
        <v>1</v>
      </c>
      <c r="D13" s="11">
        <v>921779838</v>
      </c>
      <c r="E13" s="8" t="str">
        <f t="shared" si="2"/>
        <v>92177983833</v>
      </c>
      <c r="F13" s="11" t="s">
        <v>3887</v>
      </c>
      <c r="G13" s="8">
        <v>1</v>
      </c>
      <c r="H13" s="11">
        <v>20250401</v>
      </c>
      <c r="I13" s="8" t="str">
        <f t="shared" si="0"/>
        <v>4/1/2025</v>
      </c>
      <c r="J13" s="11">
        <v>20250301</v>
      </c>
      <c r="K13" s="8" t="str">
        <f t="shared" si="1"/>
        <v>3/1/2025</v>
      </c>
      <c r="L13" s="11" t="s">
        <v>198</v>
      </c>
      <c r="M13" s="11">
        <v>20</v>
      </c>
      <c r="N13" s="11">
        <v>20</v>
      </c>
      <c r="O13" s="6" t="s">
        <v>3950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spans="1:36" s="6" customFormat="1" ht="15" customHeight="1" x14ac:dyDescent="0.2">
      <c r="A14" s="10" t="s">
        <v>3930</v>
      </c>
      <c r="B14" s="10">
        <v>20999157</v>
      </c>
      <c r="C14" s="11">
        <v>1</v>
      </c>
      <c r="D14" s="11">
        <v>921769541</v>
      </c>
      <c r="E14" s="8" t="str">
        <f t="shared" si="2"/>
        <v>92176954133</v>
      </c>
      <c r="F14" s="11" t="s">
        <v>3549</v>
      </c>
      <c r="G14" s="8">
        <v>1</v>
      </c>
      <c r="H14" s="11">
        <v>20250401</v>
      </c>
      <c r="I14" s="8" t="str">
        <f t="shared" si="0"/>
        <v>4/1/2025</v>
      </c>
      <c r="J14" s="11">
        <v>20250201</v>
      </c>
      <c r="K14" s="8" t="str">
        <f t="shared" si="1"/>
        <v>2/1/2025</v>
      </c>
      <c r="L14" s="11" t="s">
        <v>198</v>
      </c>
      <c r="M14" s="11">
        <v>20</v>
      </c>
      <c r="N14" s="11">
        <v>20</v>
      </c>
      <c r="O14" s="6" t="s">
        <v>3950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spans="1:36" s="6" customFormat="1" ht="15" customHeight="1" x14ac:dyDescent="0.2">
      <c r="A15" s="10" t="s">
        <v>3930</v>
      </c>
      <c r="B15" s="10">
        <v>20999157</v>
      </c>
      <c r="C15" s="11">
        <v>1</v>
      </c>
      <c r="D15" s="11">
        <v>921772995</v>
      </c>
      <c r="E15" s="8" t="str">
        <f t="shared" si="2"/>
        <v>92177299533</v>
      </c>
      <c r="F15" s="11" t="s">
        <v>3551</v>
      </c>
      <c r="G15" s="8">
        <v>1</v>
      </c>
      <c r="H15" s="11">
        <v>20250401</v>
      </c>
      <c r="I15" s="8" t="str">
        <f t="shared" si="0"/>
        <v>4/1/2025</v>
      </c>
      <c r="J15" s="11">
        <v>20250201</v>
      </c>
      <c r="K15" s="8" t="str">
        <f t="shared" si="1"/>
        <v>2/1/2025</v>
      </c>
      <c r="L15" s="11" t="s">
        <v>198</v>
      </c>
      <c r="M15" s="11">
        <v>20</v>
      </c>
      <c r="N15" s="11">
        <v>20</v>
      </c>
      <c r="O15" s="6" t="s">
        <v>3950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spans="1:36" s="6" customFormat="1" ht="15" customHeight="1" x14ac:dyDescent="0.2">
      <c r="A16" s="10" t="s">
        <v>3930</v>
      </c>
      <c r="B16" s="10">
        <v>20999157</v>
      </c>
      <c r="C16" s="11">
        <v>1</v>
      </c>
      <c r="D16" s="11">
        <v>921776531</v>
      </c>
      <c r="E16" s="8" t="str">
        <f t="shared" si="2"/>
        <v>92177653133</v>
      </c>
      <c r="F16" s="11" t="s">
        <v>3553</v>
      </c>
      <c r="G16" s="8">
        <v>1</v>
      </c>
      <c r="H16" s="11">
        <v>20250401</v>
      </c>
      <c r="I16" s="8" t="str">
        <f t="shared" si="0"/>
        <v>4/1/2025</v>
      </c>
      <c r="J16" s="11">
        <v>20250201</v>
      </c>
      <c r="K16" s="8" t="str">
        <f t="shared" si="1"/>
        <v>2/1/2025</v>
      </c>
      <c r="L16" s="11" t="s">
        <v>198</v>
      </c>
      <c r="M16" s="11">
        <v>20</v>
      </c>
      <c r="N16" s="11">
        <v>20</v>
      </c>
      <c r="O16" s="6" t="s">
        <v>3950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spans="1:37" s="6" customFormat="1" ht="15" customHeight="1" x14ac:dyDescent="0.2">
      <c r="A17" s="10" t="s">
        <v>3930</v>
      </c>
      <c r="B17" s="10">
        <v>20999157</v>
      </c>
      <c r="C17" s="11">
        <v>1</v>
      </c>
      <c r="D17" s="11">
        <v>921776531</v>
      </c>
      <c r="E17" s="8" t="str">
        <f t="shared" si="2"/>
        <v>92177653133</v>
      </c>
      <c r="F17" s="11" t="s">
        <v>3553</v>
      </c>
      <c r="G17" s="8">
        <v>1</v>
      </c>
      <c r="H17" s="11">
        <v>20250301</v>
      </c>
      <c r="I17" s="8" t="str">
        <f t="shared" si="0"/>
        <v>3/1/2025</v>
      </c>
      <c r="J17" s="11">
        <v>20250201</v>
      </c>
      <c r="K17" s="8" t="str">
        <f t="shared" si="1"/>
        <v>2/1/2025</v>
      </c>
      <c r="L17" s="11" t="s">
        <v>198</v>
      </c>
      <c r="M17" s="11">
        <v>20</v>
      </c>
      <c r="N17" s="11">
        <v>20</v>
      </c>
      <c r="O17" s="6" t="s">
        <v>3950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spans="1:37" s="6" customFormat="1" ht="15" customHeight="1" x14ac:dyDescent="0.2">
      <c r="A18" s="10" t="s">
        <v>3930</v>
      </c>
      <c r="B18" s="10">
        <v>20999157</v>
      </c>
      <c r="C18" s="11">
        <v>2</v>
      </c>
      <c r="D18" s="11">
        <v>921755426</v>
      </c>
      <c r="E18" s="8" t="str">
        <f t="shared" si="2"/>
        <v>92175542633</v>
      </c>
      <c r="F18" s="11" t="s">
        <v>3545</v>
      </c>
      <c r="G18" s="8">
        <v>1</v>
      </c>
      <c r="H18" s="11">
        <v>20250401</v>
      </c>
      <c r="I18" s="8" t="str">
        <f t="shared" si="0"/>
        <v>4/1/2025</v>
      </c>
      <c r="J18" s="11">
        <v>20250101</v>
      </c>
      <c r="K18" s="8" t="str">
        <f t="shared" si="1"/>
        <v>1/1/2025</v>
      </c>
      <c r="L18" s="11" t="s">
        <v>198</v>
      </c>
      <c r="M18" s="11">
        <v>20</v>
      </c>
      <c r="N18" s="11">
        <v>40</v>
      </c>
      <c r="O18" s="6" t="s">
        <v>3950</v>
      </c>
      <c r="P18" s="6" t="s">
        <v>3952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 spans="1:37" s="6" customFormat="1" ht="15" customHeight="1" x14ac:dyDescent="0.2">
      <c r="A19" s="10" t="s">
        <v>3930</v>
      </c>
      <c r="B19" s="10">
        <v>20999157</v>
      </c>
      <c r="C19" s="11">
        <v>2</v>
      </c>
      <c r="D19" s="11">
        <v>921761404</v>
      </c>
      <c r="E19" s="8" t="str">
        <f t="shared" si="2"/>
        <v>92176140433</v>
      </c>
      <c r="F19" s="11" t="s">
        <v>3547</v>
      </c>
      <c r="G19" s="8">
        <v>1</v>
      </c>
      <c r="H19" s="11">
        <v>20250301</v>
      </c>
      <c r="I19" s="8" t="str">
        <f t="shared" si="0"/>
        <v>3/1/2025</v>
      </c>
      <c r="J19" s="11">
        <v>20250101</v>
      </c>
      <c r="K19" s="8" t="str">
        <f t="shared" si="1"/>
        <v>1/1/2025</v>
      </c>
      <c r="L19" s="11" t="s">
        <v>198</v>
      </c>
      <c r="M19" s="11">
        <v>20</v>
      </c>
      <c r="N19" s="11">
        <v>40</v>
      </c>
      <c r="O19" s="6" t="s">
        <v>3950</v>
      </c>
      <c r="P19" s="6" t="s">
        <v>3952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spans="1:37" s="6" customFormat="1" ht="15" customHeight="1" x14ac:dyDescent="0.2">
      <c r="A20" s="10" t="s">
        <v>3928</v>
      </c>
      <c r="B20" s="10">
        <v>21283956</v>
      </c>
      <c r="C20" s="11">
        <v>1</v>
      </c>
      <c r="D20" s="11">
        <v>921617380</v>
      </c>
      <c r="E20" s="8" t="str">
        <f t="shared" si="2"/>
        <v>92161738033</v>
      </c>
      <c r="F20" s="11" t="s">
        <v>3478</v>
      </c>
      <c r="G20" s="8">
        <v>1</v>
      </c>
      <c r="H20" s="11">
        <v>20250401</v>
      </c>
      <c r="I20" s="8" t="str">
        <f t="shared" si="0"/>
        <v>4/1/2025</v>
      </c>
      <c r="J20" s="11">
        <v>20220701</v>
      </c>
      <c r="K20" s="8" t="str">
        <f t="shared" si="1"/>
        <v>7/1/2022</v>
      </c>
      <c r="L20" s="11" t="s">
        <v>198</v>
      </c>
      <c r="M20" s="11">
        <v>15</v>
      </c>
      <c r="N20" s="11">
        <v>15</v>
      </c>
      <c r="O20" s="6" t="s">
        <v>3950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s="6" customFormat="1" ht="15" customHeight="1" x14ac:dyDescent="0.2">
      <c r="A21" s="10" t="s">
        <v>3928</v>
      </c>
      <c r="B21" s="10">
        <v>21283956</v>
      </c>
      <c r="C21" s="11">
        <v>1</v>
      </c>
      <c r="D21" s="11">
        <v>921743474</v>
      </c>
      <c r="E21" s="8" t="str">
        <f t="shared" si="2"/>
        <v>92174347433</v>
      </c>
      <c r="F21" s="11" t="s">
        <v>3487</v>
      </c>
      <c r="G21" s="8">
        <v>1</v>
      </c>
      <c r="H21" s="11">
        <v>20250401</v>
      </c>
      <c r="I21" s="8" t="str">
        <f t="shared" si="0"/>
        <v>4/1/2025</v>
      </c>
      <c r="J21" s="11">
        <v>20241101</v>
      </c>
      <c r="K21" s="8" t="str">
        <f t="shared" si="1"/>
        <v>11/1/2024</v>
      </c>
      <c r="L21" s="11" t="s">
        <v>198</v>
      </c>
      <c r="M21" s="11">
        <v>20</v>
      </c>
      <c r="N21" s="11">
        <v>20</v>
      </c>
      <c r="O21" s="6" t="s">
        <v>3950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spans="1:37" s="6" customFormat="1" ht="15" customHeight="1" x14ac:dyDescent="0.2">
      <c r="A22" s="10" t="s">
        <v>3928</v>
      </c>
      <c r="B22" s="10">
        <v>21283956</v>
      </c>
      <c r="C22" s="11">
        <v>1</v>
      </c>
      <c r="D22" s="11">
        <v>921765929</v>
      </c>
      <c r="E22" s="8" t="str">
        <f t="shared" si="2"/>
        <v>92176592933</v>
      </c>
      <c r="F22" s="11" t="s">
        <v>3493</v>
      </c>
      <c r="G22" s="8">
        <v>1</v>
      </c>
      <c r="H22" s="11">
        <v>20250401</v>
      </c>
      <c r="I22" s="8" t="str">
        <f t="shared" si="0"/>
        <v>4/1/2025</v>
      </c>
      <c r="J22" s="11">
        <v>20250101</v>
      </c>
      <c r="K22" s="8" t="str">
        <f t="shared" si="1"/>
        <v>1/1/2025</v>
      </c>
      <c r="L22" s="11" t="s">
        <v>198</v>
      </c>
      <c r="M22" s="11">
        <v>20</v>
      </c>
      <c r="N22" s="11">
        <v>20</v>
      </c>
      <c r="O22" s="6" t="s">
        <v>3950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 spans="1:37" s="6" customFormat="1" ht="15" customHeight="1" x14ac:dyDescent="0.3">
      <c r="A23" s="10" t="s">
        <v>3908</v>
      </c>
      <c r="B23" s="10">
        <v>16912722</v>
      </c>
      <c r="C23" s="11">
        <v>1</v>
      </c>
      <c r="D23" s="11">
        <v>921751940</v>
      </c>
      <c r="E23" s="8" t="str">
        <f t="shared" ref="E23:E28" si="3">CONCATENATE(D23,44)</f>
        <v>92175194044</v>
      </c>
      <c r="F23" s="11" t="s">
        <v>2546</v>
      </c>
      <c r="G23" s="8">
        <v>1</v>
      </c>
      <c r="H23" s="11">
        <v>20250401</v>
      </c>
      <c r="I23" s="8" t="str">
        <f t="shared" si="0"/>
        <v>4/1/2025</v>
      </c>
      <c r="J23" s="11">
        <v>20250101</v>
      </c>
      <c r="K23" s="8" t="str">
        <f t="shared" si="1"/>
        <v>1/1/2025</v>
      </c>
      <c r="L23" s="11" t="s">
        <v>65</v>
      </c>
      <c r="M23" s="11">
        <v>30</v>
      </c>
      <c r="N23" s="11">
        <v>30</v>
      </c>
      <c r="O23" s="14" t="s">
        <v>3948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 spans="1:37" s="6" customFormat="1" ht="15" customHeight="1" x14ac:dyDescent="0.3">
      <c r="A24" s="10" t="s">
        <v>3908</v>
      </c>
      <c r="B24" s="10">
        <v>16912722</v>
      </c>
      <c r="C24" s="11">
        <v>1</v>
      </c>
      <c r="D24" s="11">
        <v>921758504</v>
      </c>
      <c r="E24" s="8" t="str">
        <f t="shared" si="3"/>
        <v>92175850444</v>
      </c>
      <c r="F24" s="11" t="s">
        <v>2548</v>
      </c>
      <c r="G24" s="8">
        <v>1</v>
      </c>
      <c r="H24" s="11">
        <v>20250401</v>
      </c>
      <c r="I24" s="8" t="str">
        <f t="shared" si="0"/>
        <v>4/1/2025</v>
      </c>
      <c r="J24" s="11">
        <v>20250101</v>
      </c>
      <c r="K24" s="8" t="str">
        <f t="shared" si="1"/>
        <v>1/1/2025</v>
      </c>
      <c r="L24" s="11" t="s">
        <v>65</v>
      </c>
      <c r="M24" s="11">
        <v>30</v>
      </c>
      <c r="N24" s="11">
        <v>30</v>
      </c>
      <c r="O24" s="14" t="s">
        <v>3948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spans="1:37" s="6" customFormat="1" ht="15" customHeight="1" x14ac:dyDescent="0.3">
      <c r="A25" s="10" t="s">
        <v>3908</v>
      </c>
      <c r="B25" s="10">
        <v>16912722</v>
      </c>
      <c r="C25" s="11">
        <v>1</v>
      </c>
      <c r="D25" s="11">
        <v>921758504</v>
      </c>
      <c r="E25" s="8" t="str">
        <f t="shared" si="3"/>
        <v>92175850444</v>
      </c>
      <c r="F25" s="11" t="s">
        <v>2548</v>
      </c>
      <c r="G25" s="8">
        <v>1</v>
      </c>
      <c r="H25" s="11">
        <v>20250301</v>
      </c>
      <c r="I25" s="8" t="str">
        <f t="shared" si="0"/>
        <v>3/1/2025</v>
      </c>
      <c r="J25" s="11">
        <v>20250101</v>
      </c>
      <c r="K25" s="8" t="str">
        <f t="shared" si="1"/>
        <v>1/1/2025</v>
      </c>
      <c r="L25" s="11" t="s">
        <v>65</v>
      </c>
      <c r="M25" s="11">
        <v>30</v>
      </c>
      <c r="N25" s="11">
        <v>30</v>
      </c>
      <c r="O25" s="14" t="s">
        <v>3948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 spans="1:37" s="6" customFormat="1" ht="15" customHeight="1" x14ac:dyDescent="0.3">
      <c r="A26" s="10" t="s">
        <v>3923</v>
      </c>
      <c r="B26" s="10">
        <v>20212926</v>
      </c>
      <c r="C26" s="11">
        <v>5</v>
      </c>
      <c r="D26" s="11">
        <v>921710459</v>
      </c>
      <c r="E26" s="8" t="str">
        <f t="shared" si="3"/>
        <v>92171045944</v>
      </c>
      <c r="F26" s="11" t="s">
        <v>3408</v>
      </c>
      <c r="G26" s="8">
        <v>1</v>
      </c>
      <c r="H26" s="11">
        <v>20250401</v>
      </c>
      <c r="I26" s="8" t="str">
        <f t="shared" si="0"/>
        <v>4/1/2025</v>
      </c>
      <c r="J26" s="11">
        <v>20241001</v>
      </c>
      <c r="K26" s="8" t="str">
        <f t="shared" si="1"/>
        <v>10/1/2024</v>
      </c>
      <c r="L26" s="11" t="s">
        <v>65</v>
      </c>
      <c r="M26" s="11">
        <v>30</v>
      </c>
      <c r="N26" s="11">
        <v>150</v>
      </c>
      <c r="O26" s="14" t="s">
        <v>3948</v>
      </c>
      <c r="P26" s="6" t="s">
        <v>3955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 spans="1:37" s="6" customFormat="1" ht="15" customHeight="1" x14ac:dyDescent="0.3">
      <c r="A27" s="10" t="s">
        <v>3928</v>
      </c>
      <c r="B27" s="10">
        <v>21283956</v>
      </c>
      <c r="C27" s="11">
        <v>1</v>
      </c>
      <c r="D27" s="11">
        <v>921724104</v>
      </c>
      <c r="E27" s="8" t="str">
        <f t="shared" si="3"/>
        <v>92172410444</v>
      </c>
      <c r="F27" s="11" t="s">
        <v>3483</v>
      </c>
      <c r="G27" s="8">
        <v>1</v>
      </c>
      <c r="H27" s="11">
        <v>20250401</v>
      </c>
      <c r="I27" s="8" t="str">
        <f t="shared" si="0"/>
        <v>4/1/2025</v>
      </c>
      <c r="J27" s="11">
        <v>20240501</v>
      </c>
      <c r="K27" s="8" t="str">
        <f t="shared" si="1"/>
        <v>5/1/2024</v>
      </c>
      <c r="L27" s="11" t="s">
        <v>65</v>
      </c>
      <c r="M27" s="11">
        <v>30</v>
      </c>
      <c r="N27" s="11">
        <v>30</v>
      </c>
      <c r="O27" s="14" t="s">
        <v>3948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</row>
    <row r="28" spans="1:37" s="6" customFormat="1" ht="15" customHeight="1" x14ac:dyDescent="0.3">
      <c r="A28" s="10" t="s">
        <v>3928</v>
      </c>
      <c r="B28" s="10">
        <v>21283956</v>
      </c>
      <c r="C28" s="11">
        <v>1</v>
      </c>
      <c r="D28" s="11">
        <v>921759933</v>
      </c>
      <c r="E28" s="8" t="str">
        <f t="shared" si="3"/>
        <v>92175993344</v>
      </c>
      <c r="F28" s="11" t="s">
        <v>3491</v>
      </c>
      <c r="G28" s="8">
        <v>1</v>
      </c>
      <c r="H28" s="11">
        <v>20250401</v>
      </c>
      <c r="I28" s="8" t="str">
        <f t="shared" si="0"/>
        <v>4/1/2025</v>
      </c>
      <c r="J28" s="11">
        <v>20250101</v>
      </c>
      <c r="K28" s="8" t="str">
        <f t="shared" si="1"/>
        <v>1/1/2025</v>
      </c>
      <c r="L28" s="11" t="s">
        <v>65</v>
      </c>
      <c r="M28" s="11">
        <v>30</v>
      </c>
      <c r="N28" s="11">
        <v>30</v>
      </c>
      <c r="O28" s="14" t="s">
        <v>3948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 spans="1:37" s="6" customFormat="1" ht="15" customHeight="1" x14ac:dyDescent="0.2">
      <c r="A29" s="10" t="s">
        <v>3928</v>
      </c>
      <c r="B29" s="10">
        <v>21283956</v>
      </c>
      <c r="C29" s="11">
        <v>2</v>
      </c>
      <c r="D29" s="11">
        <v>921757381</v>
      </c>
      <c r="E29" s="8" t="str">
        <f>CONCATENATE(D29,55)</f>
        <v>92175738155</v>
      </c>
      <c r="F29" s="11" t="s">
        <v>3489</v>
      </c>
      <c r="G29" s="8">
        <v>1</v>
      </c>
      <c r="H29" s="11">
        <v>20250401</v>
      </c>
      <c r="I29" s="8" t="str">
        <f t="shared" si="0"/>
        <v>4/1/2025</v>
      </c>
      <c r="J29" s="11">
        <v>20250101</v>
      </c>
      <c r="K29" s="8" t="str">
        <f t="shared" si="1"/>
        <v>1/1/2025</v>
      </c>
      <c r="L29" s="11" t="s">
        <v>138</v>
      </c>
      <c r="M29" s="11">
        <v>25</v>
      </c>
      <c r="N29" s="11">
        <v>50</v>
      </c>
      <c r="O29" s="6" t="s">
        <v>3946</v>
      </c>
      <c r="P29" s="6" t="s">
        <v>3952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spans="1:37" s="17" customFormat="1" ht="15" customHeight="1" x14ac:dyDescent="0.2">
      <c r="A30" s="16" t="s">
        <v>3914</v>
      </c>
      <c r="B30" s="16">
        <v>16983460</v>
      </c>
      <c r="D30" s="18">
        <v>957183023</v>
      </c>
      <c r="E30" s="18" t="str">
        <f>CONCATENATE(D30,7)</f>
        <v>9571830237</v>
      </c>
      <c r="F30" s="18" t="s">
        <v>2942</v>
      </c>
      <c r="G30" s="18">
        <v>170.27</v>
      </c>
      <c r="H30" s="18">
        <v>20250301</v>
      </c>
      <c r="I30" s="18" t="str">
        <f t="shared" si="0"/>
        <v>3/1/2025</v>
      </c>
      <c r="J30" s="18">
        <v>20241101</v>
      </c>
      <c r="K30" s="18" t="str">
        <f t="shared" si="1"/>
        <v>11/1/2024</v>
      </c>
      <c r="L30" s="18" t="s">
        <v>398</v>
      </c>
      <c r="M30" s="18">
        <v>0.1</v>
      </c>
      <c r="N30" s="18">
        <v>17.03</v>
      </c>
      <c r="O30" s="17" t="s">
        <v>3942</v>
      </c>
    </row>
    <row r="31" spans="1:37" s="17" customFormat="1" ht="15" customHeight="1" x14ac:dyDescent="0.2">
      <c r="A31" s="16" t="s">
        <v>3914</v>
      </c>
      <c r="B31" s="16">
        <v>16983460</v>
      </c>
      <c r="D31" s="18">
        <v>957192247</v>
      </c>
      <c r="E31" s="18" t="str">
        <f>CONCATENATE(D31,7)</f>
        <v>9571922477</v>
      </c>
      <c r="F31" s="18" t="s">
        <v>2944</v>
      </c>
      <c r="G31" s="18">
        <v>170.76</v>
      </c>
      <c r="H31" s="18">
        <v>20250301</v>
      </c>
      <c r="I31" s="18" t="str">
        <f t="shared" si="0"/>
        <v>3/1/2025</v>
      </c>
      <c r="J31" s="18">
        <v>20241201</v>
      </c>
      <c r="K31" s="18" t="str">
        <f t="shared" si="1"/>
        <v>12/1/2024</v>
      </c>
      <c r="L31" s="18" t="s">
        <v>398</v>
      </c>
      <c r="M31" s="18">
        <v>0.1</v>
      </c>
      <c r="N31" s="18">
        <v>17.079999999999998</v>
      </c>
      <c r="O31" s="17" t="s">
        <v>3942</v>
      </c>
    </row>
    <row r="32" spans="1:37" s="17" customFormat="1" ht="15" customHeight="1" x14ac:dyDescent="0.2">
      <c r="A32" s="16" t="s">
        <v>3933</v>
      </c>
      <c r="B32" s="16">
        <v>20552652</v>
      </c>
      <c r="D32" s="18">
        <v>957194293</v>
      </c>
      <c r="E32" s="18" t="str">
        <f>CONCATENATE(D32,9)</f>
        <v>9571942939</v>
      </c>
      <c r="F32" s="18" t="s">
        <v>3572</v>
      </c>
      <c r="G32" s="18">
        <v>197.58</v>
      </c>
      <c r="H32" s="18">
        <v>20250301</v>
      </c>
      <c r="I32" s="18" t="str">
        <f t="shared" si="0"/>
        <v>3/1/2025</v>
      </c>
      <c r="J32" s="18">
        <v>20250101</v>
      </c>
      <c r="K32" s="18" t="str">
        <f t="shared" si="1"/>
        <v>1/1/2025</v>
      </c>
      <c r="L32" s="18" t="s">
        <v>980</v>
      </c>
      <c r="M32" s="18">
        <v>0.18</v>
      </c>
      <c r="N32" s="18">
        <v>35.56</v>
      </c>
      <c r="O32" s="17" t="s">
        <v>3944</v>
      </c>
    </row>
    <row r="33" spans="1:15" s="17" customFormat="1" ht="15" customHeight="1" x14ac:dyDescent="0.2">
      <c r="A33" s="16" t="s">
        <v>3927</v>
      </c>
      <c r="B33" s="16">
        <v>19481808</v>
      </c>
      <c r="D33" s="18">
        <v>957190219</v>
      </c>
      <c r="E33" s="18" t="str">
        <f>CONCATENATE(D33,9)</f>
        <v>9571902199</v>
      </c>
      <c r="F33" s="18" t="s">
        <v>3475</v>
      </c>
      <c r="G33" s="18">
        <v>138.16</v>
      </c>
      <c r="H33" s="18">
        <v>20250301</v>
      </c>
      <c r="I33" s="18" t="str">
        <f t="shared" si="0"/>
        <v>3/1/2025</v>
      </c>
      <c r="J33" s="18">
        <v>20241201</v>
      </c>
      <c r="K33" s="18" t="str">
        <f t="shared" si="1"/>
        <v>12/1/2024</v>
      </c>
      <c r="L33" s="18" t="s">
        <v>980</v>
      </c>
      <c r="M33" s="18">
        <v>0.18</v>
      </c>
      <c r="N33" s="18">
        <v>24.87</v>
      </c>
      <c r="O33" s="17" t="s">
        <v>3944</v>
      </c>
    </row>
    <row r="34" spans="1:15" s="17" customFormat="1" ht="15" customHeight="1" x14ac:dyDescent="0.2">
      <c r="A34" s="16" t="s">
        <v>3914</v>
      </c>
      <c r="B34" s="16">
        <v>16983460</v>
      </c>
      <c r="D34" s="18">
        <v>957087313</v>
      </c>
      <c r="E34" s="18" t="str">
        <f>CONCATENATE(D34,0)</f>
        <v>9570873130</v>
      </c>
      <c r="F34" s="18" t="s">
        <v>2938</v>
      </c>
      <c r="G34" s="18">
        <v>227.46</v>
      </c>
      <c r="H34" s="18">
        <v>20250301</v>
      </c>
      <c r="I34" s="18" t="str">
        <f t="shared" si="0"/>
        <v>3/1/2025</v>
      </c>
      <c r="J34" s="18">
        <v>20250101</v>
      </c>
      <c r="K34" s="18" t="str">
        <f t="shared" si="1"/>
        <v>1/1/2025</v>
      </c>
      <c r="L34" s="18" t="s">
        <v>959</v>
      </c>
      <c r="M34" s="18">
        <v>0.09</v>
      </c>
      <c r="N34" s="18">
        <v>20.47</v>
      </c>
      <c r="O34" s="17" t="s">
        <v>3941</v>
      </c>
    </row>
    <row r="35" spans="1:15" s="17" customFormat="1" ht="15" customHeight="1" x14ac:dyDescent="0.2">
      <c r="A35" s="16" t="s">
        <v>3927</v>
      </c>
      <c r="B35" s="16">
        <v>19481808</v>
      </c>
      <c r="C35" s="18">
        <v>1</v>
      </c>
      <c r="D35" s="18">
        <v>808538722</v>
      </c>
      <c r="E35" s="18" t="str">
        <f>CONCATENATE(D34,"PDP")</f>
        <v>957087313PDP</v>
      </c>
      <c r="F35" s="18" t="s">
        <v>3471</v>
      </c>
      <c r="G35" s="18">
        <v>10</v>
      </c>
      <c r="H35" s="18">
        <v>20250401</v>
      </c>
      <c r="I35" s="18" t="str">
        <f t="shared" si="0"/>
        <v>4/1/2025</v>
      </c>
      <c r="J35" s="18">
        <v>20250301</v>
      </c>
      <c r="K35" s="18" t="str">
        <f t="shared" si="1"/>
        <v>3/1/2025</v>
      </c>
      <c r="L35" s="18" t="s">
        <v>669</v>
      </c>
      <c r="N35" s="18">
        <v>10</v>
      </c>
      <c r="O35" s="17" t="s">
        <v>3951</v>
      </c>
    </row>
  </sheetData>
  <sortState xmlns:xlrd2="http://schemas.microsoft.com/office/spreadsheetml/2017/richdata2" ref="A1:AK35">
    <sortCondition ref="O1:O3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EFC8-97EA-4372-9FBF-B805482EDF71}">
  <dimension ref="A1:P6"/>
  <sheetViews>
    <sheetView tabSelected="1" workbookViewId="0">
      <selection activeCell="N2" sqref="N2:N6"/>
    </sheetView>
  </sheetViews>
  <sheetFormatPr defaultRowHeight="12.75" x14ac:dyDescent="0.2"/>
  <cols>
    <col min="4" max="4" width="10" bestFit="1" customWidth="1"/>
  </cols>
  <sheetData>
    <row r="1" spans="1:16" s="6" customFormat="1" ht="15" customHeight="1" x14ac:dyDescent="0.2">
      <c r="A1" s="5"/>
      <c r="B1" s="5"/>
      <c r="C1" s="5" t="s">
        <v>15</v>
      </c>
      <c r="D1" s="5" t="s">
        <v>16</v>
      </c>
      <c r="E1" s="5"/>
      <c r="F1" s="5" t="s">
        <v>17</v>
      </c>
      <c r="G1" s="5" t="s">
        <v>19</v>
      </c>
      <c r="H1" s="5" t="s">
        <v>20</v>
      </c>
      <c r="I1" s="5"/>
      <c r="J1" s="5" t="s">
        <v>21</v>
      </c>
      <c r="K1" s="5"/>
      <c r="L1" s="5" t="s">
        <v>23</v>
      </c>
      <c r="M1" s="5" t="s">
        <v>26</v>
      </c>
      <c r="N1" s="5" t="s">
        <v>27</v>
      </c>
    </row>
    <row r="2" spans="1:16" s="12" customFormat="1" ht="15" customHeight="1" x14ac:dyDescent="0.2">
      <c r="A2" s="10" t="s">
        <v>3889</v>
      </c>
      <c r="B2" s="10">
        <v>15278437</v>
      </c>
      <c r="C2" s="11">
        <v>1</v>
      </c>
      <c r="D2" s="11">
        <v>921730915</v>
      </c>
      <c r="E2" s="11" t="str">
        <f>CONCATENATE(D2,22)</f>
        <v>92173091522</v>
      </c>
      <c r="F2" s="11" t="s">
        <v>89</v>
      </c>
      <c r="G2" s="11">
        <v>1</v>
      </c>
      <c r="H2" s="11">
        <v>20250401</v>
      </c>
      <c r="I2" s="11" t="str">
        <f t="shared" ref="I2:I6" si="0">TEXT(DATE(LEFT(H2,4), MID(H2,5,2), RIGHT(H2,2)), "M/d/yyyy")</f>
        <v>4/1/2025</v>
      </c>
      <c r="J2" s="11">
        <v>20240801</v>
      </c>
      <c r="K2" s="11" t="str">
        <f t="shared" ref="K2:K6" si="1">TEXT(DATE(LEFT(J2,4), MID(J2,5,2), RIGHT(J2,2)), "M/d/yyyy")</f>
        <v>8/1/2024</v>
      </c>
      <c r="L2" s="11" t="s">
        <v>56</v>
      </c>
      <c r="M2" s="11">
        <v>25</v>
      </c>
      <c r="N2" s="11">
        <v>25</v>
      </c>
      <c r="O2" s="12" t="s">
        <v>3947</v>
      </c>
    </row>
    <row r="3" spans="1:16" s="12" customFormat="1" ht="15" customHeight="1" x14ac:dyDescent="0.3">
      <c r="A3" s="10" t="s">
        <v>3889</v>
      </c>
      <c r="B3" s="10">
        <v>15278437</v>
      </c>
      <c r="C3" s="11">
        <v>1</v>
      </c>
      <c r="D3" s="11">
        <v>921662766</v>
      </c>
      <c r="E3" s="11" t="str">
        <f>CONCATENATE(D3,44)</f>
        <v>92166276644</v>
      </c>
      <c r="F3" s="11" t="s">
        <v>76</v>
      </c>
      <c r="G3" s="11">
        <v>1</v>
      </c>
      <c r="H3" s="11">
        <v>20250401</v>
      </c>
      <c r="I3" s="11" t="str">
        <f t="shared" si="0"/>
        <v>4/1/2025</v>
      </c>
      <c r="J3" s="11">
        <v>20240601</v>
      </c>
      <c r="K3" s="11" t="str">
        <f t="shared" si="1"/>
        <v>6/1/2024</v>
      </c>
      <c r="L3" s="11" t="s">
        <v>65</v>
      </c>
      <c r="M3" s="11">
        <v>30</v>
      </c>
      <c r="N3" s="11">
        <v>30</v>
      </c>
      <c r="O3" s="28" t="s">
        <v>3948</v>
      </c>
    </row>
    <row r="4" spans="1:16" s="12" customFormat="1" ht="15" customHeight="1" x14ac:dyDescent="0.3">
      <c r="A4" s="10" t="s">
        <v>3889</v>
      </c>
      <c r="B4" s="10">
        <v>15278437</v>
      </c>
      <c r="C4" s="11">
        <v>2</v>
      </c>
      <c r="D4" s="11">
        <v>921115227</v>
      </c>
      <c r="E4" s="11" t="str">
        <f>CONCATENATE(D4,44)</f>
        <v>92111522744</v>
      </c>
      <c r="F4" s="11" t="s">
        <v>64</v>
      </c>
      <c r="G4" s="11">
        <v>1</v>
      </c>
      <c r="H4" s="11">
        <v>20250401</v>
      </c>
      <c r="I4" s="11" t="str">
        <f t="shared" si="0"/>
        <v>4/1/2025</v>
      </c>
      <c r="J4" s="11">
        <v>20250101</v>
      </c>
      <c r="K4" s="11" t="str">
        <f t="shared" si="1"/>
        <v>1/1/2025</v>
      </c>
      <c r="L4" s="11" t="s">
        <v>65</v>
      </c>
      <c r="M4" s="11">
        <v>30</v>
      </c>
      <c r="N4" s="11">
        <v>60</v>
      </c>
      <c r="O4" s="28" t="s">
        <v>3948</v>
      </c>
      <c r="P4" s="12" t="s">
        <v>3952</v>
      </c>
    </row>
    <row r="5" spans="1:16" s="12" customFormat="1" ht="15" customHeight="1" x14ac:dyDescent="0.3">
      <c r="A5" s="10" t="s">
        <v>3889</v>
      </c>
      <c r="B5" s="10">
        <v>15278437</v>
      </c>
      <c r="C5" s="11">
        <v>2</v>
      </c>
      <c r="D5" s="11">
        <v>921115227</v>
      </c>
      <c r="E5" s="11" t="str">
        <f>CONCATENATE(D5,44)</f>
        <v>92111522744</v>
      </c>
      <c r="F5" s="11" t="s">
        <v>64</v>
      </c>
      <c r="G5" s="11">
        <v>1</v>
      </c>
      <c r="H5" s="11">
        <v>20250301</v>
      </c>
      <c r="I5" s="11" t="str">
        <f t="shared" si="0"/>
        <v>3/1/2025</v>
      </c>
      <c r="J5" s="11">
        <v>20250101</v>
      </c>
      <c r="K5" s="11" t="str">
        <f t="shared" si="1"/>
        <v>1/1/2025</v>
      </c>
      <c r="L5" s="11" t="s">
        <v>65</v>
      </c>
      <c r="M5" s="11">
        <v>30</v>
      </c>
      <c r="N5" s="11">
        <v>60</v>
      </c>
      <c r="O5" s="28" t="s">
        <v>3948</v>
      </c>
      <c r="P5" s="12" t="s">
        <v>3952</v>
      </c>
    </row>
    <row r="6" spans="1:16" s="12" customFormat="1" ht="15" customHeight="1" x14ac:dyDescent="0.3">
      <c r="A6" s="10" t="s">
        <v>3889</v>
      </c>
      <c r="B6" s="10">
        <v>15278437</v>
      </c>
      <c r="C6" s="12">
        <v>-1</v>
      </c>
      <c r="D6" s="11">
        <v>921115227</v>
      </c>
      <c r="E6" s="11" t="str">
        <f>CONCATENATE(D6,44)</f>
        <v>92111522744</v>
      </c>
      <c r="F6" s="11" t="s">
        <v>64</v>
      </c>
      <c r="G6" s="11">
        <v>-1</v>
      </c>
      <c r="H6" s="11">
        <v>20250401</v>
      </c>
      <c r="I6" s="11" t="str">
        <f t="shared" si="0"/>
        <v>4/1/2025</v>
      </c>
      <c r="J6" s="11">
        <v>20250101</v>
      </c>
      <c r="K6" s="11" t="str">
        <f t="shared" si="1"/>
        <v>1/1/2025</v>
      </c>
      <c r="L6" s="11" t="s">
        <v>65</v>
      </c>
      <c r="M6" s="11">
        <v>30</v>
      </c>
      <c r="N6" s="11">
        <v>-60</v>
      </c>
      <c r="O6" s="28" t="s">
        <v>3948</v>
      </c>
      <c r="P6" s="12" t="s">
        <v>3952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Policies 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Cabel, Denisse Raeka</cp:lastModifiedBy>
  <dcterms:created xsi:type="dcterms:W3CDTF">2025-03-21T12:51:32Z</dcterms:created>
  <dcterms:modified xsi:type="dcterms:W3CDTF">2025-03-25T15:09:16Z</dcterms:modified>
</cp:coreProperties>
</file>